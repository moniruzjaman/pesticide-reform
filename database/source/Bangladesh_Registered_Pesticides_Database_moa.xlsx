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55C38FB7-5D7B-7248-A416-96C6F81F235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ummary" sheetId="1" r:id="rId1"/>
    <sheet name="README" sheetId="2" r:id="rId2"/>
    <sheet name="Miticide" sheetId="3" r:id="rId3"/>
    <sheet name="Fungicide" sheetId="4" r:id="rId4"/>
    <sheet name="Insecticide" sheetId="5" r:id="rId5"/>
    <sheet name="Herbicide" sheetId="6" r:id="rId6"/>
    <sheet name="Store Grain Insecticide" sheetId="7" r:id="rId7"/>
    <sheet name="Rodenticide" sheetId="8" r:id="rId8"/>
    <sheet name="Bio Pesticide" sheetId="9" r:id="rId9"/>
    <sheet name="Public Health" sheetId="10" r:id="rId10"/>
    <sheet name="Review" sheetId="11" r:id="rId11"/>
  </sheets>
  <definedNames>
    <definedName name="_xlnm._FilterDatabase" localSheetId="8" hidden="1">'Bio Pesticide'!$B$4:$M$39</definedName>
    <definedName name="_xlnm._FilterDatabase" localSheetId="3" hidden="1">Fungicide!$B$4:$M$1056</definedName>
    <definedName name="_xlnm._FilterDatabase" localSheetId="5" hidden="1">Herbicide!$B$4:$M$896</definedName>
    <definedName name="_xlnm._FilterDatabase" localSheetId="4" hidden="1">Insecticide!$B$4:$M$2504</definedName>
    <definedName name="_xlnm._FilterDatabase" localSheetId="2" hidden="1">Miticide!$B$4:$M$209</definedName>
    <definedName name="_xlnm._FilterDatabase" localSheetId="9" hidden="1">'Public Health'!$B$4:$K$669</definedName>
    <definedName name="_xlnm._FilterDatabase" localSheetId="7" hidden="1">Rodenticide!$B$4:$M$19</definedName>
    <definedName name="_xlnm._FilterDatabase" localSheetId="6" hidden="1">'Store Grain Insecticide'!$B$4:$M$92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1" l="1"/>
  <c r="C17" i="1"/>
  <c r="D15" i="11"/>
  <c r="E15" i="11"/>
  <c r="E9" i="1"/>
  <c r="E10" i="1"/>
  <c r="E11" i="1"/>
  <c r="E12" i="1"/>
  <c r="E13" i="1"/>
  <c r="E14" i="1"/>
  <c r="E15" i="1"/>
  <c r="E16" i="1"/>
  <c r="E17" i="1"/>
  <c r="D14" i="11"/>
  <c r="E14" i="11"/>
  <c r="D16" i="1"/>
  <c r="D13" i="11"/>
  <c r="E13" i="11"/>
  <c r="D15" i="1"/>
  <c r="D12" i="11"/>
  <c r="E12" i="11"/>
  <c r="D14" i="1"/>
  <c r="D11" i="11"/>
  <c r="E11" i="11"/>
  <c r="D13" i="1"/>
  <c r="D10" i="11"/>
  <c r="E10" i="11"/>
  <c r="D12" i="1"/>
  <c r="D9" i="11"/>
  <c r="E9" i="11"/>
  <c r="D11" i="1"/>
  <c r="D8" i="11"/>
  <c r="E8" i="11"/>
  <c r="D10" i="1"/>
  <c r="D7" i="11"/>
  <c r="E7" i="11"/>
  <c r="D9" i="1"/>
  <c r="D6" i="11"/>
  <c r="E6" i="11"/>
  <c r="D17" i="1"/>
  <c r="D5" i="11"/>
  <c r="E5" i="11"/>
  <c r="K670" i="10"/>
  <c r="E670" i="10"/>
  <c r="L40" i="9"/>
  <c r="E40" i="9"/>
  <c r="L20" i="8"/>
  <c r="E20" i="8"/>
  <c r="L93" i="7"/>
  <c r="E93" i="7"/>
  <c r="L897" i="6"/>
  <c r="E897" i="6"/>
  <c r="L1057" i="4"/>
  <c r="E1057" i="4"/>
  <c r="L210" i="3"/>
  <c r="E210" i="3"/>
  <c r="L2505" i="5"/>
  <c r="E2505" i="5"/>
</calcChain>
</file>

<file path=xl/sharedStrings.xml><?xml version="1.0" encoding="utf-8"?>
<sst xmlns="http://schemas.openxmlformats.org/spreadsheetml/2006/main" count="47369" uniqueCount="17802">
  <si>
    <t>Registered Pesticides Database — Bangladesh (up to 81st PTAC Meeting)</t>
  </si>
  <si>
    <t>Total Registered Products</t>
  </si>
  <si>
    <t>Crop-Pest Recommendations</t>
  </si>
  <si>
    <t>Unique Common Names</t>
  </si>
  <si>
    <t>Registration Holders</t>
  </si>
  <si>
    <t>Products by Category</t>
  </si>
  <si>
    <t>Category</t>
  </si>
  <si>
    <t>Common Names</t>
  </si>
  <si>
    <t>Registered Products</t>
  </si>
  <si>
    <t>Recommendations</t>
  </si>
  <si>
    <t>Miticide</t>
  </si>
  <si>
    <t>Fungicide</t>
  </si>
  <si>
    <t>Insecticide</t>
  </si>
  <si>
    <t>Herbicide</t>
  </si>
  <si>
    <t>Store Grain Insecticide</t>
  </si>
  <si>
    <t>Rodenticide</t>
  </si>
  <si>
    <t>Bio Pesticide</t>
  </si>
  <si>
    <t>Public Health</t>
  </si>
  <si>
    <t>Total</t>
  </si>
  <si>
    <t>Top 10 Registration Holders</t>
  </si>
  <si>
    <t>Companies/agencies with the most registered products</t>
  </si>
  <si>
    <t>#</t>
  </si>
  <si>
    <t>Name</t>
  </si>
  <si>
    <t>Products</t>
  </si>
  <si>
    <t>ACI Formulations Limited</t>
  </si>
  <si>
    <t>Haychem (Bangladesh) Limited</t>
  </si>
  <si>
    <t>Sun Seed Pesticides</t>
  </si>
  <si>
    <t>Intefa</t>
  </si>
  <si>
    <t>Mimpex Agrochemicals Limited</t>
  </si>
  <si>
    <t>Auto Crop Care Limited</t>
  </si>
  <si>
    <t>McDonald Bangladesh (Pvt) Limited</t>
  </si>
  <si>
    <t>Mamun Agro Products Ltd.</t>
  </si>
  <si>
    <t>Valent Tech Limited</t>
  </si>
  <si>
    <t>Bangladesh Agricultural Industries</t>
  </si>
  <si>
    <t>Top 10 Recommended Crops</t>
  </si>
  <si>
    <t>Crops with the most registered products (agricultural categories)</t>
  </si>
  <si>
    <t>Rice</t>
  </si>
  <si>
    <t>Tea</t>
  </si>
  <si>
    <t>Potato</t>
  </si>
  <si>
    <t>Jute</t>
  </si>
  <si>
    <t>Mango</t>
  </si>
  <si>
    <t>Brinjal</t>
  </si>
  <si>
    <t>Cotton</t>
  </si>
  <si>
    <t>Tomato</t>
  </si>
  <si>
    <t>Bean</t>
  </si>
  <si>
    <t>Sugarcane</t>
  </si>
  <si>
    <t>Top 10 Target Pests</t>
  </si>
  <si>
    <t>Pests/weeds with the most registered products (all categories)</t>
  </si>
  <si>
    <t>BPH</t>
  </si>
  <si>
    <t>Aphid</t>
  </si>
  <si>
    <t>Mosquito</t>
  </si>
  <si>
    <t>Helopeltis</t>
  </si>
  <si>
    <t>Powdery mildew</t>
  </si>
  <si>
    <t>Late blight</t>
  </si>
  <si>
    <t>Hopper</t>
  </si>
  <si>
    <t>Termite</t>
  </si>
  <si>
    <t>Anthracnose</t>
  </si>
  <si>
    <t>Hairy caterpillar</t>
  </si>
  <si>
    <t>Registration Number Types</t>
  </si>
  <si>
    <t>Prefix</t>
  </si>
  <si>
    <t>Meaning</t>
  </si>
  <si>
    <t>AP</t>
  </si>
  <si>
    <t>Agricultural Pesticide registration</t>
  </si>
  <si>
    <t>AP (Bio)</t>
  </si>
  <si>
    <t>Agricultural Bio-Pesticide registration</t>
  </si>
  <si>
    <t>PHP</t>
  </si>
  <si>
    <t>Public Health Pesticide registration</t>
  </si>
  <si>
    <t>Missing</t>
  </si>
  <si>
    <t>No registration number printed in source</t>
  </si>
  <si>
    <t>Note: a few source registration numbers contain typographical variants (e.g. "AP--3368", "A-3375", "AP- 612"); they are counted under AP. See the README sheet for the full list.</t>
  </si>
  <si>
    <t>README — Registered Pesticides Database of Bangladesh</t>
  </si>
  <si>
    <t>About This Database</t>
  </si>
  <si>
    <t>Database</t>
  </si>
  <si>
    <t>Registered Pesticides of Bangladesh — approved up to the 81st Pesticide Technical Advisory Committee (PTAC) Meeting</t>
  </si>
  <si>
    <t>Issuing authority</t>
  </si>
  <si>
    <t>Department of Agricultural Extension (DAE), Ministry of Agriculture, Government of the People's Republic of Bangladesh</t>
  </si>
  <si>
    <t>Source page</t>
  </si>
  <si>
    <t>https://dae.gov.bd/pages/files/6922da2a933eb65569e02d1e  (page title: "নিবন্ধিত বালাইনাশক" — Registered Pesticides, last updated 4 February 2024)</t>
  </si>
  <si>
    <t>Source document</t>
  </si>
  <si>
    <t>https://objectstorage.ap-dcc-gazipur-1.oraclecloud15.com/n/axvjbnqprylg/b/V2Ministry/o/office-dae/2024/12/7ad5aab9257b4eafbf8e15157f9bef18.pdf</t>
  </si>
  <si>
    <t>Extraction date</t>
  </si>
  <si>
    <t>2026-09-15</t>
  </si>
  <si>
    <t>Scope</t>
  </si>
  <si>
    <t>5,452 registered products (brands) across 8 categories, covering 7,247+ crop-pest recommendations, 441 unique common names (active ingredients/groups) and 879 registration holders</t>
  </si>
  <si>
    <t>Sheet Guide</t>
  </si>
  <si>
    <t>Summary</t>
  </si>
  <si>
    <t>Overview: totals by category, top registration holders, top crops and pests, registration number types, and a category chart</t>
  </si>
  <si>
    <t>Miticide / Fungicide / Insecticide / Herbicide / Store Grain Insecticide / Rodenticide / Bio Pesticide</t>
  </si>
  <si>
    <t>Agricultural pesticide categories — one row per registered product (brand)</t>
  </si>
  <si>
    <t>Household/public-health pesticide products (mosquito coils, aerosols, repellents, baits) — one row per registered product; no "Crops" column</t>
  </si>
  <si>
    <t>Review</t>
  </si>
  <si>
    <t>Self-check sheet: live formulas cross-check record counts against the source extraction; all rows should show PASS</t>
  </si>
  <si>
    <t>Column Definitions</t>
  </si>
  <si>
    <t>SL No (Common Name)</t>
  </si>
  <si>
    <t>Serial number of the common-name group within its category, as printed in the source list</t>
  </si>
  <si>
    <t>Common Name</t>
  </si>
  <si>
    <t>Chemical common name / active-ingredient group. In the source, this cell is merged across all products of the group, so it is repeated on every product row of that group here</t>
  </si>
  <si>
    <t>SL No (Products)</t>
  </si>
  <si>
    <t>Serial number of the product (brand) within its common-name group</t>
  </si>
  <si>
    <t>Brand Name</t>
  </si>
  <si>
    <t>Trade name of the registered product, including its formulation (e.g. "Taba 25WDG")</t>
  </si>
  <si>
    <t>Registration No</t>
  </si>
  <si>
    <t>Registration number printed in the source: AP-#### (agricultural), AP (Bio)-## (bio-pesticide), PHP-### (public health)</t>
  </si>
  <si>
    <t>Registration Holder</t>
  </si>
  <si>
    <t>Company or agency holding the registration</t>
  </si>
  <si>
    <t>Recommended Crops</t>
  </si>
  <si>
    <t>Crops for which the product is recommended (agricultural sheets only); multiple values are comma-separated</t>
  </si>
  <si>
    <t>Recommended Pests</t>
  </si>
  <si>
    <t>Target pests, diseases or weeds; multiple values are comma-separated</t>
  </si>
  <si>
    <t>Dosage Rate</t>
  </si>
  <si>
    <t>Distinct dosage rates, semicolon-separated (dosages may repeat across recommendations; see next column for the pairing)</t>
  </si>
  <si>
    <t>Recommendations (Crop | Pest | Dosage)</t>
  </si>
  <si>
    <t>One line per recommendation as printed in the source; a "-" marks a field left blank in the source</t>
  </si>
  <si>
    <t>No. of Recommendations</t>
  </si>
  <si>
    <t>Number of crop-pest(-dosage) lines printed for this product in the source</t>
  </si>
  <si>
    <t>How the Data Was Reconstructed</t>
  </si>
  <si>
    <t>Method</t>
  </si>
  <si>
    <t>The 189-page source PDF was parsed table-by-table with cell-level extraction (pdfplumber). Where the source table used merged cells, values were reconstructed as follows.</t>
  </si>
  <si>
    <t>Merged common names</t>
  </si>
  <si>
    <t>The common name (and its serial) is printed only on the first row of each group in the source; it was forward-filled to all products of the same group</t>
  </si>
  <si>
    <t>Merged recommendations</t>
  </si>
  <si>
    <t>When a recommendation line repeated the crop or pest of the line above (vertically merged cells), the missing field was inherited from the previous line; when the dosage cell was merged, the previous dosage applies</t>
  </si>
  <si>
    <t>Multi-line cells</t>
  </si>
  <si>
    <t>Where one cell contained several lines (e.g. two dosage lines), they were zipped into separate recommendations when the line counts aligned</t>
  </si>
  <si>
    <t>One row per product</t>
  </si>
  <si>
    <t>Each output row is one registered product (brand). All of its crop-pest-dosage lines are kept in the "Recommendations" column and summarised in the Crops / Pests / Dosage columns</t>
  </si>
  <si>
    <t>Data Quality Notes (source quirks, kept as printed)</t>
  </si>
  <si>
    <t>Typo registrations</t>
  </si>
  <si>
    <t>A few registration numbers contain source typos and are kept verbatim: "AP5615" (Nurzeb 80WP), "A-3375" (Abin 85WP), "AP--3368" (Umate 40EC), "AP--2277" (AP-Tap 57%), "AAP-4833" (Mita 33EC), "AP- 612" (Nuben 72WP), "PHP508" (Hit Super Mosquito Coil)</t>
  </si>
  <si>
    <t>Missing registrations</t>
  </si>
  <si>
    <t>One product (Golder Aerosol, S N Trade International, Public Health) has no registration number printed in the source</t>
  </si>
  <si>
    <t>Duplicate registrations</t>
  </si>
  <si>
    <t>14 registration numbers are each assigned to two different products in the source (e.g. AP-3612 for both Gonder 50WP and Rosa 72SL); both rows are kept</t>
  </si>
  <si>
    <t>Missing pests</t>
  </si>
  <si>
    <t>AP-4472 (Marlo 2.5EC), AP-847 (Silah 500EC) and PHP-419 (Mosfly Cik Aerosol) have a blank pest and/or dosage cell in the source</t>
  </si>
  <si>
    <t>Serial gap</t>
  </si>
  <si>
    <t>The Store Grain Insecticide category jumps from serial 1 to 3 (no common name number 2 is printed in the source)</t>
  </si>
  <si>
    <t>Combined rows</t>
  </si>
  <si>
    <t>A handful of source rows squeeze two products into one line (e.g. "AP-2391 AP-2393 — Mascothrin 10EC / Korothrin 10EC"); these are kept as a single row with " / "-joined values where the source gives no way to split them</t>
  </si>
  <si>
    <t>Language</t>
  </si>
  <si>
    <t>All product data is printed in English in the source; the source page itself is in Bangla</t>
  </si>
  <si>
    <t>Provenance &amp; Reuse</t>
  </si>
  <si>
    <t>Copyright</t>
  </si>
  <si>
    <t>Data © Department of Agricultural Extension (DAE), Ministry of Agriculture, Bangladesh. This workbook is a faithful extraction of the published list</t>
  </si>
  <si>
    <t>Verification</t>
  </si>
  <si>
    <t>Record counts were verified against registration-number tokens in the raw PDF text (5,452 = 5,452) and per-category serial continuity; see the Review sheet for live checks</t>
  </si>
  <si>
    <t>Registered Miticides in Bangladesh — up to 81st PTAC Meeting</t>
  </si>
  <si>
    <t>MoA Code</t>
  </si>
  <si>
    <t>Ethion</t>
  </si>
  <si>
    <t>Pithion 46.5EC</t>
  </si>
  <si>
    <t>AP-5242</t>
  </si>
  <si>
    <t>Padma Oil Company Ltd.</t>
  </si>
  <si>
    <t>Chilli</t>
  </si>
  <si>
    <t>Mites</t>
  </si>
  <si>
    <t>2 ml/L of water</t>
  </si>
  <si>
    <t>Chilli | Mites | 2 ml/L of water</t>
  </si>
  <si>
    <t>IRAC 1B</t>
  </si>
  <si>
    <t>Ethion (5%) + Thiamethoxam (20%)</t>
  </si>
  <si>
    <t>Taba 25WDG</t>
  </si>
  <si>
    <t>AP-4578</t>
  </si>
  <si>
    <t>Alif Agro</t>
  </si>
  <si>
    <t>Chilli, Rice</t>
  </si>
  <si>
    <t>Thrips, Aphid, BPH</t>
  </si>
  <si>
    <t>100 g/ha; 0.2 g/L of water</t>
  </si>
  <si>
    <t>Chilli | Thrips | 100 g/ha
Chilli | Aphid | 0.2 g/L of water
Rice | BPH | 100 g/ha</t>
  </si>
  <si>
    <t>Fenpropathrin</t>
  </si>
  <si>
    <t>Danitol 10EC</t>
  </si>
  <si>
    <t>AP-291</t>
  </si>
  <si>
    <t>Shetu Corporation Limited</t>
  </si>
  <si>
    <t>Brinjal, Tea</t>
  </si>
  <si>
    <t>Red spider mite</t>
  </si>
  <si>
    <t>1 ml/L of water; 1.00 L/ha</t>
  </si>
  <si>
    <t>Brinjal | Red spider mite | 1 ml/L of water
Tea | Red spider mite | 1.00 L/ha</t>
  </si>
  <si>
    <t>IRAC 3A</t>
  </si>
  <si>
    <t>Ritol 10EC</t>
  </si>
  <si>
    <t>AP-3509</t>
  </si>
  <si>
    <t>Rajib Agro Chemicals Ltd.</t>
  </si>
  <si>
    <t>1.00 L/ha</t>
  </si>
  <si>
    <t>Tea | Red spider mite | 1.00 L/ha</t>
  </si>
  <si>
    <t>Dumet 10EC</t>
  </si>
  <si>
    <t>AP-4577</t>
  </si>
  <si>
    <t>Red mite</t>
  </si>
  <si>
    <t>Tea | Red mite | 1.00 L/ha</t>
  </si>
  <si>
    <t>Fenpro 10EC</t>
  </si>
  <si>
    <t>AP-4922</t>
  </si>
  <si>
    <t>Oroni International Limited</t>
  </si>
  <si>
    <t>Samitol 10EC</t>
  </si>
  <si>
    <t>AP-5303</t>
  </si>
  <si>
    <t>SAM Agro Chemical</t>
  </si>
  <si>
    <t>Chilli | Aphid | 2 ml/L of water</t>
  </si>
  <si>
    <t>Unifen 20EC</t>
  </si>
  <si>
    <t>AP-5304</t>
  </si>
  <si>
    <t>Unifarma Bangladesh Industries</t>
  </si>
  <si>
    <t>Red Spider Mite</t>
  </si>
  <si>
    <t>500 ml/ha</t>
  </si>
  <si>
    <t>Tea | Red Spider Mite | 500 ml/ha</t>
  </si>
  <si>
    <t>Fenpen 10EC</t>
  </si>
  <si>
    <t>AP-5305</t>
  </si>
  <si>
    <t>S I Agro International</t>
  </si>
  <si>
    <t>Tea | Red Spider Mite | 1.00 L/ha</t>
  </si>
  <si>
    <t>Denethrin 10EC</t>
  </si>
  <si>
    <t>AP-5681</t>
  </si>
  <si>
    <t>Bongshe Moharaj &amp; Agro Technology</t>
  </si>
  <si>
    <t>Fenpropathrin (3%) + Fenvalerate (7%)</t>
  </si>
  <si>
    <t>Sniper 10SC</t>
  </si>
  <si>
    <t>AP-4565</t>
  </si>
  <si>
    <t>Eminence Chemical Industries Ltd</t>
  </si>
  <si>
    <t>200 ml/ha</t>
  </si>
  <si>
    <t>Tea | Helopeltis | 200 ml/ha</t>
  </si>
  <si>
    <t>Pyriproxyfen (5%) + Fenpropathrin (15%)</t>
  </si>
  <si>
    <t>Sweetprid 20EC</t>
  </si>
  <si>
    <t>AP-4923</t>
  </si>
  <si>
    <t>Sweet Agrovet Limited</t>
  </si>
  <si>
    <t>1 ml/L of water</t>
  </si>
  <si>
    <t>Brinjal | Aphid | 1 ml/L of water</t>
  </si>
  <si>
    <t>Nepathrin Plus 20EC</t>
  </si>
  <si>
    <t>AP-5306</t>
  </si>
  <si>
    <t>Need Agro Industries</t>
  </si>
  <si>
    <t>Tea, Mango</t>
  </si>
  <si>
    <t>Red Spider Mite, Hopper</t>
  </si>
  <si>
    <t>500 ml/ha; 1 ml/L of water</t>
  </si>
  <si>
    <t>Tea | Red Spider Mite | 500 ml/ha
Mango | Hopper | 1 ml/L of water</t>
  </si>
  <si>
    <t>Super Win 20EC</t>
  </si>
  <si>
    <t>AP-5307</t>
  </si>
  <si>
    <t>Win Agro Limited</t>
  </si>
  <si>
    <t>Jamir 20EC</t>
  </si>
  <si>
    <t>AP-5524</t>
  </si>
  <si>
    <t>Hairy Caterpillar</t>
  </si>
  <si>
    <t>550 ml/ha</t>
  </si>
  <si>
    <t>Jute | Hairy Caterpillar | 550 ml/ha</t>
  </si>
  <si>
    <t>Plabon 20EC</t>
  </si>
  <si>
    <t>AP-5525</t>
  </si>
  <si>
    <t>General Agro Chemicals Ltd.</t>
  </si>
  <si>
    <t>0.5 ml/L of water</t>
  </si>
  <si>
    <t>Brinjal | Red Spider Mite | 0.5 ml/L of water</t>
  </si>
  <si>
    <t>Fair-Hit 20EC</t>
  </si>
  <si>
    <t>AP-5779</t>
  </si>
  <si>
    <t>Fair Agrochemicals Services Ltd.</t>
  </si>
  <si>
    <t>Mango, Tea</t>
  </si>
  <si>
    <t>Hopper, Helopeltis</t>
  </si>
  <si>
    <t>1 ml/L of water; 500 ml/ha</t>
  </si>
  <si>
    <t>Mango | Hopper | 1 ml/L of water
Tea | Helopeltis | 500 ml/ha</t>
  </si>
  <si>
    <t>Khallash 20EC</t>
  </si>
  <si>
    <t>AP-5780</t>
  </si>
  <si>
    <t>Babylon Agriscience Ltd.</t>
  </si>
  <si>
    <t>Ball worm</t>
  </si>
  <si>
    <t>Cotton | Ball worm | 200 ml/ha</t>
  </si>
  <si>
    <t>ZicZole 20SC</t>
  </si>
  <si>
    <t>AP-6003</t>
  </si>
  <si>
    <t>Gurpukur Corporation</t>
  </si>
  <si>
    <t>Jute | Hairy Caterpillar | 500 ml/ha</t>
  </si>
  <si>
    <t>Serf Super 20EC</t>
  </si>
  <si>
    <t>AP-6004</t>
  </si>
  <si>
    <t>Serf Agro Industroes</t>
  </si>
  <si>
    <t>Mango | Hopper | 1 ml/L of water</t>
  </si>
  <si>
    <t>Daoya 20EC</t>
  </si>
  <si>
    <t>AP-6005</t>
  </si>
  <si>
    <t>Express Agro Care Ltd.</t>
  </si>
  <si>
    <t>650 ml/ha</t>
  </si>
  <si>
    <t>Jute | Hairy Caterpillar | 650 ml/ha</t>
  </si>
  <si>
    <t>Daze 20EC</t>
  </si>
  <si>
    <t>AP-6006</t>
  </si>
  <si>
    <t>Roof Crop Care Ltd.</t>
  </si>
  <si>
    <t>Jute, Mango</t>
  </si>
  <si>
    <t>Hairy Caterpillar, Hopper</t>
  </si>
  <si>
    <t>Jute | Hairy Caterpillar | 500 ml/ha
Mango | Hopper | 1 ml/L of water</t>
  </si>
  <si>
    <t>Rongon 20EC</t>
  </si>
  <si>
    <t>AP-6007</t>
  </si>
  <si>
    <t>Cutworm</t>
  </si>
  <si>
    <t>3 ml/L of water</t>
  </si>
  <si>
    <t>Potato | Cutworm | 3 ml/L of water</t>
  </si>
  <si>
    <t>Sumoprempt 20EC</t>
  </si>
  <si>
    <t>AP-6008</t>
  </si>
  <si>
    <t>ACI Chemicals Limited</t>
  </si>
  <si>
    <t>Red mites</t>
  </si>
  <si>
    <t>0.50 ml/L of water</t>
  </si>
  <si>
    <t>Brinjal | Red mites | 0.50 ml/L of water</t>
  </si>
  <si>
    <t>Fenvet Plus 20EC</t>
  </si>
  <si>
    <t>AP-6009</t>
  </si>
  <si>
    <t>Aranya Crop Care Limited</t>
  </si>
  <si>
    <t>Smash Plus 20EC</t>
  </si>
  <si>
    <t>AP-6010</t>
  </si>
  <si>
    <t>Atherton Imbros Company Ltd.</t>
  </si>
  <si>
    <t>Ricofen Plus 20EC</t>
  </si>
  <si>
    <t>AP-6011</t>
  </si>
  <si>
    <t>Rico Agrovet</t>
  </si>
  <si>
    <t>Tea | Red spider mite | 500 ml/ha</t>
  </si>
  <si>
    <t>Hexythiazox</t>
  </si>
  <si>
    <t>Mite Scavenger 10EC</t>
  </si>
  <si>
    <t>AP-3898</t>
  </si>
  <si>
    <t>IRAC 10A</t>
  </si>
  <si>
    <t>Hexythiao 5.45EC</t>
  </si>
  <si>
    <t>AP-4076</t>
  </si>
  <si>
    <t>Hossain Enterprise C C Ltd</t>
  </si>
  <si>
    <t>Tea, Brinjal</t>
  </si>
  <si>
    <t>Red spider mite, Mite</t>
  </si>
  <si>
    <t>1.0 L/ha; 1 ml/L of water</t>
  </si>
  <si>
    <t>Tea | Red spider mite | 1.0 L/ha
Brinjal | Mite | 1 ml/L of water</t>
  </si>
  <si>
    <t>Larsimite 10EC</t>
  </si>
  <si>
    <t>AP-4576</t>
  </si>
  <si>
    <t>Larsen Chemical Industries (Pvt) Ltd.</t>
  </si>
  <si>
    <t>Tea, Jute</t>
  </si>
  <si>
    <t>Red spider mite, Yellow mite</t>
  </si>
  <si>
    <t>Tea | Red spider mite | 500 ml/ha
Jute | Yellow mite | 500 ml/ha</t>
  </si>
  <si>
    <t>Demiter 10EC</t>
  </si>
  <si>
    <t>AP-4925</t>
  </si>
  <si>
    <t>Tea, Rice</t>
  </si>
  <si>
    <t>Red spider mite, BPH</t>
  </si>
  <si>
    <t>500 ml/ha; 1.0 L/ha</t>
  </si>
  <si>
    <t>Tea | Red spider mite | 500 ml/ha
Rice | BPH | 1.0 L/ha</t>
  </si>
  <si>
    <t>Nezox 10EC</t>
  </si>
  <si>
    <t>AP-4926</t>
  </si>
  <si>
    <t>Mileage 10EC</t>
  </si>
  <si>
    <t>AP-5309</t>
  </si>
  <si>
    <t>Tea, Chilli</t>
  </si>
  <si>
    <t>Red Spider Mite, Thrips</t>
  </si>
  <si>
    <t>Tea | Red Spider Mite | 500 ml/ha
Chilli | Thrips | 1 ml/L of water</t>
  </si>
  <si>
    <t>Aimzox 10EC</t>
  </si>
  <si>
    <t>AP-5311</t>
  </si>
  <si>
    <t>Agricultural Input Marketing</t>
  </si>
  <si>
    <t>Red spider mite, Yellow Mite</t>
  </si>
  <si>
    <t>500 ml/ha; 800 ml/ha</t>
  </si>
  <si>
    <t>Tea | Red spider mite | 500 ml/ha
Jute | Yellow Mite | 800 ml/ha</t>
  </si>
  <si>
    <t>Sunex 10EC</t>
  </si>
  <si>
    <t>AP-5529</t>
  </si>
  <si>
    <t>Spidex 10EC</t>
  </si>
  <si>
    <t>AP-5717</t>
  </si>
  <si>
    <t>Propargite</t>
  </si>
  <si>
    <t>Omite 57EC</t>
  </si>
  <si>
    <t>AP-184</t>
  </si>
  <si>
    <t>Red spider mites, Red mite</t>
  </si>
  <si>
    <t>1.0 L/ha</t>
  </si>
  <si>
    <t>Tea | Red spider mites | 1.0 L/ha
Brinjal | Red mite | 1.0 L/ha</t>
  </si>
  <si>
    <t>IRAC 12C</t>
  </si>
  <si>
    <t>Sumite 57EC</t>
  </si>
  <si>
    <t>AP-360</t>
  </si>
  <si>
    <t>Tea | Red mites | 1.0 L/ha</t>
  </si>
  <si>
    <t>Emimite 57EC</t>
  </si>
  <si>
    <t>AP-1159</t>
  </si>
  <si>
    <t>Red spider mites</t>
  </si>
  <si>
    <t>Tea | Red spider mites | 1.0 L/ha</t>
  </si>
  <si>
    <t>Aromit 57EC</t>
  </si>
  <si>
    <t>AP-2308</t>
  </si>
  <si>
    <t>Mastamite 57EC</t>
  </si>
  <si>
    <t>AP-2447</t>
  </si>
  <si>
    <t>Hossain Enterprise C.C. Ltd.</t>
  </si>
  <si>
    <t>1.0 L/ha; 2 ml/L of water</t>
  </si>
  <si>
    <t>Tea | Red spider mites | 1.0 L/ha
Brinjal | Red mite | 2 ml/L of water</t>
  </si>
  <si>
    <t>Indomite 57EC</t>
  </si>
  <si>
    <t>AP-4075</t>
  </si>
  <si>
    <t>Indofil Bangladesh Industries Pvt. Ltd.</t>
  </si>
  <si>
    <t>Red spider mites, Mite</t>
  </si>
  <si>
    <t>Tea | Red spider mites | 1.0 L/ha
Brinjal | Mite | 2 ml/L of water</t>
  </si>
  <si>
    <t>Oromite 57EC</t>
  </si>
  <si>
    <t>AP-5351</t>
  </si>
  <si>
    <t>Sulphur</t>
  </si>
  <si>
    <t>Limi Sulphur 80WP</t>
  </si>
  <si>
    <t>AP-292</t>
  </si>
  <si>
    <t>The Limit Agroproducts Limited</t>
  </si>
  <si>
    <t>Jute, Tea</t>
  </si>
  <si>
    <t>Yellow mites, Red mites</t>
  </si>
  <si>
    <t>1.68 kg/ha; 2.20 kg/ha</t>
  </si>
  <si>
    <t>Jute | Yellow mites | 1.68 kg/ha
Tea | Red mites | 2.20 kg/ha</t>
  </si>
  <si>
    <t>Cosavet DF</t>
  </si>
  <si>
    <t>AP-397</t>
  </si>
  <si>
    <t>Alpha Agro Limited</t>
  </si>
  <si>
    <t>Jute, Tea, Cucurbit</t>
  </si>
  <si>
    <t>Yellow mites, Red mites, Powdery mildew</t>
  </si>
  <si>
    <t>880 g/ha; 2.20 kg/ha; 2 g/L of water</t>
  </si>
  <si>
    <t>Jute | Yellow mites | 880 g/ha
Tea | Red mites | 2.20 kg/ha
Cucurbit | Powdery mildew | 2 g/L of water</t>
  </si>
  <si>
    <t>Sulphur 80WP</t>
  </si>
  <si>
    <t>AP-392</t>
  </si>
  <si>
    <t>Gourab Industries Limited</t>
  </si>
  <si>
    <t>Yellow mites, Mites, Powdery mildew</t>
  </si>
  <si>
    <t>0.12% a.i./ha; 2.20 kg/ha; 1.25 g/L of water</t>
  </si>
  <si>
    <t>Jute | Yellow mites | 0.12% a.i./ha
Tea | Mites | 2.20 kg/ha
Cucurbit | Powdery mildew | 1.25 g/L of water</t>
  </si>
  <si>
    <t>Sulfolac 80WG</t>
  </si>
  <si>
    <t>AP-413</t>
  </si>
  <si>
    <t>Jute, Cucurbit, Tea, Rice</t>
  </si>
  <si>
    <t>Yellow Mites, Powdery mildew, Red mites, Leaf scald</t>
  </si>
  <si>
    <t>2.20 kg/ha; 1.25 g/L of water</t>
  </si>
  <si>
    <t>Jute | Yellow Mites | 2.20 kg/ha
Cucurbit | Powdery mildew | 1.25 g/L of water
Tea | Red mites | 2.20 kg/ha
Rice | Leaf scald | 2.20 kg/ha</t>
  </si>
  <si>
    <t>Filvit 80WG</t>
  </si>
  <si>
    <t>AP-480</t>
  </si>
  <si>
    <t>Agritech</t>
  </si>
  <si>
    <t>2.20 kg/ha</t>
  </si>
  <si>
    <t>Tea | Red mites | 2.20 kg/ha</t>
  </si>
  <si>
    <t>Haysulf DF 80%</t>
  </si>
  <si>
    <t>AP-481</t>
  </si>
  <si>
    <t>Tea, Cucurbit, Jute, Coriander</t>
  </si>
  <si>
    <t>Red mites, Powdery mildew, Yellow mites</t>
  </si>
  <si>
    <t>2.20 kg/ha; 2 g/L of water; 0.12 a.i/ha</t>
  </si>
  <si>
    <t>Tea | Red mites | 2.20 kg/ha
Cucurbit | Powdery mildew | 2 g/L of water
Jute | Yellow mites | 0.12 a.i/ha
Coriander | Powdery mildew | 2 g/L of water</t>
  </si>
  <si>
    <t>Phytovit 80DF</t>
  </si>
  <si>
    <t>AP-510</t>
  </si>
  <si>
    <t>East West Chemicals Ltd.</t>
  </si>
  <si>
    <t>Cucurbit, Jute</t>
  </si>
  <si>
    <t>Powdery mildew, Yellow mites</t>
  </si>
  <si>
    <t>2 g/Lof water; 1.75 kg/ha</t>
  </si>
  <si>
    <t>Cucurbit | Powdery mildew | 2 g/Lof water
Jute | Yellow mites | 1.75 kg/ha</t>
  </si>
  <si>
    <t>Vitasul 80WP</t>
  </si>
  <si>
    <t>AP-513</t>
  </si>
  <si>
    <t>Padma Agro Sprayers Co.</t>
  </si>
  <si>
    <t>Cucurbits</t>
  </si>
  <si>
    <t>2 g/L of water</t>
  </si>
  <si>
    <t>Cucurbits | Powdery mildew | 2 g/L of water</t>
  </si>
  <si>
    <t>Prosulf 80%DF</t>
  </si>
  <si>
    <t>AP-529</t>
  </si>
  <si>
    <t>Tea, Jute, Cucurbit</t>
  </si>
  <si>
    <t>Red mites, Yellow mites, Powdery mildew</t>
  </si>
  <si>
    <t>2.25 kg/ha; 1.75 kg/ha; 2 g/L of water</t>
  </si>
  <si>
    <t>Tea | Red mites | 2.25 kg/ha
Jute | Yellow mites | 1.75 kg/ha
Cucurbit | Powdery mildew | 2 g/L of water</t>
  </si>
  <si>
    <t>Kumulus DF</t>
  </si>
  <si>
    <t>AP-548</t>
  </si>
  <si>
    <t>BASF Bangladesh Limited</t>
  </si>
  <si>
    <t>Tea, Bottle gourd, Potato, Cucumber,Teasle gourd, Bitter gourd, Bean,, Cabbage, Cauliflower, Snake gourd, Ridge, gourd, Watermelon, Rice</t>
  </si>
  <si>
    <t>Red spider mites &amp; other mites, Powdery mildew, Leaf scald</t>
  </si>
  <si>
    <t>2.20 kg/ha; 2.00 kg/ha; 2.50 kg/ha</t>
  </si>
  <si>
    <t>Tea | Red spider mites &amp; other mites | 2.20 kg/ha
Bottle gourd, Potato | Powdery mildew | 2.00 kg/ha
Cucumber,Teasle gourd | Powdery mildew | 2.00 kg/ha
Bitter gourd, Bean, | Powdery mildew | 2.00 kg/ha
Cabbage, Cauliflower | Powdery mildew | 2.00 kg/ha
Snake gourd, Ridge | Powdery mildew | 2.00 kg/ha
gourd, Watermelon | Powdery mildew | 2.00 kg/ha
Rice | Leaf scald | 2.50 kg/ha</t>
  </si>
  <si>
    <t>Thiovit 80WG</t>
  </si>
  <si>
    <t>AP-552</t>
  </si>
  <si>
    <t>Syngenta Bangladesh Limited</t>
  </si>
  <si>
    <t>Jute, Bottle gourd, Sweet, gourd, Cucurbit, Bitter gourd, Citrus,, Teasel gourd, Ribbed, gourd, Watermelon, Tomato, Tea, Sugarcane, Rice</t>
  </si>
  <si>
    <t>Yellow &amp; Red mites, Powdery mildew, Wilt, Mites, Leaf scald</t>
  </si>
  <si>
    <t>3.30 kg/ha; 2.25 kg/ha; 2.50 kg/ha</t>
  </si>
  <si>
    <t>Jute | Yellow &amp; Red mites | 3.30 kg/ha
Bottle gourd, Sweet | Powdery mildew | 2.25 kg/ha
gourd, Cucurbit | Powdery mildew | 2.25 kg/ha
Bitter gourd, Citrus, | Powdery mildew | 2.25 kg/ha
Teasel gourd, Ribbed | Powdery mildew | 2.25 kg/ha
gourd, Watermelon | Powdery mildew | 2.25 kg/ha
Tomato | Wilt | 2.25 kg/ha
Tea | Mites | 2.25 kg/ha
Sugarcane | Powdery mildew | 3.30 kg/ha
Rice | Leaf scald | 2.50 kg/ha</t>
  </si>
  <si>
    <t>Corovit 80WG</t>
  </si>
  <si>
    <t>AP-562</t>
  </si>
  <si>
    <t>Corbel International Limited</t>
  </si>
  <si>
    <t>2.25 kg/ha</t>
  </si>
  <si>
    <t>Tea | Red mites | 2.25 kg/ha</t>
  </si>
  <si>
    <t>Agrovet DF</t>
  </si>
  <si>
    <t>AP-563</t>
  </si>
  <si>
    <t>Tea, Cucurbits</t>
  </si>
  <si>
    <t>Red mites, Powdery mildew</t>
  </si>
  <si>
    <t>2.25 kg/ha; 2 g/L of water</t>
  </si>
  <si>
    <t>Tea | Red mites | 2.25 kg/ha
Cucurbits | Powdery mildew | 2 g/L of water</t>
  </si>
  <si>
    <t>Gayvet 80DF</t>
  </si>
  <si>
    <t>AP-659</t>
  </si>
  <si>
    <t>Square Pharmaceuticals Limited</t>
  </si>
  <si>
    <t>Pestsul 80WP</t>
  </si>
  <si>
    <t>AP-660</t>
  </si>
  <si>
    <t>Home Pest Control</t>
  </si>
  <si>
    <t>Sulvit 80 WP</t>
  </si>
  <si>
    <t>AP-706</t>
  </si>
  <si>
    <t>Prime Agro Limited</t>
  </si>
  <si>
    <t>Sulfochem 80WDG</t>
  </si>
  <si>
    <t>AP-734</t>
  </si>
  <si>
    <t>Tea, Cucurbit, Jute, Rice</t>
  </si>
  <si>
    <t>Red spider mite, Powdery mildew, Yellow mite, Leaf scald</t>
  </si>
  <si>
    <t>2.25 kg/ha; 2 g/L of water; 2.20 kg/ha; 2.50 kg/ha</t>
  </si>
  <si>
    <t>Tea | Red spider mite | 2.25 kg/ha
Cucurbit | Powdery mildew | 2 g/L of water
Jute | Yellow mite | 2.20 kg/ha
Rice | Leaf scald | 2.50 kg/ha</t>
  </si>
  <si>
    <t>Multiplex 80WP</t>
  </si>
  <si>
    <t>AP-735</t>
  </si>
  <si>
    <t>Tea | Red spider mite | 2.25 kg/ha</t>
  </si>
  <si>
    <t>Comet 80WP</t>
  </si>
  <si>
    <t>AP-736</t>
  </si>
  <si>
    <t>Global Agrovet Limited</t>
  </si>
  <si>
    <t>Red spider mite, Powdery mildew</t>
  </si>
  <si>
    <t>Tea | Red spider mite | 2.25 kg/ha
Cucurbits | Powdery mildew | 2 g/L of water</t>
  </si>
  <si>
    <t>Mycosul 80WDG</t>
  </si>
  <si>
    <t>AP-744</t>
  </si>
  <si>
    <t>Cucurbit, Jute, Tea</t>
  </si>
  <si>
    <t>Powdery mildew, Yellow mite, Red spider mite</t>
  </si>
  <si>
    <t>2 g/L of water; 2.25 kg/ha</t>
  </si>
  <si>
    <t>Cucurbit | Powdery mildew | 2 g/L of water
Jute | Yellow mite | 2.25 kg/ha
Tea | Red spider mite | 2.25 kg/ha</t>
  </si>
  <si>
    <t>Supervit 80DF</t>
  </si>
  <si>
    <t>AP-745</t>
  </si>
  <si>
    <t>1.25 kg/ha; 1.75 kg/ha</t>
  </si>
  <si>
    <t>Tea | Red spider mite | 1.25 kg/ha
Jute | Yellow mite | 1.75 kg/ha</t>
  </si>
  <si>
    <t>Insaf 80WP</t>
  </si>
  <si>
    <t>AP-746</t>
  </si>
  <si>
    <t>United Phosphorus (Bangladesh) Ltd</t>
  </si>
  <si>
    <t>Cucurbit</t>
  </si>
  <si>
    <t>Cucurbit | Powdery mildew | 2 g/L of water</t>
  </si>
  <si>
    <t>Monovit 80WG</t>
  </si>
  <si>
    <t>AP-864</t>
  </si>
  <si>
    <t>Cucurbits, Garden pea, Tomato</t>
  </si>
  <si>
    <t>Powdery mildew, Wilt</t>
  </si>
  <si>
    <t>Cucurbits | Powdery mildew | 2 g/L of water
Garden pea | Powdery mildew | 2 g/L of water
Tomato | Wilt | 2 g/L of water</t>
  </si>
  <si>
    <t>Aimcoflo 80WDG</t>
  </si>
  <si>
    <t>AP-869</t>
  </si>
  <si>
    <t>Yellow mite</t>
  </si>
  <si>
    <t>Jute | Yellow mite | 2.20 kg/ha</t>
  </si>
  <si>
    <t>Orovit 80WG</t>
  </si>
  <si>
    <t>AP-870</t>
  </si>
  <si>
    <t>Jute, Cucurbits</t>
  </si>
  <si>
    <t>Yellow mite, Powdery mildew</t>
  </si>
  <si>
    <t>2.20 kg/ha; 2 g/L of water</t>
  </si>
  <si>
    <t>Jute | Yellow mite | 2.20 kg/ha
Cucurbits | Powdery mildew | 2 g/L of water</t>
  </si>
  <si>
    <t>Nanthion 80DF</t>
  </si>
  <si>
    <t>AP-887</t>
  </si>
  <si>
    <t>Hossain Enterprise C.C.Ltd.</t>
  </si>
  <si>
    <t>125 g/L of water; 2 g/L of water</t>
  </si>
  <si>
    <t>Tea | Red spider mite | 125 g/L of water
Mango | Powdery mildew | 2 g/L of water</t>
  </si>
  <si>
    <t>Edsulf 80DF</t>
  </si>
  <si>
    <t>AP-889</t>
  </si>
  <si>
    <t>Nokon Limited</t>
  </si>
  <si>
    <t>Tea, Garden pea, Jute</t>
  </si>
  <si>
    <t>Red spider mite, Powdery mildew, Yellow mites</t>
  </si>
  <si>
    <t>125 g/L of water; 2 g/Lof water; 2.25 kg/ha</t>
  </si>
  <si>
    <t>Tea | Red spider mite | 125 g/L of water
Garden pea | Powdery mildew | 2 g/Lof water
Jute | Yellow mites | 2.25 kg/ha</t>
  </si>
  <si>
    <t>Naafsal 80WP</t>
  </si>
  <si>
    <t>AP-979</t>
  </si>
  <si>
    <t>Naafco (Private) Limited</t>
  </si>
  <si>
    <t>Garden pea</t>
  </si>
  <si>
    <t>Garden pea | Powdery mildew | 2 g/L of water</t>
  </si>
  <si>
    <t>Microvit 80WG</t>
  </si>
  <si>
    <t>AP-987</t>
  </si>
  <si>
    <t>2 g/Lof water</t>
  </si>
  <si>
    <t>Mango | Powdery mildew | 2 g/Lof water</t>
  </si>
  <si>
    <t>Trisul 80WP</t>
  </si>
  <si>
    <t>AP-991</t>
  </si>
  <si>
    <t>Agrimax Bangladesh Limited</t>
  </si>
  <si>
    <t>Tea | Red spider mites | 2.25 kg/ha</t>
  </si>
  <si>
    <t>Microthiol Special Disperses 80 WG</t>
  </si>
  <si>
    <t>AP-1028</t>
  </si>
  <si>
    <t>SEMCO Corporation Ltd.</t>
  </si>
  <si>
    <t>Jute | Powdery mildew | 2.25 kg/ha</t>
  </si>
  <si>
    <t>Greensul 80WG</t>
  </si>
  <si>
    <t>AP-1048</t>
  </si>
  <si>
    <t>Sunvet 80DF</t>
  </si>
  <si>
    <t>AP-1056</t>
  </si>
  <si>
    <t>Arozim 80WG</t>
  </si>
  <si>
    <t>AP-1064</t>
  </si>
  <si>
    <t>Jute, Garden pea</t>
  </si>
  <si>
    <t>Yellow spider mite, Powdery mildew</t>
  </si>
  <si>
    <t>3.30 kg/ha; 2.20 kg/ha</t>
  </si>
  <si>
    <t>Jute | Yellow spider mite | 3.30 kg/ha
Garden pea | Powdery mildew | 2.20 kg/ha</t>
  </si>
  <si>
    <t>Thiosul 80DF</t>
  </si>
  <si>
    <t>AP-1068</t>
  </si>
  <si>
    <t>Maitri Agro Industries</t>
  </si>
  <si>
    <t>Tea, Garden pea</t>
  </si>
  <si>
    <t>Tea | Red spider mite | 2.25 kg/ha
Garden pea | Powdery mildew | 2 g/L of water</t>
  </si>
  <si>
    <t>Thiolux 80WP</t>
  </si>
  <si>
    <t>AP-1082</t>
  </si>
  <si>
    <t>Agro Business Support Ltd.</t>
  </si>
  <si>
    <t>2.25 kg/ha; 2.20 kg/ha</t>
  </si>
  <si>
    <t>Tea | Red spider mite | 2.25 kg/ha
Jute | Yellow mite | 2.20 kg/ha</t>
  </si>
  <si>
    <t>Milvit 80WG</t>
  </si>
  <si>
    <t>AP-1093</t>
  </si>
  <si>
    <t>SARK Bangladesh</t>
  </si>
  <si>
    <t>Yellow Spider mite, Powdery mildew</t>
  </si>
  <si>
    <t>3.30 kg/ha; 2 g/L of water</t>
  </si>
  <si>
    <t>Jute | Yellow Spider mite | 3.30 kg/ha
Garden pea | Powdery mildew | 2 g/L of water</t>
  </si>
  <si>
    <t>Acmesulf 80WDG</t>
  </si>
  <si>
    <t>AP-1116</t>
  </si>
  <si>
    <t>Reka Sulphur 80WP</t>
  </si>
  <si>
    <t>AP-1217</t>
  </si>
  <si>
    <t>Chemist Crop Care Ltd.</t>
  </si>
  <si>
    <t>Eco Sulphur 80WP</t>
  </si>
  <si>
    <t>AP-1238</t>
  </si>
  <si>
    <t>Amco Agricultural Industries</t>
  </si>
  <si>
    <t>Red spider mites, Powdery mildew</t>
  </si>
  <si>
    <t>Tea | Red spider mites | 2.25 kg/ha
Cucurbits | Powdery mildew | 2 g/L of water</t>
  </si>
  <si>
    <t>Newvit 80WG</t>
  </si>
  <si>
    <t>AP-1239</t>
  </si>
  <si>
    <t>Pace Import &amp; Export Ltd.</t>
  </si>
  <si>
    <t>Energy 80WG</t>
  </si>
  <si>
    <t>AP-1240</t>
  </si>
  <si>
    <t>Eon Agro Industries Limited</t>
  </si>
  <si>
    <t>Red spider mites, Yellow mites</t>
  </si>
  <si>
    <t>2.25 kg/ha; 1.75 kg/ha</t>
  </si>
  <si>
    <t>Tea | Red spider mites | 2.25 kg/ha
Jute | Yellow mites | 1.75 kg/ha</t>
  </si>
  <si>
    <t>Seaovit 80WG</t>
  </si>
  <si>
    <t>AP-1267</t>
  </si>
  <si>
    <t>Sea Trade Fertilizer Limited</t>
  </si>
  <si>
    <t>Jute, Cucurbit, Tea</t>
  </si>
  <si>
    <t>Yellow mites, Powdery mildew, Red spider mite</t>
  </si>
  <si>
    <t>1.75 kg/ha; 2 g/L of water; 2.25 kg/ha</t>
  </si>
  <si>
    <t>Jute | Yellow mites | 1.75 kg/ha
Cucurbit | Powdery mildew | 2 g/L of water
Tea | Red spider mite | 2.25 kg/ha</t>
  </si>
  <si>
    <t>Ravvit 80WG</t>
  </si>
  <si>
    <t>AP-1268</t>
  </si>
  <si>
    <t>Raven Agro Chemicals Limited</t>
  </si>
  <si>
    <t>Mapsul 80DF</t>
  </si>
  <si>
    <t>AP-1269</t>
  </si>
  <si>
    <t>MAP Agro Industries Limited</t>
  </si>
  <si>
    <t>Yellow mites, Red spider mite</t>
  </si>
  <si>
    <t>1.75 kg/ha; 2.25 kg/ha</t>
  </si>
  <si>
    <t>Jute | Yellow mites | 1.75 kg/ha
Tea | Red spider mite | 2.25 kg/ha</t>
  </si>
  <si>
    <t>CP-Vit 80WDG</t>
  </si>
  <si>
    <t>AP-1346</t>
  </si>
  <si>
    <t>Crop Protection &amp; Care Center</t>
  </si>
  <si>
    <t>Sulfavit 80WG</t>
  </si>
  <si>
    <t>AP-1399</t>
  </si>
  <si>
    <t>Marshal Agrovet Chemical Industries Ltd</t>
  </si>
  <si>
    <t>Red spider mites, Yellow mite, Powdery mildew</t>
  </si>
  <si>
    <t>Tea | Red spider mites | 2.20 kg/ha
Jute | Yellow mite | 2.20 kg/ha
Cucurbit | Powdery mildew | 2 g/L of water</t>
  </si>
  <si>
    <t>PolySuf 80WG</t>
  </si>
  <si>
    <t>AP-1401</t>
  </si>
  <si>
    <t>McDonald Crop Care Ltd.</t>
  </si>
  <si>
    <t>Tea, Cucurbit</t>
  </si>
  <si>
    <t>Tea | Red spider mites | 2.20 kg/ha
Cucurbit | Powdery mildew | 2 g/L of water</t>
  </si>
  <si>
    <t>Newsulf 80WDG</t>
  </si>
  <si>
    <t>AP-1425</t>
  </si>
  <si>
    <t>Integrated Crop Solution Bangladesh</t>
  </si>
  <si>
    <t>Red spider mites, Yellow mite</t>
  </si>
  <si>
    <t>Tea | Red spider mites | 2.25 kg/ha
Jute | Yellow mite | 2.20 kg/ha</t>
  </si>
  <si>
    <t>Baisulphur 80WG</t>
  </si>
  <si>
    <t>AP-1426</t>
  </si>
  <si>
    <t>Genevit 80DF</t>
  </si>
  <si>
    <t>AP-1437</t>
  </si>
  <si>
    <t>Rover 80WG</t>
  </si>
  <si>
    <t>AP-1510</t>
  </si>
  <si>
    <t>Seavovit 80WG</t>
  </si>
  <si>
    <t>AP-1511</t>
  </si>
  <si>
    <t>Herosulf 80WG</t>
  </si>
  <si>
    <t>AP-1624</t>
  </si>
  <si>
    <t>A M Traders</t>
  </si>
  <si>
    <t>Yellow mites, Red spider mite, Powdery mildew</t>
  </si>
  <si>
    <t>Jute | Yellow mites | 2.25 kg/ha
Tea | Red spider mite | 2.25 kg/ha
Cucurbit | Powdery mildew | 2 g/L of water</t>
  </si>
  <si>
    <t>Saniron 80WDG</t>
  </si>
  <si>
    <t>AP-1630</t>
  </si>
  <si>
    <t>Jute | Yellow mites | 2.25 kg/ha
Tea | Red spider mite | 2.25 kg/ha</t>
  </si>
  <si>
    <t>Hisulfur 80WP</t>
  </si>
  <si>
    <t>AP-1634</t>
  </si>
  <si>
    <t>Hazi Abdul Hakim Sawdagor</t>
  </si>
  <si>
    <t>Yellow mites</t>
  </si>
  <si>
    <t>Jute | Yellow mites | 2.25 kg/ha</t>
  </si>
  <si>
    <t>Sahar 80WDG</t>
  </si>
  <si>
    <t>AP-1635</t>
  </si>
  <si>
    <t>Sulfox 80WDG</t>
  </si>
  <si>
    <t>AP-1636</t>
  </si>
  <si>
    <t>Wonderful 80WG</t>
  </si>
  <si>
    <t>AP-1672</t>
  </si>
  <si>
    <t>Aama Green Care</t>
  </si>
  <si>
    <t>Mango, Tea, Cucurbits</t>
  </si>
  <si>
    <t>Powdery mildew, Red spider mites</t>
  </si>
  <si>
    <t>Mango | Powdery mildew | 2 g/L of water
Tea | Red spider mites | 2.25 kg/ha
Cucurbits | Powdery mildew | 2 g/L of water</t>
  </si>
  <si>
    <t>Shaheen 80WP</t>
  </si>
  <si>
    <t>AP-1673</t>
  </si>
  <si>
    <t>T H Pesticides</t>
  </si>
  <si>
    <t>Mango | Powdery mildew | 2 g/L of water
Tea | Red spider mites | 2.25 kg/ha</t>
  </si>
  <si>
    <t>Green Sulphur 80WP</t>
  </si>
  <si>
    <t>AP-1674</t>
  </si>
  <si>
    <t>Shahid Enterprise</t>
  </si>
  <si>
    <t>Evavit 80WG</t>
  </si>
  <si>
    <t>AP-1845</t>
  </si>
  <si>
    <t>E H &amp; Agrovet Limited</t>
  </si>
  <si>
    <t>Tea, Cucurbit, Jute</t>
  </si>
  <si>
    <t>Red spider mites, Powdery mildew, Yellow mite</t>
  </si>
  <si>
    <t>2.25 kg/ha; 2 g/L of water; 1.75 kg/ha</t>
  </si>
  <si>
    <t>Tea | Red spider mites | 2.25 kg/ha
Cucurbit | Powdery mildew | 2 g/L of water
Jute | Yellow mite | 1.75 kg/ha</t>
  </si>
  <si>
    <t>Sayon 80WG</t>
  </si>
  <si>
    <t>AP-1863</t>
  </si>
  <si>
    <t>Dreamland Agro Products</t>
  </si>
  <si>
    <t>Arenavit 80WDG</t>
  </si>
  <si>
    <t>AP-1864</t>
  </si>
  <si>
    <t>Agro Arena Associates Ltd.</t>
  </si>
  <si>
    <t>2.25 kg/ha; 3.30 kg/ha</t>
  </si>
  <si>
    <t>Tea | Red spider mites | 2.25 kg/ha
Jute | Yellow mites | 3.30 kg/ha</t>
  </si>
  <si>
    <t>Ciphur 80WDG</t>
  </si>
  <si>
    <t>AP-1866</t>
  </si>
  <si>
    <t>Surovi Agro Industries Limited</t>
  </si>
  <si>
    <t>Synovit 80WG</t>
  </si>
  <si>
    <t>AP-1911</t>
  </si>
  <si>
    <t>Assign Crop Care Limited</t>
  </si>
  <si>
    <t>Yellow mites, Red Spider mite</t>
  </si>
  <si>
    <t>2.20 kg/ha; 2.25 kg/ha</t>
  </si>
  <si>
    <t>Jute | Yellow mites | 2.20 kg/ha
Tea | Red Spider mite | 2.25 kg/ha</t>
  </si>
  <si>
    <t>Sinewvit 80WDG</t>
  </si>
  <si>
    <t>AP-1912</t>
  </si>
  <si>
    <t>Super Agro Services Co. Ltd.</t>
  </si>
  <si>
    <t>1.00 kg/ha</t>
  </si>
  <si>
    <t>Jute | Yellow mites | 1.00 kg/ha</t>
  </si>
  <si>
    <t>Silika 80WG</t>
  </si>
  <si>
    <t>AP-1914</t>
  </si>
  <si>
    <t>Cucurbit | Powdery mildew | 2.25 kg/ha</t>
  </si>
  <si>
    <t>Vita-Sulp 80WDG</t>
  </si>
  <si>
    <t>AP-2070</t>
  </si>
  <si>
    <t>Sadik Agrochemicals Co.</t>
  </si>
  <si>
    <t>Greener 80WDG</t>
  </si>
  <si>
    <t>AP-2072</t>
  </si>
  <si>
    <t>Jute, Cucurbit</t>
  </si>
  <si>
    <t>Yellow mites, Powdery mildew</t>
  </si>
  <si>
    <t>Jute | Yellow mites | 2.25 kg/ha
Cucurbit | Powdery mildew | 2 g/L of water</t>
  </si>
  <si>
    <t>Goldivit 80DF</t>
  </si>
  <si>
    <t>AP-2073</t>
  </si>
  <si>
    <t>Golden Agro Chemicals Limited</t>
  </si>
  <si>
    <t>Red Spider mite</t>
  </si>
  <si>
    <t>Tea | Red Spider mite | 2.25 kg/ha</t>
  </si>
  <si>
    <t>Silva Gold 80 WDG</t>
  </si>
  <si>
    <t>AP-2074</t>
  </si>
  <si>
    <t>Siraj Agro International Limited</t>
  </si>
  <si>
    <t>Dewvit 80WDG</t>
  </si>
  <si>
    <t>AP-2075</t>
  </si>
  <si>
    <t>D M Crop Care Limited</t>
  </si>
  <si>
    <t>Tea, Sweet gourd, Jute</t>
  </si>
  <si>
    <t>Red Spider mite, Powdery mildew, Yellow Mite</t>
  </si>
  <si>
    <t>2.25 kg/ha; 2 g/L of water; 2.50 kg/ha</t>
  </si>
  <si>
    <t>Tea | Red Spider mite | 2.25 kg/ha
Sweet gourd | Powdery mildew | 2 g/L of water
Jute | Yellow Mite | 2.50 kg/ha</t>
  </si>
  <si>
    <t>Rajvit 80WDG</t>
  </si>
  <si>
    <t>AP-2076</t>
  </si>
  <si>
    <t>Lal Teer Insuf 80WDG</t>
  </si>
  <si>
    <t>AP-2077</t>
  </si>
  <si>
    <t>Chens Crop Science Bangladesh Ltd</t>
  </si>
  <si>
    <t>Greenvit 80WDG</t>
  </si>
  <si>
    <t>AP-2079</t>
  </si>
  <si>
    <t>Blessing Agrovet Industries Ltd.</t>
  </si>
  <si>
    <t>Getvit 80WDG</t>
  </si>
  <si>
    <t>AP-2080</t>
  </si>
  <si>
    <t>Getco Agri Technologies Ltd.</t>
  </si>
  <si>
    <t>Sulfin 80WDG</t>
  </si>
  <si>
    <t>AP-2081</t>
  </si>
  <si>
    <t>Petrochem Agro Industries Ltd</t>
  </si>
  <si>
    <t>Cucurbit, Tea</t>
  </si>
  <si>
    <t>Powdery mildew, Spider Mite</t>
  </si>
  <si>
    <t>Cucurbit | Powdery mildew | 2 g/L of water
Tea | Spider Mite | 2.25 kg/ha</t>
  </si>
  <si>
    <t>Ricovet 80WG</t>
  </si>
  <si>
    <t>AP-2230</t>
  </si>
  <si>
    <t>Tea | Red Spider Mite | 2.25 kg/ha</t>
  </si>
  <si>
    <t>Lavet 80WP</t>
  </si>
  <si>
    <t>AP-2231</t>
  </si>
  <si>
    <t>Lark International</t>
  </si>
  <si>
    <t>Yellow Mite</t>
  </si>
  <si>
    <t>Jute | Yellow Mite | 2.25 kg/ha</t>
  </si>
  <si>
    <t>Sulforaj 80WG</t>
  </si>
  <si>
    <t>AP-2232</t>
  </si>
  <si>
    <t>Phytovit 80WDG</t>
  </si>
  <si>
    <t>AP-2233</t>
  </si>
  <si>
    <t>Domisul 80WDG</t>
  </si>
  <si>
    <t>AP-2235</t>
  </si>
  <si>
    <t>Helianthus Corporation Limited</t>
  </si>
  <si>
    <t>Red Spider Mite, Powdery mildew</t>
  </si>
  <si>
    <t>Tea | Red Spider Mite | 2.25 kg/ha
Cucurbit | Powdery mildew | 2 g/L of water</t>
  </si>
  <si>
    <t>Powervit 80WDG</t>
  </si>
  <si>
    <t>AP-2236</t>
  </si>
  <si>
    <t>Perfect Agro Care</t>
  </si>
  <si>
    <t>Egsul 80WP</t>
  </si>
  <si>
    <t>AP-2238</t>
  </si>
  <si>
    <t>Agrivision International</t>
  </si>
  <si>
    <t>Rexivit 80WDG</t>
  </si>
  <si>
    <t>AP-2315</t>
  </si>
  <si>
    <t>Reximco Insecticides Limited</t>
  </si>
  <si>
    <t>M S Sulphur 80WP</t>
  </si>
  <si>
    <t>AP-2427</t>
  </si>
  <si>
    <t>M S Agro Chemicals Company Ltd</t>
  </si>
  <si>
    <t>Emisulf 80WG</t>
  </si>
  <si>
    <t>AP-2428</t>
  </si>
  <si>
    <t>Tea | Red spider mite | 2.25 kg/ha
Jute | Yellow mite | 2.25 kg/ha</t>
  </si>
  <si>
    <t>Hadiavit 80WDG</t>
  </si>
  <si>
    <t>AP-2429</t>
  </si>
  <si>
    <t>Genetica Industries Ltd.</t>
  </si>
  <si>
    <t>Red spider mite, Yellow mite, Powdery mildew</t>
  </si>
  <si>
    <t>Tea | Red spider mite | 2.25 kg/ha
Jute | Yellow mite | 2.25 kg/ha
Cucurbit | Powdery mildew | 2 g/L of water</t>
  </si>
  <si>
    <t>Ashavit 80WG</t>
  </si>
  <si>
    <t>AP-2433</t>
  </si>
  <si>
    <t>R-Vit 80WDG</t>
  </si>
  <si>
    <t>AP-2434</t>
  </si>
  <si>
    <t>Bengal Crop Care Ltd.</t>
  </si>
  <si>
    <t>Goldvit 80WDG</t>
  </si>
  <si>
    <t>AP-2435</t>
  </si>
  <si>
    <t>SB Crop Care Industries Ltd.</t>
  </si>
  <si>
    <t>Siamvit 80 DG</t>
  </si>
  <si>
    <t>AP-2437</t>
  </si>
  <si>
    <t>Siam Crop Care</t>
  </si>
  <si>
    <t>Cucurbits, Tea</t>
  </si>
  <si>
    <t>Powdery mildew, Red Spider Mite</t>
  </si>
  <si>
    <t>Cucurbits | Powdery mildew | 2 g/L of water
Tea | Red Spider Mite | 2.25 kg/ha</t>
  </si>
  <si>
    <t>Mytivit 80WDG</t>
  </si>
  <si>
    <t>AP-2438</t>
  </si>
  <si>
    <t>Green Bangla Agrovet Ltd.</t>
  </si>
  <si>
    <t>McVit 80DF</t>
  </si>
  <si>
    <t>AP-2439</t>
  </si>
  <si>
    <t>Muktavit 55SC</t>
  </si>
  <si>
    <t>AP-2440</t>
  </si>
  <si>
    <t>Croplife Agro Chemicals Ltd</t>
  </si>
  <si>
    <t>Piron 80WDG</t>
  </si>
  <si>
    <t>AP-2443</t>
  </si>
  <si>
    <t>Hayvit 80WDG</t>
  </si>
  <si>
    <t>AP-2444</t>
  </si>
  <si>
    <t>Yellow mite, Powdery mildew, Red Spider Mite</t>
  </si>
  <si>
    <t>2.20 kg/ha; 2 g/L of water; 2.25 kg/ha</t>
  </si>
  <si>
    <t>Jute | Yellow mite | 2.20 kg/ha
Cucurbit | Powdery mildew | 2 g/L of water
Tea | Red Spider Mite | 2.25 kg/ha</t>
  </si>
  <si>
    <t>Rajsulf 80WDG</t>
  </si>
  <si>
    <t>AP-2445</t>
  </si>
  <si>
    <t>Netsul 80WDG</t>
  </si>
  <si>
    <t>AP-2818</t>
  </si>
  <si>
    <t>Sara Chemicals Limited</t>
  </si>
  <si>
    <t>Yellow mite, Red spider mite</t>
  </si>
  <si>
    <t>Jute | Yellow mite | 2.25 kg/ha
Tea | Red spider mite | 2.25 kg/ha</t>
  </si>
  <si>
    <t>Gilsulphur 80WDG</t>
  </si>
  <si>
    <t>AP-3068</t>
  </si>
  <si>
    <t>Sosul 80 WDG</t>
  </si>
  <si>
    <t>AP-3069</t>
  </si>
  <si>
    <t>ST Trading Corporation</t>
  </si>
  <si>
    <t>Gurvit 80WDG</t>
  </si>
  <si>
    <t>AP-3070</t>
  </si>
  <si>
    <t>Amana Agro Science</t>
  </si>
  <si>
    <t>Delcosul 80WDG</t>
  </si>
  <si>
    <t>AP-3071</t>
  </si>
  <si>
    <t>Delco Agro Industries</t>
  </si>
  <si>
    <t>Cumix 80WDG</t>
  </si>
  <si>
    <t>AP-3073</t>
  </si>
  <si>
    <t>Luxury Agro Limited</t>
  </si>
  <si>
    <t>Jute, Cucumber, Tea</t>
  </si>
  <si>
    <t>Yellow Mite, Powdery mildew, Red spider mite</t>
  </si>
  <si>
    <t>Jute | Yellow Mite | 2.25 kg/ha
Cucumber | Powdery mildew | 2 g/L of water
Tea | Red spider mite | 2.25 kg/ha</t>
  </si>
  <si>
    <t>Gemulus 80WDG</t>
  </si>
  <si>
    <t>AP-3074</t>
  </si>
  <si>
    <t>GME Agro Limited</t>
  </si>
  <si>
    <t>Yellow Mite, Red spider mite</t>
  </si>
  <si>
    <t>Jute | Yellow Mite | 2.25 kg/ha
Tea | Red spider mite | 2.25 kg/ha</t>
  </si>
  <si>
    <t>Zidan 80DF</t>
  </si>
  <si>
    <t>AP-3076</t>
  </si>
  <si>
    <t>Rahman Pesticide &amp; Chemicals Co.</t>
  </si>
  <si>
    <t>Wilt</t>
  </si>
  <si>
    <t>Tomato | Wilt | 2 g/L of water</t>
  </si>
  <si>
    <t>Wellvit 80WP</t>
  </si>
  <si>
    <t>AP-3077</t>
  </si>
  <si>
    <t>Allwell Agrotech Ltd.</t>
  </si>
  <si>
    <t>Threevit 80 WG</t>
  </si>
  <si>
    <t>AP-3078</t>
  </si>
  <si>
    <t>Sun Corporation</t>
  </si>
  <si>
    <t>Medivit 80WDG</t>
  </si>
  <si>
    <t>AP-3210</t>
  </si>
  <si>
    <t>Media Agro Marketing &amp; Industries</t>
  </si>
  <si>
    <t>Cucumber</t>
  </si>
  <si>
    <t>Cucumber | Powdery mildew | 2 g/L of water</t>
  </si>
  <si>
    <t>Agrovet 80WDG</t>
  </si>
  <si>
    <t>AP-3211</t>
  </si>
  <si>
    <t>Ecovet 80WDG</t>
  </si>
  <si>
    <t>AP-3212</t>
  </si>
  <si>
    <t>Bicolus 80WDG</t>
  </si>
  <si>
    <t>AP-3213</t>
  </si>
  <si>
    <t>Bismillah Corporation Limited</t>
  </si>
  <si>
    <t>Icovit 80WG</t>
  </si>
  <si>
    <t>AP-3214</t>
  </si>
  <si>
    <t>ICI Agri Care</t>
  </si>
  <si>
    <t>Fasalvit 80WDG</t>
  </si>
  <si>
    <t>AP-3219</t>
  </si>
  <si>
    <t>Fasal Agro Industries Ltd.</t>
  </si>
  <si>
    <t>Cucumber, Tea</t>
  </si>
  <si>
    <t>Powdery mildew, Red spider mite</t>
  </si>
  <si>
    <t>Cucumber | Powdery mildew | 2 g/L of water
Tea | Red spider mite | 2.25 kg/ha</t>
  </si>
  <si>
    <t>N-Vit 80WG</t>
  </si>
  <si>
    <t>AP-3223</t>
  </si>
  <si>
    <t>Nahar Agro International</t>
  </si>
  <si>
    <t>Sweet gourd</t>
  </si>
  <si>
    <t>Sweet gourd | Powdery mildew | 2 g/L of water</t>
  </si>
  <si>
    <t>Eversulf 80DF</t>
  </si>
  <si>
    <t>AP-3224</t>
  </si>
  <si>
    <t>Evergreen Crop Care Limited</t>
  </si>
  <si>
    <t>Ad-Ssulf 80DF</t>
  </si>
  <si>
    <t>AP-3225</t>
  </si>
  <si>
    <t>Agrisol Limited</t>
  </si>
  <si>
    <t>Greatvit 80WG</t>
  </si>
  <si>
    <t>AP-3227</t>
  </si>
  <si>
    <t>Nature &amp; Care Agro Products Ltd</t>
  </si>
  <si>
    <t>Sahvit 80WG</t>
  </si>
  <si>
    <t>AP-3237</t>
  </si>
  <si>
    <t>Shahjalal Agro Industries</t>
  </si>
  <si>
    <t>Sulfostar DF</t>
  </si>
  <si>
    <t>AP-3518</t>
  </si>
  <si>
    <t>Thuosal 80WDG</t>
  </si>
  <si>
    <t>AP-3519</t>
  </si>
  <si>
    <t>Absolve Crop Care</t>
  </si>
  <si>
    <t>Supersul 80WDG</t>
  </si>
  <si>
    <t>AP-3522</t>
  </si>
  <si>
    <t>Utsa Crop Care</t>
  </si>
  <si>
    <t>Cobravet 80DF</t>
  </si>
  <si>
    <t>AP-3523</t>
  </si>
  <si>
    <t>Mary Gold Agro Science</t>
  </si>
  <si>
    <t>Shaitovit 80WG</t>
  </si>
  <si>
    <t>AP-3524</t>
  </si>
  <si>
    <t>Sharib Trade Sangstha Pvt. Ltd.</t>
  </si>
  <si>
    <t>Carsulf 80DF</t>
  </si>
  <si>
    <t>AP-3526</t>
  </si>
  <si>
    <t>Take Care</t>
  </si>
  <si>
    <t>SB-Sul 80WDG</t>
  </si>
  <si>
    <t>AP-3527</t>
  </si>
  <si>
    <t>SB Crop Care Industries Ltd</t>
  </si>
  <si>
    <t>Sweet gourd, Jute</t>
  </si>
  <si>
    <t>Powdery mildew, Yellow mite</t>
  </si>
  <si>
    <t>Sweet gourd | Powdery mildew | 2 g/L of water
Jute | Yellow mite | 2.25 kg/ha</t>
  </si>
  <si>
    <t>Ablevet 80WG</t>
  </si>
  <si>
    <t>AP-3528</t>
  </si>
  <si>
    <t>Limon Agro</t>
  </si>
  <si>
    <t>Ture-Vit 80WDG</t>
  </si>
  <si>
    <t>AP-3529</t>
  </si>
  <si>
    <t>Khan Agricultural Products Ltd.</t>
  </si>
  <si>
    <t>Univit 80WDG</t>
  </si>
  <si>
    <t>AP-3530</t>
  </si>
  <si>
    <t>Sulpho Search 80WDG</t>
  </si>
  <si>
    <t>AP-3531</t>
  </si>
  <si>
    <t>National Agricare Import &amp; Export Ltd</t>
  </si>
  <si>
    <t>Megaton 80WDG</t>
  </si>
  <si>
    <t>AP-3532</t>
  </si>
  <si>
    <t>Masco Agro Chemicals</t>
  </si>
  <si>
    <t>Winsul 80 WDG</t>
  </si>
  <si>
    <t>AP-3533</t>
  </si>
  <si>
    <t>A R Khan &amp; Co.</t>
  </si>
  <si>
    <t>Jute | Yellow mite | 2.25 kg/ha</t>
  </si>
  <si>
    <t>Limovit 80WG</t>
  </si>
  <si>
    <t>AP-3534</t>
  </si>
  <si>
    <t>Polovit 80WDG</t>
  </si>
  <si>
    <t>AP-3535</t>
  </si>
  <si>
    <t>Popular Agro Industries</t>
  </si>
  <si>
    <t>Shyvit 80 WDG</t>
  </si>
  <si>
    <t>AP-3536</t>
  </si>
  <si>
    <t>Jass Agro Limited</t>
  </si>
  <si>
    <t>Yellow mite, Red Spider mite</t>
  </si>
  <si>
    <t>Jute | Yellow mite | 2.25 kg/ha
Tea | Red Spider mite | 2.25 kg/ha</t>
  </si>
  <si>
    <t>Linksul 80WDG</t>
  </si>
  <si>
    <t>AP-3538</t>
  </si>
  <si>
    <t>FIK Agro Products</t>
  </si>
  <si>
    <t>SymVita 80WDG</t>
  </si>
  <si>
    <t>AP-3539</t>
  </si>
  <si>
    <t>Al-Arafa Agro Complex</t>
  </si>
  <si>
    <t>Fetsul 80WDG</t>
  </si>
  <si>
    <t>AP-3540</t>
  </si>
  <si>
    <t>S-Vet 80WDG</t>
  </si>
  <si>
    <t>AP-3542</t>
  </si>
  <si>
    <t>S M Agro International</t>
  </si>
  <si>
    <t>E-Vit 80WDG</t>
  </si>
  <si>
    <t>AP-3543</t>
  </si>
  <si>
    <t>Zeesul 80WDG</t>
  </si>
  <si>
    <t>AP-3544</t>
  </si>
  <si>
    <t>KBS Brand Limited</t>
  </si>
  <si>
    <t>Pyrovit 80WDG</t>
  </si>
  <si>
    <t>AP-3906</t>
  </si>
  <si>
    <t>Pratasha International</t>
  </si>
  <si>
    <t>Fexovit 80WG</t>
  </si>
  <si>
    <t>AP-3907</t>
  </si>
  <si>
    <t>BACI Limited</t>
  </si>
  <si>
    <t>Dhanovit 80WDG</t>
  </si>
  <si>
    <t>AP-3908</t>
  </si>
  <si>
    <t>Agri Source Limited</t>
  </si>
  <si>
    <t>Kochi 80WDG</t>
  </si>
  <si>
    <t>AP-4166</t>
  </si>
  <si>
    <t>Tea, Sweet gourd</t>
  </si>
  <si>
    <t>Tea | Red spider mite | 2.25 kg/ha
Sweet gourd | Powdery mildew | 2 g/L of water</t>
  </si>
  <si>
    <t>Cosamil 80DF</t>
  </si>
  <si>
    <t>AP-4167</t>
  </si>
  <si>
    <t>M.Tox 80WG</t>
  </si>
  <si>
    <t>AP-4168</t>
  </si>
  <si>
    <t>M. Rahman Enterprise</t>
  </si>
  <si>
    <t>Vita 80WDG</t>
  </si>
  <si>
    <t>AP-4169</t>
  </si>
  <si>
    <t>Unicrop Protection Limited</t>
  </si>
  <si>
    <t>Jute, Sweet gourd</t>
  </si>
  <si>
    <t>Jute | Yellow mite | 2.25 kg/ha
Sweet gourd | Powdery mildew | 2 g/L of water</t>
  </si>
  <si>
    <t>MU Plus 80WDG</t>
  </si>
  <si>
    <t>AP-4170</t>
  </si>
  <si>
    <t>MU Trading Corporation</t>
  </si>
  <si>
    <t>Donvit 80WDG</t>
  </si>
  <si>
    <t>AP-4171</t>
  </si>
  <si>
    <t>Super Agro Care</t>
  </si>
  <si>
    <t>Extravit 80WDG</t>
  </si>
  <si>
    <t>AP-4175</t>
  </si>
  <si>
    <t>Mallick Agro Industries</t>
  </si>
  <si>
    <t>Best Sulf 80WDG</t>
  </si>
  <si>
    <t>AP-4176</t>
  </si>
  <si>
    <t>Best Harvest Agrochemicals</t>
  </si>
  <si>
    <t>Agrovit Gold 80WDG</t>
  </si>
  <si>
    <t>AP-4177</t>
  </si>
  <si>
    <t>Agro Vim Limited</t>
  </si>
  <si>
    <t>Profesul 80WG</t>
  </si>
  <si>
    <t>AP-4179</t>
  </si>
  <si>
    <t>Prestige Agro Dragoan Ltd.</t>
  </si>
  <si>
    <t>Statevit 80WDG</t>
  </si>
  <si>
    <t>AP-4180</t>
  </si>
  <si>
    <t>Ingenious Crop Science Ltd.</t>
  </si>
  <si>
    <t>Kapvit 80WDG</t>
  </si>
  <si>
    <t>AP-4181</t>
  </si>
  <si>
    <t>Anamvit 80WDG</t>
  </si>
  <si>
    <t>AP-4182</t>
  </si>
  <si>
    <t>Agrisel Bangladesh Co. Ltd.</t>
  </si>
  <si>
    <t>Nalvit 80WDG</t>
  </si>
  <si>
    <t>AP-4183</t>
  </si>
  <si>
    <t>National Green Care</t>
  </si>
  <si>
    <t>Monofull 80WDG</t>
  </si>
  <si>
    <t>AP-4184</t>
  </si>
  <si>
    <t>Mosco Marketing Company</t>
  </si>
  <si>
    <t>Supervit Plus 80WDG</t>
  </si>
  <si>
    <t>AP-4186</t>
  </si>
  <si>
    <t>LCI Super 80WDG</t>
  </si>
  <si>
    <t>AP-4187</t>
  </si>
  <si>
    <t>Total (visible rows)</t>
  </si>
  <si>
    <t>Source: Department of Agricultural Extension (DAE), Bangladesh — List of Registered Pesticides approved up to the 81st Pesticide Technical Advisory Committee (PTAC) Meeting. Extracted 2026-09-15 from https://dae.gov.bd/pages/files/6922da2a933eb65569e02d1e</t>
  </si>
  <si>
    <t>Registered Fungicides in Bangladesh — up to 81st PTAC Meeting</t>
  </si>
  <si>
    <t>Azoxystrobin</t>
  </si>
  <si>
    <t>Sitro 25 SC</t>
  </si>
  <si>
    <t>AP-3153</t>
  </si>
  <si>
    <t>Die back, Block rot</t>
  </si>
  <si>
    <t>500 mlha</t>
  </si>
  <si>
    <t>Tea | Die back, Block rot | 500 mlha</t>
  </si>
  <si>
    <t>FRAC 11</t>
  </si>
  <si>
    <t>Forbin 50WDG</t>
  </si>
  <si>
    <t>AP-3560</t>
  </si>
  <si>
    <t>Cucumber | Powdery mildew | 0.5 ml/L of water</t>
  </si>
  <si>
    <t>Forstrobin 25SC</t>
  </si>
  <si>
    <t>AP-4275</t>
  </si>
  <si>
    <t>Forward International (BD) Ltd.</t>
  </si>
  <si>
    <t>Cucumber | Powdery mildew | 1 ml/L of water</t>
  </si>
  <si>
    <t>Affix 25SC</t>
  </si>
  <si>
    <t>AP-4691</t>
  </si>
  <si>
    <t>RiceCo International Bangladesh Ltd</t>
  </si>
  <si>
    <t>Die back</t>
  </si>
  <si>
    <t>750 mlha</t>
  </si>
  <si>
    <t>Tea | Die back | 750 mlha</t>
  </si>
  <si>
    <t>Azox 50WP</t>
  </si>
  <si>
    <t>AP-5054</t>
  </si>
  <si>
    <t>McDonald Bangladesh (Pvt) Ltd.</t>
  </si>
  <si>
    <t>0.5 g/L of water</t>
  </si>
  <si>
    <t>Sweet gourd | Powdery mildew | 0.5 g/L of water</t>
  </si>
  <si>
    <t>Azomax 25SC</t>
  </si>
  <si>
    <t>AP-5360</t>
  </si>
  <si>
    <t>Zaker Croplife Bangladesh</t>
  </si>
  <si>
    <t>Cucumbits, Cucumber, Tea</t>
  </si>
  <si>
    <t>Powdery mildew, Downy mildew, Black rot</t>
  </si>
  <si>
    <t>1 ml/L of water; 500 mlha</t>
  </si>
  <si>
    <t>Cucumbits | Powdery mildew | 1 ml/L of water
Cucumber | Downy mildew | 1 ml/L of water
Tea | Black rot | 500 mlha</t>
  </si>
  <si>
    <t>Azoxystrobin (20% ) + Cyproconazole (8%)</t>
  </si>
  <si>
    <t>Karishma 28SC</t>
  </si>
  <si>
    <t>AP-2431</t>
  </si>
  <si>
    <t>1.2 L/ha</t>
  </si>
  <si>
    <t>Mango | Anthracnose | 1.2 L/ha</t>
  </si>
  <si>
    <t>Tared 280SC</t>
  </si>
  <si>
    <t>AP-3613</t>
  </si>
  <si>
    <t>Potato | Late blight | 0.5 ml/L of water</t>
  </si>
  <si>
    <t>Dover 28SC</t>
  </si>
  <si>
    <t>AP-4245</t>
  </si>
  <si>
    <t>Mango, Chilli</t>
  </si>
  <si>
    <t>Mango | Anthracnose | 1 ml/L of water
Chilli | Anthracnose | 1 ml/L of water</t>
  </si>
  <si>
    <t>Cauger 28SC</t>
  </si>
  <si>
    <t>AP-4692</t>
  </si>
  <si>
    <t>750 ml.ha</t>
  </si>
  <si>
    <t>Tea | Die back | 750 ml.ha</t>
  </si>
  <si>
    <t>Kasmira 28SC</t>
  </si>
  <si>
    <t>AP-4693</t>
  </si>
  <si>
    <t>Sweet gourd | Powdery mildew | 1 ml/L of water</t>
  </si>
  <si>
    <t>Jinazole 28SC</t>
  </si>
  <si>
    <t>AP-4695</t>
  </si>
  <si>
    <t>Sweet gourd, Wheat</t>
  </si>
  <si>
    <t>Powdery mildew, Leaf blight</t>
  </si>
  <si>
    <t>Sweet gourd | Powdery mildew | 1 ml/L of water
Wheat | Leaf blight | 1 ml/L of water</t>
  </si>
  <si>
    <t>Novera 28SC</t>
  </si>
  <si>
    <t>AP-4696</t>
  </si>
  <si>
    <t>Mango, Rice</t>
  </si>
  <si>
    <t>Anthracnose, Sheath blight &amp; Blast</t>
  </si>
  <si>
    <t>1 ml/L of water; 750 ml/ha</t>
  </si>
  <si>
    <t>Mango | Anthracnose | 1 ml/L of water
Rice | Sheath blight &amp; Blast | 750 ml/ha</t>
  </si>
  <si>
    <t>Cyprobin 28SC</t>
  </si>
  <si>
    <t>AP-4697</t>
  </si>
  <si>
    <t>Agro Square</t>
  </si>
  <si>
    <t>Wheat</t>
  </si>
  <si>
    <t>Leaf blight</t>
  </si>
  <si>
    <t>Wheat | Leaf blight | 1 ml/L of water</t>
  </si>
  <si>
    <t>Pinzol 28SC</t>
  </si>
  <si>
    <t>AP-5065</t>
  </si>
  <si>
    <t>Chilli, Sweet gourd</t>
  </si>
  <si>
    <t>Anthracnose, Powdery mildew</t>
  </si>
  <si>
    <t>Chilli | Anthracnose | 1 ml/L of water
Sweet gourd | Powdery mildew | 1 ml/L of water</t>
  </si>
  <si>
    <t>Mona 28SC</t>
  </si>
  <si>
    <t>AP-5066</t>
  </si>
  <si>
    <t>Sweet gourd, Potato</t>
  </si>
  <si>
    <t>Powdery mildew, Late blight</t>
  </si>
  <si>
    <t>Sweet gourd | Powdery mildew | 1 ml/L of water
Potato | Late blight | 1 ml/L of water</t>
  </si>
  <si>
    <t>Azocyp 28SC</t>
  </si>
  <si>
    <t>AP-5369</t>
  </si>
  <si>
    <t>Bicofresh 28WDG</t>
  </si>
  <si>
    <t>AP-5370</t>
  </si>
  <si>
    <t>1 g/L of water</t>
  </si>
  <si>
    <t>Sweet gourd | Powdery mildew | 1 g/L of water</t>
  </si>
  <si>
    <t>Naprozole 28SC</t>
  </si>
  <si>
    <t>AP-5371</t>
  </si>
  <si>
    <t>Acibin 28SC</t>
  </si>
  <si>
    <t>AP-5619</t>
  </si>
  <si>
    <t>1.50 ml/L of water</t>
  </si>
  <si>
    <t>Potato | Late blight | 1.50 ml/L of water</t>
  </si>
  <si>
    <t>Blastguard 28SC</t>
  </si>
  <si>
    <t>AP-5620</t>
  </si>
  <si>
    <t>3S Agro Services Ltd.</t>
  </si>
  <si>
    <t>Tipoff 28SC</t>
  </si>
  <si>
    <t>AP-5796</t>
  </si>
  <si>
    <t>National AgriCare Import &amp; Export Ltd</t>
  </si>
  <si>
    <t>Stem rot</t>
  </si>
  <si>
    <t>Jute | Stem rot | 500 ml/ha</t>
  </si>
  <si>
    <t>Azoxystrobin (20% ) + Difenoconazole (12.5%)</t>
  </si>
  <si>
    <t>Amistar Top</t>
  </si>
  <si>
    <t>AP-2312</t>
  </si>
  <si>
    <t>Rice, Potato, Tea, Mango, Betel vine, Onion, Chilli, Watermelon, Garden pea</t>
  </si>
  <si>
    <t>Sheath blight, Blast, Late blight, Stem Canker, Branch canker, Anthracnose, Foot rot, Purple blotch, Powdery mildew</t>
  </si>
  <si>
    <t>Rice | Sheath blight, Blast | 1 ml/L of water
Potato | Late blight, Stem Canker | 1 ml/L of water
Tea | Branch canker | 750 ml/ha
Mango | Anthracnose | 1 ml/L of water
Betel vine | Foot rot | 1 ml/L of water
Onion | Purple blotch | 1 ml/L of water
Chilli | Anthracnose | 1 ml/L of water
Watermelon | Powdery mildew | 1 ml/L of water
Garden pea | Powdery mildew | 1 ml/L of water</t>
  </si>
  <si>
    <t>Power Blast 32.5SC</t>
  </si>
  <si>
    <t>AP-2777</t>
  </si>
  <si>
    <t>Rice, Cucumber</t>
  </si>
  <si>
    <t>Sheath blight, Powdery mildew</t>
  </si>
  <si>
    <t>1 ml/L of water; 0.5 ml/L of water</t>
  </si>
  <si>
    <t>Rice | Sheath blight | 1 ml/L of water
Cucumber | Powdery mildew | 0.5 ml/L of water</t>
  </si>
  <si>
    <t>Rai 325SC</t>
  </si>
  <si>
    <t>AP-3111</t>
  </si>
  <si>
    <t>Early blight</t>
  </si>
  <si>
    <t>Tomato | Early blight | 2 ml/L of water</t>
  </si>
  <si>
    <t>Emiscore 32.5EC</t>
  </si>
  <si>
    <t>AP-3252</t>
  </si>
  <si>
    <t>Sweet gourd, Rice</t>
  </si>
  <si>
    <t>Powdery mildew, Sheath blight</t>
  </si>
  <si>
    <t>0.5 ml/L of water; 500 ml/ha</t>
  </si>
  <si>
    <t>Sweet gourd | Powdery mildew | 0.5 ml/L of water
Rice | Sheath blight | 500 ml/ha</t>
  </si>
  <si>
    <t>Ranzole 32.5EC</t>
  </si>
  <si>
    <t>AP-3627</t>
  </si>
  <si>
    <t>Mango | Anthracnose | 0.5 ml/L of water</t>
  </si>
  <si>
    <t>Tenstar 325SC</t>
  </si>
  <si>
    <t>AP-3913</t>
  </si>
  <si>
    <t>Red rust, Die back, Block rot</t>
  </si>
  <si>
    <t>750 ml/ha</t>
  </si>
  <si>
    <t>Tea | Red rust, Die back, Block rot | 750 ml/ha</t>
  </si>
  <si>
    <t>Coin 32.5SC</t>
  </si>
  <si>
    <t>AP-3931</t>
  </si>
  <si>
    <t>Red rust, Die back, Block rot, Anthracnose</t>
  </si>
  <si>
    <t>750 ml/ha; 0.5 ml/L of water</t>
  </si>
  <si>
    <t>Tea | Red rust, Die back, Block rot | 750 ml/ha
Mango | Anthracnose | 0.5 ml/L of water</t>
  </si>
  <si>
    <t>Azofen 32.5SC</t>
  </si>
  <si>
    <t>AP-3932</t>
  </si>
  <si>
    <t>Jass 32.5SC</t>
  </si>
  <si>
    <t>AP-3933</t>
  </si>
  <si>
    <t>Tea | Die back, Block rot | 750 ml/ha</t>
  </si>
  <si>
    <t>AD-Top 32.5SC</t>
  </si>
  <si>
    <t>AP-4110</t>
  </si>
  <si>
    <t>Diabin 32.5SC</t>
  </si>
  <si>
    <t>AP-4207</t>
  </si>
  <si>
    <t>Tasin Agro Care</t>
  </si>
  <si>
    <t>Mango | Anthracnose | 1 ml/L of water</t>
  </si>
  <si>
    <t>Catlin 32.5SC</t>
  </si>
  <si>
    <t>AP-4208</t>
  </si>
  <si>
    <t>Nature &amp; Care Agro Products Ltd.</t>
  </si>
  <si>
    <t>Banner Plus 32.5SC</t>
  </si>
  <si>
    <t>AP-4209</t>
  </si>
  <si>
    <t>Endavour Plus 32.5SC</t>
  </si>
  <si>
    <t>AP-4210</t>
  </si>
  <si>
    <t>Quilt Plus 32.5SC</t>
  </si>
  <si>
    <t>AP-4211</t>
  </si>
  <si>
    <t>Sinota 32.5SC</t>
  </si>
  <si>
    <t>AP-4213</t>
  </si>
  <si>
    <t>Sweet Star 32.5SC</t>
  </si>
  <si>
    <t>AP-4214</t>
  </si>
  <si>
    <t>I-Top 32.5SC</t>
  </si>
  <si>
    <t>AP-4643</t>
  </si>
  <si>
    <t>Tea | Die back | 750 ml/ha</t>
  </si>
  <si>
    <t>Memory Plus 32.5SC</t>
  </si>
  <si>
    <t>AP-4644</t>
  </si>
  <si>
    <t>Cibazol 32.5SC</t>
  </si>
  <si>
    <t>AP-4645</t>
  </si>
  <si>
    <t>Croplife Agro Chemicals Ltd.</t>
  </si>
  <si>
    <t>Oxy Plus 32.5SC</t>
  </si>
  <si>
    <t>AP-4646</t>
  </si>
  <si>
    <t>Eco Green International</t>
  </si>
  <si>
    <t>Azo Top 32.5SC</t>
  </si>
  <si>
    <t>AP-4647</t>
  </si>
  <si>
    <t>SB Conazole 32.5SC</t>
  </si>
  <si>
    <t>AP-4648</t>
  </si>
  <si>
    <t>Alix 32.5SC</t>
  </si>
  <si>
    <t>AP-4649</t>
  </si>
  <si>
    <t>Fenobin 32.5SC</t>
  </si>
  <si>
    <t>AP-4650</t>
  </si>
  <si>
    <t>G-Top 32.5SC</t>
  </si>
  <si>
    <t>AP-4651</t>
  </si>
  <si>
    <t>KB Bin 32.5SC</t>
  </si>
  <si>
    <t>AP-4652</t>
  </si>
  <si>
    <t>Krishok Bondhu Agro Ltd.</t>
  </si>
  <si>
    <t>Robi 32.5SC</t>
  </si>
  <si>
    <t>AP-4653</t>
  </si>
  <si>
    <t>Aungkur Traders</t>
  </si>
  <si>
    <t>Salvation 32.5SC</t>
  </si>
  <si>
    <t>AP-4654</t>
  </si>
  <si>
    <t>Potato, Rice</t>
  </si>
  <si>
    <t>Late blight, Sheath blight</t>
  </si>
  <si>
    <t>Potato | Late blight | 1 ml/L of water
Rice | Sheath blight | 500 ml/ha</t>
  </si>
  <si>
    <t>State 32.5SC</t>
  </si>
  <si>
    <t>AP-4655</t>
  </si>
  <si>
    <t>State Agro Industries</t>
  </si>
  <si>
    <t>M-Zole 32.5EC</t>
  </si>
  <si>
    <t>AP-4656</t>
  </si>
  <si>
    <t>Sasco International</t>
  </si>
  <si>
    <t>Sunzoxy 32.5SC</t>
  </si>
  <si>
    <t>AP-4658</t>
  </si>
  <si>
    <t>Flintop 32.5SC</t>
  </si>
  <si>
    <t>AP-4659</t>
  </si>
  <si>
    <t>Farmtech Bangladesh</t>
  </si>
  <si>
    <t>Save Star 32.5SC</t>
  </si>
  <si>
    <t>AP-4660</t>
  </si>
  <si>
    <t>Save Crop Science</t>
  </si>
  <si>
    <t>Azcor 32.5SC</t>
  </si>
  <si>
    <t>AP-5055</t>
  </si>
  <si>
    <t>Binazole 32.5SC</t>
  </si>
  <si>
    <t>AP-5056</t>
  </si>
  <si>
    <t>Asbin 32.5SC</t>
  </si>
  <si>
    <t>AP-5057</t>
  </si>
  <si>
    <t>Aspasia Agrotech Co. Ltd.</t>
  </si>
  <si>
    <t>Die Back</t>
  </si>
  <si>
    <t>750 gm/ha</t>
  </si>
  <si>
    <t>Tea | Die Back | 750 gm/ha</t>
  </si>
  <si>
    <t>Aspire 32.5SC</t>
  </si>
  <si>
    <t>AP-5058</t>
  </si>
  <si>
    <t>Agro Link BD</t>
  </si>
  <si>
    <t>Tea, Cucurbits, Rice</t>
  </si>
  <si>
    <t>Die Back, Powdery mildew, Sheath blight</t>
  </si>
  <si>
    <t>750 gm/ha; 1 ml/L of water</t>
  </si>
  <si>
    <t>Tea | Die Back | 750 gm/ha
Cucurbits | Powdery mildew | 1 ml/L of water
Rice | Sheath blight | 1 ml/L of water</t>
  </si>
  <si>
    <t>Green Top 32.5SC</t>
  </si>
  <si>
    <t>AP-5059</t>
  </si>
  <si>
    <t>Serf Agro Industries</t>
  </si>
  <si>
    <t>Dotcom 32.5SC</t>
  </si>
  <si>
    <t>AP-5060</t>
  </si>
  <si>
    <t>ADR Crop Care</t>
  </si>
  <si>
    <t>Diazostar 32.5SC</t>
  </si>
  <si>
    <t>AP-5061</t>
  </si>
  <si>
    <t>Binzole 32.5SC</t>
  </si>
  <si>
    <t>AP-5062</t>
  </si>
  <si>
    <t>Nature Care Manufacturing Industries Ltd.</t>
  </si>
  <si>
    <t>Oxyfen 32.5SC</t>
  </si>
  <si>
    <t>AP-5063</t>
  </si>
  <si>
    <t>Symbiosis Technology</t>
  </si>
  <si>
    <t>Artisan 32.5SC</t>
  </si>
  <si>
    <t>AP-5361</t>
  </si>
  <si>
    <t>Die Back, Sheath blight</t>
  </si>
  <si>
    <t>750 ml/ha; 1 ml/L of water</t>
  </si>
  <si>
    <t>Tea | Die Back | 750 ml/ha
Rice | Sheath blight | 1 ml/L of water</t>
  </si>
  <si>
    <t>Axobin 32.5SC</t>
  </si>
  <si>
    <t>AP-5362</t>
  </si>
  <si>
    <t>Die Back, Powdery mildew</t>
  </si>
  <si>
    <t>Tea | Die Back | 750 ml/ha
Cucurbits | Powdery mildew | 1 ml/L of water</t>
  </si>
  <si>
    <t>Pazodi 32.5SC</t>
  </si>
  <si>
    <t>AP-5363</t>
  </si>
  <si>
    <t>Pafs Agro International Co.</t>
  </si>
  <si>
    <t>Late blight, Blast</t>
  </si>
  <si>
    <t>2 ml/L of water; 750 ml/ha</t>
  </si>
  <si>
    <t>Potato | Late blight | 2 ml/L of water
Rice | Blast | 750 ml/ha</t>
  </si>
  <si>
    <t>Oropower 32.5SC</t>
  </si>
  <si>
    <t>AP-5364</t>
  </si>
  <si>
    <t>Potato | Late blight | 2 ml/L of water</t>
  </si>
  <si>
    <t>P-Bin 32.5SC</t>
  </si>
  <si>
    <t>AP-5366</t>
  </si>
  <si>
    <t>Petrochem Agro Industries Ltd.</t>
  </si>
  <si>
    <t>Karbin 32.5SC</t>
  </si>
  <si>
    <t>AP-5367</t>
  </si>
  <si>
    <t>Cona Top 32.5SC</t>
  </si>
  <si>
    <t>AP-5368</t>
  </si>
  <si>
    <t>Swazis International Ltd</t>
  </si>
  <si>
    <t>Cucurbits | Powdery mildew | 1 ml/L of water</t>
  </si>
  <si>
    <t>Macstar 32.5SC</t>
  </si>
  <si>
    <t>AP-5621</t>
  </si>
  <si>
    <t>Mahir Agro Care</t>
  </si>
  <si>
    <t>Potato | Late blight | 1 ml/L of water</t>
  </si>
  <si>
    <t>Fair-Up 32.5SC</t>
  </si>
  <si>
    <t>AP-5622</t>
  </si>
  <si>
    <t>Red rust</t>
  </si>
  <si>
    <t>Tea | Red rust | 750 ml/ha</t>
  </si>
  <si>
    <t>M-Top 32.5SC</t>
  </si>
  <si>
    <t>AP-5623</t>
  </si>
  <si>
    <t>M H Crop Care Ltd.</t>
  </si>
  <si>
    <t>Red rust, Sheath blight</t>
  </si>
  <si>
    <t>Tea | Red rust | 750 ml/ha
Rice | Sheath blight | 1 ml/L of water</t>
  </si>
  <si>
    <t>Pridizole 30EC</t>
  </si>
  <si>
    <t>AP-5628</t>
  </si>
  <si>
    <t>Limostar Top 32.5SC</t>
  </si>
  <si>
    <t>AP-5810</t>
  </si>
  <si>
    <t>Sheath blight</t>
  </si>
  <si>
    <t>Rice | Sheath blight | 1 ml/L of water</t>
  </si>
  <si>
    <t>OneStar Top 32.5EC</t>
  </si>
  <si>
    <t>AP-6066</t>
  </si>
  <si>
    <t>Onechem</t>
  </si>
  <si>
    <t>Die back, Black rot</t>
  </si>
  <si>
    <t>Tea | Die back, Black rot | 750 ml/ha</t>
  </si>
  <si>
    <t>Azoxystrobin (20% ) + Tebuconazole (15%)</t>
  </si>
  <si>
    <t>Ulka 35SC</t>
  </si>
  <si>
    <t>AP-3936</t>
  </si>
  <si>
    <t>Fasal Agro Industries Ltd</t>
  </si>
  <si>
    <t>Select Plus 35SC</t>
  </si>
  <si>
    <t>AP-3937</t>
  </si>
  <si>
    <t>D-Hit 35SC</t>
  </si>
  <si>
    <t>AP-4661</t>
  </si>
  <si>
    <t>Die back, Powdery mildew</t>
  </si>
  <si>
    <t>Tea | Die back | 750 ml/ha
Sweet gourd | Powdery mildew | 1 ml/L of water</t>
  </si>
  <si>
    <t>Azoxystrobin (20% ) + Tricyclazole (6%)</t>
  </si>
  <si>
    <t>ForGreen Ultra 56SC</t>
  </si>
  <si>
    <t>AP-4229</t>
  </si>
  <si>
    <t>Azoxystrobin (6% ) + Chlorothalonil (50%)</t>
  </si>
  <si>
    <t>Azonil 56EC</t>
  </si>
  <si>
    <t>AP-4627</t>
  </si>
  <si>
    <t>Tea, Rice, Potato, Onion</t>
  </si>
  <si>
    <t>Red rust, Blast, Bacterial blight, Late blight, Purple blotch</t>
  </si>
  <si>
    <t>750 ml/ha; 500 ml/ha; 2 ml/L of water; 1 ml/L of water</t>
  </si>
  <si>
    <t>Tea | Red rust | 750 ml/ha
Rice | Blast, Bacterial blight | 500 ml/ha
Potato | Late blight | 2 ml/L of water
Onion | Purple blotch | 1 ml/L of water</t>
  </si>
  <si>
    <t>Agrobin 56EC</t>
  </si>
  <si>
    <t>AP-4628</t>
  </si>
  <si>
    <t>Super Tata 56SC</t>
  </si>
  <si>
    <t>AP-5805</t>
  </si>
  <si>
    <t>Tata Crop Care Company</t>
  </si>
  <si>
    <t>Benalaxyl (8%) + Mancozeb (64%)</t>
  </si>
  <si>
    <t>Galben M</t>
  </si>
  <si>
    <t>AP-374</t>
  </si>
  <si>
    <t>Shetu Pesticides Limited</t>
  </si>
  <si>
    <t>Potato, Tomato, Cucumber</t>
  </si>
  <si>
    <t>Late blight, Downy mildew</t>
  </si>
  <si>
    <t>Potato, Tomato | Late blight | 2 g/L of water
Cucumber | Downy mildew | 2 g/L of water</t>
  </si>
  <si>
    <t>FRAC 4</t>
  </si>
  <si>
    <t>Boscalid (50%)</t>
  </si>
  <si>
    <t>Sunca 50SC</t>
  </si>
  <si>
    <t>AP-5808</t>
  </si>
  <si>
    <t>FRAC 7</t>
  </si>
  <si>
    <t>Bismerthiazole</t>
  </si>
  <si>
    <t>Bactrol 20WP</t>
  </si>
  <si>
    <t>AP-2567</t>
  </si>
  <si>
    <t>Potato | Late blight | 2 g/L of water</t>
  </si>
  <si>
    <t>Bactroban 20WP</t>
  </si>
  <si>
    <t>AP-4218</t>
  </si>
  <si>
    <t>Tea, Potato, Rice, Tomato</t>
  </si>
  <si>
    <t>Red rust, Die back, Block rot, Wilt, Blast, Bacterial blight</t>
  </si>
  <si>
    <t>2.00 kg/ha; 1.00 kg/h; 450 gg/ha; 2 g/L of water</t>
  </si>
  <si>
    <t>Tea | Red rust, Die back, Block rot | 2.00 kg/ha
Potato | Wilt | 1.00 kg/h
Rice | Blast, Bacterial blight | 450 gg/ha
Tomato | Wilt | 2 g/L of water</t>
  </si>
  <si>
    <t>Radi 20WP</t>
  </si>
  <si>
    <t>AP-5012</t>
  </si>
  <si>
    <t>Bismazol 20WP</t>
  </si>
  <si>
    <t>AP-5630</t>
  </si>
  <si>
    <t>Bismerthiazol (20%) + Kasungamycin (1.5%)</t>
  </si>
  <si>
    <t>Sunoscar 21.5WP</t>
  </si>
  <si>
    <t>AP-5051</t>
  </si>
  <si>
    <t>Tea, Tomato</t>
  </si>
  <si>
    <t>Die Back, Wilt</t>
  </si>
  <si>
    <t>1.5 Kg/ha; 2 g/L of water</t>
  </si>
  <si>
    <t>Tea | Die Back | 1.5 Kg/ha
Tomato | Wilt | 2 g/L of water</t>
  </si>
  <si>
    <t>FRAC 24</t>
  </si>
  <si>
    <t>Kimia 21.5WP</t>
  </si>
  <si>
    <t>AP-5375</t>
  </si>
  <si>
    <t>Carbendazim</t>
  </si>
  <si>
    <t>Knowin 50WP</t>
  </si>
  <si>
    <t>AP-241</t>
  </si>
  <si>
    <t>Rice, Guava, Tea, Banana, Sugarcane, Mango</t>
  </si>
  <si>
    <t>Sheath blight, Anthracnose, Red rust, Black rot, Die back &amp; Gall Ma, Sigatoka, Pine apple, Wilt &amp; red rot</t>
  </si>
  <si>
    <t>1.00 kg/ha; 2 g/L of water; 750 gm/ha; 1 ml/L of water</t>
  </si>
  <si>
    <t>Rice | Sheath blight | 1.00 kg/ha
Guava | Anthracnose | 2 g/L of water
Tea | Red rust, Black rot, Die back &amp; Gall Ma | 750 gm/ha
Banana | Sigatoka | 2 g/L of water
Sugarcane | Pine apple, Wilt &amp; red rot | 1 ml/L of water
Mango | Anthracnose | 1 ml/L of water</t>
  </si>
  <si>
    <t>FRAC 1</t>
  </si>
  <si>
    <t>Shincar 50WP</t>
  </si>
  <si>
    <t>AP-355</t>
  </si>
  <si>
    <t>United Phosphorus (Bangladesh) Ltd.</t>
  </si>
  <si>
    <t>Tobacco</t>
  </si>
  <si>
    <t>Frog eye &amp; Leaf spot</t>
  </si>
  <si>
    <t>Tobacco | Frog eye &amp; Leaf spot | 2 g/L of water</t>
  </si>
  <si>
    <t>Aimcozim 50WP</t>
  </si>
  <si>
    <t>AP-375</t>
  </si>
  <si>
    <t>Rice, Tea, Sugarcane, Tomato</t>
  </si>
  <si>
    <t>Sheath blight, Red rust, Sett rot, Pineapple, Red rot &amp; Wilt, Seedling rot</t>
  </si>
  <si>
    <t>500 gm/ha; 750 gm/ha; 2 g/L of water</t>
  </si>
  <si>
    <t>Rice | Sheath blight | 500 gm/ha
Tea | Red rust | 750 gm/ha
Sugarcane | Sett rot, Pineapple | 500 gm/ha
Sugarcane | Red rot &amp; Wilt | 500 gm/ha
Tomato | Seedling rot | 2 g/L of water</t>
  </si>
  <si>
    <t>Agben 50%F</t>
  </si>
  <si>
    <t>AP-439</t>
  </si>
  <si>
    <t>Sugarcane, Rice</t>
  </si>
  <si>
    <t>Sett treatment, Sheath blight</t>
  </si>
  <si>
    <t>1 g/L of water; 1.00 kg/ha</t>
  </si>
  <si>
    <t>Sugarcane | Sett treatment | 1 g/L of water
Rice | Sheath blight | 1.00 kg/ha</t>
  </si>
  <si>
    <t>Forastin 50WP</t>
  </si>
  <si>
    <t>AP-511</t>
  </si>
  <si>
    <t>Rice, Sugarcane</t>
  </si>
  <si>
    <t>Sheath blight, Sett rot</t>
  </si>
  <si>
    <t>1.00 kg/ha; 1 g/L of water</t>
  </si>
  <si>
    <t>Rice | Sheath blight | 1.00 kg/ha
Sugarcane | Sett rot | 1 g/L of water</t>
  </si>
  <si>
    <t>Genuine 50WP</t>
  </si>
  <si>
    <t>AP-531</t>
  </si>
  <si>
    <t>Sugarcane, Tomato, Rice, Garden pea, Mango, Chili</t>
  </si>
  <si>
    <t>Sett rot disease, Wilt, Sheath blight, Powdery mildew, Hopper, Anthracnose</t>
  </si>
  <si>
    <t>1 g/L of water; 2 g/L of water; 1.00 kg/ha</t>
  </si>
  <si>
    <t>Sugarcane | Sett rot disease | 1 g/L of water
Tomato | Wilt | 2 g/L of water
Rice | Sheath blight | 1.00 kg/ha
Garden pea | Powdery mildew | 2 g/L of water
Mango | Hopper | 1 g/L of water
Chili | Anthracnose | 2 g/L of water</t>
  </si>
  <si>
    <t>Cindazim 50WP</t>
  </si>
  <si>
    <t>AP-627</t>
  </si>
  <si>
    <t>Tomato, Rice, Sugarcane</t>
  </si>
  <si>
    <t>Wilt, Sheath blight, Sett rot, Pineapple Red rot, Wilt</t>
  </si>
  <si>
    <t>2 g/L of water; 1.00 kg/ha; 500 gm/ha</t>
  </si>
  <si>
    <t>Tomato | Wilt | 2 g/L of water
Rice | Sheath blight | 1.00 kg/ha
Sugarcane | Sett rot, Pineapple Red rot, Wilt | 500 gm/ha</t>
  </si>
  <si>
    <t>Nayan 50WP</t>
  </si>
  <si>
    <t>AP-720</t>
  </si>
  <si>
    <t>Anika Enterprise</t>
  </si>
  <si>
    <t>Tomato, Cabbage, Cauli, Sugarcane, Banana</t>
  </si>
  <si>
    <t>Seedling rot, Sett rot, Sigatoka</t>
  </si>
  <si>
    <t>1 g/kg seed; 1 g/L of water</t>
  </si>
  <si>
    <t>Tomato, Cabbage, Cauli | Seedling rot | 1 g/kg seed
Sugarcane | Sett rot | 1 g/L of water
Banana | Sigatoka | 1 g/L of water</t>
  </si>
  <si>
    <t>Zimper 50 WP</t>
  </si>
  <si>
    <t>AP-725</t>
  </si>
  <si>
    <t>Banana, Tomato</t>
  </si>
  <si>
    <t>Sigatoka, Wilt</t>
  </si>
  <si>
    <t>Banana | Sigatoka | 2 g/L of water
Tomato | Wilt | 2 g/L of water</t>
  </si>
  <si>
    <t>Evazim 50WP</t>
  </si>
  <si>
    <t>AP-729</t>
  </si>
  <si>
    <t>Vulcan 50WP</t>
  </si>
  <si>
    <t>AP-730</t>
  </si>
  <si>
    <t>Rice | Sheath blight | 1.00 kg/ha</t>
  </si>
  <si>
    <t>Corozim 50WP</t>
  </si>
  <si>
    <t>AP-751</t>
  </si>
  <si>
    <t>Sett rot</t>
  </si>
  <si>
    <t>Sugarcane | Sett rot | 1 g/L of water</t>
  </si>
  <si>
    <t>Edvistin 50WP</t>
  </si>
  <si>
    <t>AP-752</t>
  </si>
  <si>
    <t>Haydazim 50WP</t>
  </si>
  <si>
    <t>AP-753</t>
  </si>
  <si>
    <t>Sugarcane, Cucurbit, Rice, Chili</t>
  </si>
  <si>
    <t>Sett rot, Red rot, Powdery mildew, Sheath blight, Anthracnose</t>
  </si>
  <si>
    <t>1 g/L of water; 1.00 kg/ha; 2 g/L of water</t>
  </si>
  <si>
    <t>Sugarcane | Sett rot, Red rot | 1 g/L of water
Cucurbit | Powdery mildew | 1 g/L of water
Rice | Sheath blight | 1.00 kg/ha
Chili | Anthracnose | 2 g/L of water</t>
  </si>
  <si>
    <t>Seadazim 50WP</t>
  </si>
  <si>
    <t>AP-754</t>
  </si>
  <si>
    <t>Sugarcane, Banana, Tea</t>
  </si>
  <si>
    <t>Sett rot, Sigatoka, Red rust disease</t>
  </si>
  <si>
    <t>1 g/L of water; 750 gm/ha</t>
  </si>
  <si>
    <t>Sugarcane | Sett rot | 1 g/L of water
Banana | Sigatoka | 1 g/L of water
Tea | Red rust disease | 750 gm/ha</t>
  </si>
  <si>
    <t>Massive 50WP</t>
  </si>
  <si>
    <t>AP-755</t>
  </si>
  <si>
    <t>2 g /L of water</t>
  </si>
  <si>
    <t>Tomato | Wilt | 2 g /L of water</t>
  </si>
  <si>
    <t>Goldazim 500SC</t>
  </si>
  <si>
    <t>AP-756</t>
  </si>
  <si>
    <t>Powdery mildew, Red rust</t>
  </si>
  <si>
    <t>1 g/L of water; 750 ml/ha</t>
  </si>
  <si>
    <t>Cucurbit | Powdery mildew | 1 g/L of water
Tea | Red rust | 750 ml/ha</t>
  </si>
  <si>
    <t>Carbozim 50WP</t>
  </si>
  <si>
    <t>AP-757</t>
  </si>
  <si>
    <t>Cucurbit | Powdery mildew | 1 g/L of water</t>
  </si>
  <si>
    <t>Bendazim 50WP</t>
  </si>
  <si>
    <t>AP-758</t>
  </si>
  <si>
    <t>Cucurbit, Onion</t>
  </si>
  <si>
    <t>Powdery mildew, Purple blotch</t>
  </si>
  <si>
    <t>1 g/L of water; 2 g /L of water</t>
  </si>
  <si>
    <t>Cucurbit | Powdery mildew | 1 g/L of water
Onion | Purple blotch | 2 g /L of water</t>
  </si>
  <si>
    <t>Ecozim 50WP</t>
  </si>
  <si>
    <t>AP-856</t>
  </si>
  <si>
    <t>Banana</t>
  </si>
  <si>
    <t>Sigatoka</t>
  </si>
  <si>
    <t>Banana | Sigatoka | 2 g /L of water</t>
  </si>
  <si>
    <t>Pearl 50DF</t>
  </si>
  <si>
    <t>AP-980</t>
  </si>
  <si>
    <t>Garden pea, Wheat</t>
  </si>
  <si>
    <t>Garden pea | Powdery mildew | 2 g /L of water
Wheat | Late blight | 2 g /L of water</t>
  </si>
  <si>
    <t>Gilzim 50WP</t>
  </si>
  <si>
    <t>AP-981</t>
  </si>
  <si>
    <t>Petrochem (Bangladesh) Limited</t>
  </si>
  <si>
    <t>Tomato, Sugarcane</t>
  </si>
  <si>
    <t>Wilt, Sett rot</t>
  </si>
  <si>
    <t>Tomato | Wilt | 1 g/L of water
Sugarcane | Sett rot | 1 g/L of water</t>
  </si>
  <si>
    <t>Zimguard 50WP</t>
  </si>
  <si>
    <t>AP-992</t>
  </si>
  <si>
    <t>Tea | Red rust | 750 gm/ha</t>
  </si>
  <si>
    <t>Dhangora 50WP</t>
  </si>
  <si>
    <t>AP-993</t>
  </si>
  <si>
    <t>Sinodazim 50WP</t>
  </si>
  <si>
    <t>AP-1022</t>
  </si>
  <si>
    <t>Baizim 50WP</t>
  </si>
  <si>
    <t>AP-1043</t>
  </si>
  <si>
    <t>Tea, Onion</t>
  </si>
  <si>
    <t>Red rust disease, Purple blotch</t>
  </si>
  <si>
    <t>750 gm/ha; 2 g /L of water</t>
  </si>
  <si>
    <t>Tea | Red rust disease | 750 gm/ha
Onion | Purple blotch | 2 g /L of water</t>
  </si>
  <si>
    <t>Greenzim 50WP</t>
  </si>
  <si>
    <t>AP-1070</t>
  </si>
  <si>
    <t>Jaingnong 50WP</t>
  </si>
  <si>
    <t>AP-1074</t>
  </si>
  <si>
    <t>Arba 50WP</t>
  </si>
  <si>
    <t>AP-1078</t>
  </si>
  <si>
    <t>Garden pea, Mango, Onion</t>
  </si>
  <si>
    <t>Powdery mildew, Anthracnose, Purple blotch</t>
  </si>
  <si>
    <t>2 g /L of water; 1 g/L of water</t>
  </si>
  <si>
    <t>Garden pea | Powdery mildew | 2 g /L of water
Mango | Anthracnose | 1 g/L of water
Onion | Purple blotch | 2 g /L of water</t>
  </si>
  <si>
    <t>Sistin 50WP</t>
  </si>
  <si>
    <t>AP-1088</t>
  </si>
  <si>
    <t>Garden pea, Tea, Chili</t>
  </si>
  <si>
    <t>Powdery mildew, Red rust disease, Anthracnose</t>
  </si>
  <si>
    <t>Garden pea | Powdery mildew | 1 g/L of water
Tea | Red rust disease | 750 gm/ha
Chili | Anthracnose | 1 g/L of water</t>
  </si>
  <si>
    <t>Bico Homai 50WP</t>
  </si>
  <si>
    <t>AP-1115</t>
  </si>
  <si>
    <t>Garden pea | Powdery mildew | 2 g /L of water</t>
  </si>
  <si>
    <t>CP-Zim 50WP</t>
  </si>
  <si>
    <t>AP-1225</t>
  </si>
  <si>
    <t>Black rot</t>
  </si>
  <si>
    <t>750 g/L of water</t>
  </si>
  <si>
    <t>Tea | Black rot | 750 g/L of water</t>
  </si>
  <si>
    <t>Allwin 50WDG</t>
  </si>
  <si>
    <t>AP-1244</t>
  </si>
  <si>
    <t>Trizim 50WP</t>
  </si>
  <si>
    <t>AP-1309</t>
  </si>
  <si>
    <t>Tea, Chili</t>
  </si>
  <si>
    <t>Red rust disease, Anthracnose</t>
  </si>
  <si>
    <t>Tea | Red rust disease | 750 gm/ha
Chili | Anthracnose | 2 g /L of water</t>
  </si>
  <si>
    <t>Sinozim 50WP</t>
  </si>
  <si>
    <t>AP-1347</t>
  </si>
  <si>
    <t>Cucurbit, Chili</t>
  </si>
  <si>
    <t>Powdery mildew, Anthracnose</t>
  </si>
  <si>
    <t>Cucurbit | Powdery mildew | 1 g/L of water
Chili | Anthracnose | 1 g/L of water</t>
  </si>
  <si>
    <t>Cuptun 50WP</t>
  </si>
  <si>
    <t>AP-1383</t>
  </si>
  <si>
    <t>Late rust</t>
  </si>
  <si>
    <t>Wheat | Late rust | 1 g/L of water</t>
  </si>
  <si>
    <t>Nova 50WP</t>
  </si>
  <si>
    <t>AP-1384</t>
  </si>
  <si>
    <t>Wheat, Tea</t>
  </si>
  <si>
    <t>Leaf blight, Red rust, Black rot, Die back</t>
  </si>
  <si>
    <t>1 g/L of water; 750 g/L of water</t>
  </si>
  <si>
    <t>Wheat | Leaf blight | 1 g/L of water
Tea | Red rust, Black rot, Die back | 750 g/L of water</t>
  </si>
  <si>
    <t>Amazim 50WP</t>
  </si>
  <si>
    <t>AP-1394</t>
  </si>
  <si>
    <t>Red rust, Black rot, Die back, Anthracnose</t>
  </si>
  <si>
    <t>750 g/L of water; 2 g /L of water</t>
  </si>
  <si>
    <t>Tea | Red rust, Black rot, Die back | 750 g/L of water
Mango | Anthracnose | 2 g /L of water</t>
  </si>
  <si>
    <t>Emidazim 50WP</t>
  </si>
  <si>
    <t>AP-1429</t>
  </si>
  <si>
    <t>Red rust, Black rot, Die back</t>
  </si>
  <si>
    <t>Tea | Red rust, Black rot, Die back | 750 g/L of water</t>
  </si>
  <si>
    <t>Towin 50WP</t>
  </si>
  <si>
    <t>AP-1677</t>
  </si>
  <si>
    <t>Chili, Tea</t>
  </si>
  <si>
    <t>Anthracnose, Red rust, Black rot, Die back</t>
  </si>
  <si>
    <t>Chili | Anthracnose | 1 g/L of water
Tea | Red rust, Black rot, Die back | 750 g/L of water</t>
  </si>
  <si>
    <t>Regard 50WP</t>
  </si>
  <si>
    <t>AP-1678</t>
  </si>
  <si>
    <t>Agro Continent Bangladesh</t>
  </si>
  <si>
    <t>Banana | Sigatoka | 1 g/L of water</t>
  </si>
  <si>
    <t>Orgazim 50WP</t>
  </si>
  <si>
    <t>AP-1680</t>
  </si>
  <si>
    <t>Starzim 50WP</t>
  </si>
  <si>
    <t>AP-1681</t>
  </si>
  <si>
    <t>Dimbazim 50 WP</t>
  </si>
  <si>
    <t>AP-1721</t>
  </si>
  <si>
    <t>Rice, Tea</t>
  </si>
  <si>
    <t>Sheath blight, Red rust, Black rot, Die back</t>
  </si>
  <si>
    <t>1.00 kg/ha; 750 g/L of water</t>
  </si>
  <si>
    <t>Rice | Sheath blight | 1.00 kg/ha
Tea | Red rust, Black rot, Die back | 750 g/L of water</t>
  </si>
  <si>
    <t>Knobin 50WP</t>
  </si>
  <si>
    <t>AP-1772</t>
  </si>
  <si>
    <t>Longzim 50WP</t>
  </si>
  <si>
    <t>AP-1843</t>
  </si>
  <si>
    <t>Filzim 50WP</t>
  </si>
  <si>
    <t>AP-1844</t>
  </si>
  <si>
    <t>Turbo 50WP</t>
  </si>
  <si>
    <t>AP-1846</t>
  </si>
  <si>
    <t>Tea, Mango, Rice</t>
  </si>
  <si>
    <t>Red rust, Black rot, Die back, Anthracnose, Sheath blight</t>
  </si>
  <si>
    <t>750 g/L of water; 2 g /L of water; 1.00 kg/ha</t>
  </si>
  <si>
    <t>Tea | Red rust, Black rot, Die back | 750 g/L of water
Mango | Anthracnose | 2 g /L of water
Rice | Sheath blight | 1.00 kg/ha</t>
  </si>
  <si>
    <t>Superzim 50WP</t>
  </si>
  <si>
    <t>AP-1847</t>
  </si>
  <si>
    <t>Sharib Trade Sangstha .Pvt. Ltd.</t>
  </si>
  <si>
    <t>Lazim 50WP</t>
  </si>
  <si>
    <t>AP-1848</t>
  </si>
  <si>
    <t>Red rust, Black rot, Die back, Sheath blight</t>
  </si>
  <si>
    <t>750 g/L of water; 1.00 kg/ha</t>
  </si>
  <si>
    <t>Tea | Red rust, Black rot, Die back | 750 g/L of water
Rice | Sheath blight | 1.00 kg/ha</t>
  </si>
  <si>
    <t>Benda 50WP</t>
  </si>
  <si>
    <t>AP-1850</t>
  </si>
  <si>
    <t>R-zim 50WP</t>
  </si>
  <si>
    <t>AP-1851</t>
  </si>
  <si>
    <t>Red rust, Black rot, Die back, Wilt &amp; Early blight</t>
  </si>
  <si>
    <t>750 g/L of water; 2 g/L of water</t>
  </si>
  <si>
    <t>Tea | Red rust, Black rot, Die back | 750 g/L of water
Tomato | Wilt &amp; Early blight | 2 g/L of water</t>
  </si>
  <si>
    <t>Hitastin 50WP</t>
  </si>
  <si>
    <t>AP-1852</t>
  </si>
  <si>
    <t>Greendazim 50DF</t>
  </si>
  <si>
    <t>AP-1853</t>
  </si>
  <si>
    <t>Cardazim 50 WP</t>
  </si>
  <si>
    <t>AP-1854</t>
  </si>
  <si>
    <t>UniZoom 50WP</t>
  </si>
  <si>
    <t>AP-1930</t>
  </si>
  <si>
    <t>Chens Crop Science Bangladesh Ltd.</t>
  </si>
  <si>
    <t>Maize</t>
  </si>
  <si>
    <t>Brown spot</t>
  </si>
  <si>
    <t>Maize | Brown spot | 1 g/L of water</t>
  </si>
  <si>
    <t>Biozim 50WP</t>
  </si>
  <si>
    <t>AP-2118</t>
  </si>
  <si>
    <t>Red rust, Black rot, Die back, Powdery mildew</t>
  </si>
  <si>
    <t>Tea | Red rust, Black rot, Die back | 750 g/L of water
Cucurbit | Powdery mildew | 2 g/L of water</t>
  </si>
  <si>
    <t>Siamzim 50WP</t>
  </si>
  <si>
    <t>AP-2119</t>
  </si>
  <si>
    <t>Rekazim 50WP</t>
  </si>
  <si>
    <t>AP-2120</t>
  </si>
  <si>
    <t>Seszim 50WP</t>
  </si>
  <si>
    <t>AP-2122</t>
  </si>
  <si>
    <t>Chili</t>
  </si>
  <si>
    <t>Chili | Anthracnose | 1 g/L of water</t>
  </si>
  <si>
    <t>Agriben 50WP</t>
  </si>
  <si>
    <t>AP-2124</t>
  </si>
  <si>
    <t>Seedling rot</t>
  </si>
  <si>
    <t>500 gm/ha</t>
  </si>
  <si>
    <t>Tomato | Seedling rot | 500 gm/ha</t>
  </si>
  <si>
    <t>Qubee 50WP</t>
  </si>
  <si>
    <t>AP-2125</t>
  </si>
  <si>
    <t>Tomato, Mango, Cucurbit</t>
  </si>
  <si>
    <t>Wilt, Powdery mildew</t>
  </si>
  <si>
    <t>2 g/L of water; 1 g/L of water</t>
  </si>
  <si>
    <t>Tomato | Wilt | 2 g/L of water
Mango | Powdery mildew | 2 g/L of water
Cucurbit | Powdery mildew | 1 g/L of water</t>
  </si>
  <si>
    <t>Erguven 50WP</t>
  </si>
  <si>
    <t>AP-2127</t>
  </si>
  <si>
    <t>Active Crop Care Limited</t>
  </si>
  <si>
    <t>Tomato | Early blight | 1 g/L of water</t>
  </si>
  <si>
    <t>Sicozim 50WP</t>
  </si>
  <si>
    <t>AP-2128</t>
  </si>
  <si>
    <t>Siraj Agro International Ltd.</t>
  </si>
  <si>
    <t>Growzim 50WP</t>
  </si>
  <si>
    <t>AP-2129</t>
  </si>
  <si>
    <t>Sarazim 50WP</t>
  </si>
  <si>
    <t>AP-2130</t>
  </si>
  <si>
    <t>Mango, Tomato</t>
  </si>
  <si>
    <t>Anthracnose, Wilt</t>
  </si>
  <si>
    <t>Mango | Anthracnose | 2 g/L of water
Tomato | Wilt | 2 g/L of water</t>
  </si>
  <si>
    <t>Mahizim 50WP</t>
  </si>
  <si>
    <t>AP-2241</t>
  </si>
  <si>
    <t>Sonali Agro Crop Care</t>
  </si>
  <si>
    <t>Ravzim 50 WP</t>
  </si>
  <si>
    <t>AP-2243</t>
  </si>
  <si>
    <t>Basic Crop Care</t>
  </si>
  <si>
    <t>Banana | Sigatoka | 2 g/L of water</t>
  </si>
  <si>
    <t>Newzim 50WP</t>
  </si>
  <si>
    <t>AP-2244</t>
  </si>
  <si>
    <t>Blessing Agrovet Industries Ltd</t>
  </si>
  <si>
    <t>Agrizim 50WP</t>
  </si>
  <si>
    <t>AP-2448</t>
  </si>
  <si>
    <t>Rajzim 50WP</t>
  </si>
  <si>
    <t>AP-2449</t>
  </si>
  <si>
    <t>Scotszim 50 WP</t>
  </si>
  <si>
    <t>AP-2450</t>
  </si>
  <si>
    <t>Scots Agro Chemicals</t>
  </si>
  <si>
    <t>Rowin 50WP</t>
  </si>
  <si>
    <t>AP-2452</t>
  </si>
  <si>
    <t>Bencarb 50WP</t>
  </si>
  <si>
    <t>AP-2454</t>
  </si>
  <si>
    <t>Advance Crop Care Limited</t>
  </si>
  <si>
    <t>Agrani 50WP</t>
  </si>
  <si>
    <t>AP-2455</t>
  </si>
  <si>
    <t>Chili | Anthracnose | 2 g/L of water</t>
  </si>
  <si>
    <t>Nainzim 50WP</t>
  </si>
  <si>
    <t>AP-2457</t>
  </si>
  <si>
    <t>Amana Agro</t>
  </si>
  <si>
    <t>Sufi 50WP</t>
  </si>
  <si>
    <t>AP-2458</t>
  </si>
  <si>
    <t>Mango | Anthracnose | 2 g/L of water</t>
  </si>
  <si>
    <t>Suzim 50WP</t>
  </si>
  <si>
    <t>AP-2459</t>
  </si>
  <si>
    <t>Tomato | Early blight | 2 g/L of water</t>
  </si>
  <si>
    <t>Atop 50WP</t>
  </si>
  <si>
    <t>AP-2460</t>
  </si>
  <si>
    <t>Cutzim 50WP</t>
  </si>
  <si>
    <t>AP-2461</t>
  </si>
  <si>
    <t>Reliable 50WP</t>
  </si>
  <si>
    <t>AP-2617</t>
  </si>
  <si>
    <t>Parastine 50 WP</t>
  </si>
  <si>
    <t>AP-2783</t>
  </si>
  <si>
    <t>M-Hitter 50WP</t>
  </si>
  <si>
    <t>AP-2784</t>
  </si>
  <si>
    <t>Freshcozim 50WP</t>
  </si>
  <si>
    <t>AP-2785</t>
  </si>
  <si>
    <t>Agro Systems Limited</t>
  </si>
  <si>
    <t>Seed Treatment</t>
  </si>
  <si>
    <t>2.5 g/kg seeds</t>
  </si>
  <si>
    <t>Rice | Seed Treatment | 2.5 g/kg seeds</t>
  </si>
  <si>
    <t>Cloud 50 WP</t>
  </si>
  <si>
    <t>AP-3122</t>
  </si>
  <si>
    <t>Keen Care Crop Science</t>
  </si>
  <si>
    <t>Tea | Die back, Black rot | 750 gm/ha</t>
  </si>
  <si>
    <t>Rupali 50WP</t>
  </si>
  <si>
    <t>AP-3123</t>
  </si>
  <si>
    <t>Aristocrat Agro Services Ltd.</t>
  </si>
  <si>
    <t>Mango | Anthracnose | 1 g/L of water</t>
  </si>
  <si>
    <t>Neustin 50WP</t>
  </si>
  <si>
    <t>AP-3124</t>
  </si>
  <si>
    <t>Biotech Agrovet</t>
  </si>
  <si>
    <t>Tomato | Seedling rot | 2 g/L of water</t>
  </si>
  <si>
    <t>G-Sign 50WP</t>
  </si>
  <si>
    <t>AP-3126</t>
  </si>
  <si>
    <t>Cleanzim 50WP</t>
  </si>
  <si>
    <t>AP-3128</t>
  </si>
  <si>
    <t>Clean Agro</t>
  </si>
  <si>
    <t>Calibar 50WP</t>
  </si>
  <si>
    <t>AP-3129</t>
  </si>
  <si>
    <t>Red rust, Die back, Black rot, Powdery mildew</t>
  </si>
  <si>
    <t>750 gm/ha; 2 g/L of water</t>
  </si>
  <si>
    <t>Tea | Red rust, Die back, Black rot | 750 gm/ha
Cucurbit | Powdery mildew | 2 g/L of water</t>
  </si>
  <si>
    <t>Savistin 50 WP</t>
  </si>
  <si>
    <t>AP-3130</t>
  </si>
  <si>
    <t>Retina Agro Chemical</t>
  </si>
  <si>
    <t>Red rust, Die back, Black rot</t>
  </si>
  <si>
    <t>Tea | Red rust, Die back, Black rot | 750 gm/ha</t>
  </si>
  <si>
    <t>Topzim 50WP</t>
  </si>
  <si>
    <t>AP-3131</t>
  </si>
  <si>
    <t>Kohinoor Agro Chemicals</t>
  </si>
  <si>
    <t>Zamka 50WP</t>
  </si>
  <si>
    <t>AP-3133</t>
  </si>
  <si>
    <t>Magpai 50WP</t>
  </si>
  <si>
    <t>AP-3134</t>
  </si>
  <si>
    <t>Apex Agro Industries Limited</t>
  </si>
  <si>
    <t>Greatzim 50WP</t>
  </si>
  <si>
    <t>AP-3217</t>
  </si>
  <si>
    <t>Sahzim 50WP</t>
  </si>
  <si>
    <t>AP-3236</t>
  </si>
  <si>
    <t>Lidazin 50WP</t>
  </si>
  <si>
    <t>AP-3238</t>
  </si>
  <si>
    <t>Sheba Agro Chemicals</t>
  </si>
  <si>
    <t>Carbeluck 50WP</t>
  </si>
  <si>
    <t>AP-3240</t>
  </si>
  <si>
    <t>Rimzim 50WP</t>
  </si>
  <si>
    <t>AP-3241</t>
  </si>
  <si>
    <t>Natzim 50 WP</t>
  </si>
  <si>
    <t>AP-3242</t>
  </si>
  <si>
    <t>National Green Enterprise</t>
  </si>
  <si>
    <t>Delcozim 50WP</t>
  </si>
  <si>
    <t>AP-3243</t>
  </si>
  <si>
    <t>Cadim 50WP</t>
  </si>
  <si>
    <t>AP-3244</t>
  </si>
  <si>
    <t>Carzim 50WDG</t>
  </si>
  <si>
    <t>AP-3551</t>
  </si>
  <si>
    <t>SB Zim 50WP</t>
  </si>
  <si>
    <t>AP-3555</t>
  </si>
  <si>
    <t>Adbhazim 50WP</t>
  </si>
  <si>
    <t>AP-3558</t>
  </si>
  <si>
    <t>Advanced Agricultural Solution Ltd</t>
  </si>
  <si>
    <t>Winzim 50WP</t>
  </si>
  <si>
    <t>AP-4256</t>
  </si>
  <si>
    <t>Agro Winner Limited</t>
  </si>
  <si>
    <t>Carzim 50WP</t>
  </si>
  <si>
    <t>AP-4257</t>
  </si>
  <si>
    <t>Vimcarb 50WP</t>
  </si>
  <si>
    <t>AP-4258</t>
  </si>
  <si>
    <t>Oszim 50WP</t>
  </si>
  <si>
    <t>AP-4259</t>
  </si>
  <si>
    <t>Ostrich Agro Chemicals Ltd.</t>
  </si>
  <si>
    <t>Fedayeen 50WP</t>
  </si>
  <si>
    <t>AP-4261</t>
  </si>
  <si>
    <t>Gramin Zin 50WP</t>
  </si>
  <si>
    <t>AP-4262</t>
  </si>
  <si>
    <t>Ali Corporation</t>
  </si>
  <si>
    <t>Forsol 50WP</t>
  </si>
  <si>
    <t>AP-4264</t>
  </si>
  <si>
    <t>Benfil 50WP</t>
  </si>
  <si>
    <t>AP-4598</t>
  </si>
  <si>
    <t>Indofil Bangladesh Industries Private Ltd</t>
  </si>
  <si>
    <t>Die back, Anthracnose</t>
  </si>
  <si>
    <t>Tea | Die back | 750 gm/ha
Chili | Anthracnose | 2 g/L of water</t>
  </si>
  <si>
    <t>Ecostin 50WP</t>
  </si>
  <si>
    <t>AP-4600</t>
  </si>
  <si>
    <t>Tea | Die back | 750 gm/ha</t>
  </si>
  <si>
    <t>Justin 50DF</t>
  </si>
  <si>
    <t>AP-4601</t>
  </si>
  <si>
    <t>Tomato, Sweet gourd</t>
  </si>
  <si>
    <t>Tomato | Wilt | 2 g/L of water
Sweet gourd | Powdery mildew | 2 g/L of water</t>
  </si>
  <si>
    <t>Descosim 50WP</t>
  </si>
  <si>
    <t>AP-4602</t>
  </si>
  <si>
    <t>Desh Agro Services Company Ltd.</t>
  </si>
  <si>
    <t>Lovistin 50DF</t>
  </si>
  <si>
    <t>AP-4604</t>
  </si>
  <si>
    <t>Refazim 50WP</t>
  </si>
  <si>
    <t>AP-4605</t>
  </si>
  <si>
    <t>Mohananda Agro Industries</t>
  </si>
  <si>
    <t>Autostin 50WDG</t>
  </si>
  <si>
    <t>AP-4606</t>
  </si>
  <si>
    <t>Sweet gourd, Mango, Tea</t>
  </si>
  <si>
    <t>Powdery mildew, Anthracnose, Black rot, Die back</t>
  </si>
  <si>
    <t>2 g/L of water; 2 g/ L of water; 2.0 Kg/ha</t>
  </si>
  <si>
    <t>Sweet gourd | Powdery mildew | 2 g/L of water
Mango | Anthracnose | 2 g/ L of water
Tea | Black rot, Die back | 2.0 Kg/ha</t>
  </si>
  <si>
    <t>Green Win 50WP</t>
  </si>
  <si>
    <t>AP-4607</t>
  </si>
  <si>
    <t>Diazim 50WP</t>
  </si>
  <si>
    <t>AP-4608</t>
  </si>
  <si>
    <t>Mango, Tea, Chili</t>
  </si>
  <si>
    <t>Anthracnose, Bloct rot</t>
  </si>
  <si>
    <t>2 g/L of water; 750 gm/ha</t>
  </si>
  <si>
    <t>Mango | Anthracnose | 2 g/L of water
Tea | Bloct rot | 750 gm/ha
Chili | Anthracnose | 2 g/L of water</t>
  </si>
  <si>
    <t>Edvestin Plus 80WP</t>
  </si>
  <si>
    <t>AP-4609</t>
  </si>
  <si>
    <t>Tea | Red rust, Die back, Black rot | 500 gm/ha</t>
  </si>
  <si>
    <t>Zimda 50DF</t>
  </si>
  <si>
    <t>AP-5018</t>
  </si>
  <si>
    <t>Baizim 50DF</t>
  </si>
  <si>
    <t>AP-5019</t>
  </si>
  <si>
    <t>Trizim 50DF</t>
  </si>
  <si>
    <t>AP-5020</t>
  </si>
  <si>
    <t>Kazim 80WG</t>
  </si>
  <si>
    <t>AP-5022</t>
  </si>
  <si>
    <t>Vulcan 50DF</t>
  </si>
  <si>
    <t>AP-5023</t>
  </si>
  <si>
    <t>Sweet gourd, Chili</t>
  </si>
  <si>
    <t>Sweet gourd | Powdery mildew | 2 g/L of water
Chili | Anthracnose | 2 g/L of water</t>
  </si>
  <si>
    <t>Cloud 50WP</t>
  </si>
  <si>
    <t>AP-5024</t>
  </si>
  <si>
    <t>Soazim 50WP</t>
  </si>
  <si>
    <t>AP-5026</t>
  </si>
  <si>
    <t>Sotota Agro Science</t>
  </si>
  <si>
    <t>Paruzim 50WP</t>
  </si>
  <si>
    <t>AP-5027</t>
  </si>
  <si>
    <t>Rural Agro Science</t>
  </si>
  <si>
    <t>Muktazim 50WP</t>
  </si>
  <si>
    <t>AP-5028</t>
  </si>
  <si>
    <t>Mesbah Enterprise</t>
  </si>
  <si>
    <t>Sinazim 50WP</t>
  </si>
  <si>
    <t>AP-5029</t>
  </si>
  <si>
    <t>Hasina Agro Chemicals</t>
  </si>
  <si>
    <t>Farmzim 50WP</t>
  </si>
  <si>
    <t>AP-5030</t>
  </si>
  <si>
    <t>Goldenkey Agribusiness Co. Ltd.</t>
  </si>
  <si>
    <t>Aszim 50WDG</t>
  </si>
  <si>
    <t>AP-5031</t>
  </si>
  <si>
    <t>Tea | Die back | 750 gm/ha
Sweet gourd | Powdery mildew | 2 g/L of water</t>
  </si>
  <si>
    <t>Nostrum 50WP</t>
  </si>
  <si>
    <t>AP-5032</t>
  </si>
  <si>
    <t>Die back, Wilt</t>
  </si>
  <si>
    <t>Tea | Die back | 750 gm/ha
Tomato | Wilt | 2 g/L of water</t>
  </si>
  <si>
    <t>Faljim 50WP</t>
  </si>
  <si>
    <t>AP-5033</t>
  </si>
  <si>
    <t>Farm Aid Limited</t>
  </si>
  <si>
    <t>Radozim 50WP</t>
  </si>
  <si>
    <t>AP-5376</t>
  </si>
  <si>
    <t>Onezim 50WP</t>
  </si>
  <si>
    <t>AP-5378</t>
  </si>
  <si>
    <t>Liven 50WP</t>
  </si>
  <si>
    <t>AP-5379</t>
  </si>
  <si>
    <t>Roof Crop Care Limited</t>
  </si>
  <si>
    <t>Rainbow 50WP</t>
  </si>
  <si>
    <t>AP-5380</t>
  </si>
  <si>
    <t>Rain Agrovet</t>
  </si>
  <si>
    <t>Medicarb 50WP</t>
  </si>
  <si>
    <t>AP-5381</t>
  </si>
  <si>
    <t>Media Agro &amp; Marketing Industries</t>
  </si>
  <si>
    <t>Sweet gourd, Cucumber</t>
  </si>
  <si>
    <t>Sweet gourd | Powdery mildew | 2 g/L of water
Cucumber | Powdery mildew | 2 g/L of water</t>
  </si>
  <si>
    <t>Mike 50WP</t>
  </si>
  <si>
    <t>AP-5382</t>
  </si>
  <si>
    <t>Cropzim 50WDG</t>
  </si>
  <si>
    <t>AP-5802</t>
  </si>
  <si>
    <t>Foot rot</t>
  </si>
  <si>
    <t>Jute | Foot rot | 1 g/L of water</t>
  </si>
  <si>
    <t>KB Stin 50WP</t>
  </si>
  <si>
    <t>AP-5803</t>
  </si>
  <si>
    <t>Aidzim 50WP</t>
  </si>
  <si>
    <t>AP-6158</t>
  </si>
  <si>
    <t>Agro Aid International</t>
  </si>
  <si>
    <t>Seedling Disease</t>
  </si>
  <si>
    <t>5 g/Kg Seed</t>
  </si>
  <si>
    <t>Cotton | Seedling Disease | 5 g/Kg Seed</t>
  </si>
  <si>
    <t>Carbendazim ( 32.5%) + Hexaconazole (2.5%)</t>
  </si>
  <si>
    <t>Defense 35SC</t>
  </si>
  <si>
    <t>AP-2792</t>
  </si>
  <si>
    <t>Wheat, Mango, Tea, Onion</t>
  </si>
  <si>
    <t>Scarb, Anthracnose, Die back, Purple blotch</t>
  </si>
  <si>
    <t>1 ml/L of water; 0.5 ml/L of water; 750 ml/ha</t>
  </si>
  <si>
    <t>Wheat | Scarb | 1 ml/L of water
Mango | Anthracnose | 0.5 ml/L of water
Tea | Die back | 750 ml/ha
Onion | Purple blotch | 1 ml/L of water</t>
  </si>
  <si>
    <t>Offense 35SC</t>
  </si>
  <si>
    <t>AP-4278</t>
  </si>
  <si>
    <t>40% + 5%</t>
  </si>
  <si>
    <t>Dhan Shiri 45SC</t>
  </si>
  <si>
    <t>AP-5034</t>
  </si>
  <si>
    <t>Dieback</t>
  </si>
  <si>
    <t>Tea | Dieback | 750 ml/ha</t>
  </si>
  <si>
    <t>Carbendazin ( 20%) + Thiram (40%)</t>
  </si>
  <si>
    <t>Topath 60WP</t>
  </si>
  <si>
    <t>AP-4720</t>
  </si>
  <si>
    <t>Red Rust, Die Back, Block Rot</t>
  </si>
  <si>
    <t>Tea | Red Rust, Die Back, Block Rot | 1.00 kg/ha</t>
  </si>
  <si>
    <t>Carbendazim (25%) + Thiram (25%) Imidacloprid (25%)</t>
  </si>
  <si>
    <t>Atavo 75WDG</t>
  </si>
  <si>
    <t>AP-4721</t>
  </si>
  <si>
    <t>Annodatta Limited</t>
  </si>
  <si>
    <t>Tomato, Rice</t>
  </si>
  <si>
    <t>Wilt, Bakanae</t>
  </si>
  <si>
    <t>8 g/kg Seed; 8 g/Kg Seed</t>
  </si>
  <si>
    <t>Tomato | Wilt | 8 g/kg Seed
Rice | Bakanae | 8 g/Kg Seed</t>
  </si>
  <si>
    <t>Nazda 75WDG</t>
  </si>
  <si>
    <t>AP-4722</t>
  </si>
  <si>
    <t>8 g/kg Seed</t>
  </si>
  <si>
    <t>Tomato | Wilt | 8 g/kg Seed</t>
  </si>
  <si>
    <t>Topzim Super 75WDG</t>
  </si>
  <si>
    <t>AP-4723</t>
  </si>
  <si>
    <t>8 g/kg Seed; 8g/Kg Seed</t>
  </si>
  <si>
    <t>Tomato | Wilt | 8 g/kg Seed
Rice | Bakanae | 8g/Kg Seed</t>
  </si>
  <si>
    <t>Ama Plus 75WG</t>
  </si>
  <si>
    <t>AP-5036</t>
  </si>
  <si>
    <t>Tea | Dieback | 500 gm/ha</t>
  </si>
  <si>
    <t>Naz Gold 75WDG</t>
  </si>
  <si>
    <t>AP-5037</t>
  </si>
  <si>
    <t>Mondol Traders</t>
  </si>
  <si>
    <t>0. 2 gm/L of water</t>
  </si>
  <si>
    <t>Bean | Aphid | 0. 2 gm/L of water</t>
  </si>
  <si>
    <t>Carbendazim (10%) + Imidacloprid (10) + Metalaxyl (10%)</t>
  </si>
  <si>
    <t>Fasal Special 30WP</t>
  </si>
  <si>
    <t>AP-5011</t>
  </si>
  <si>
    <t>Helopeltis, Die back, Black rot, Powdery mildew</t>
  </si>
  <si>
    <t>1.0 Kg/ha; 750 gm/ha; 250 gm/ha</t>
  </si>
  <si>
    <t>Tea | Helopeltis | 1.0 Kg/ha
Tea | Die back, Black rot | 750 gm/ha
Sweet gourd | Die back, Black rot | 750 gm/ha
Sweet gourd | Powdery mildew | 250 gm/ha</t>
  </si>
  <si>
    <t>Regiment 30WP</t>
  </si>
  <si>
    <t>AP-5578</t>
  </si>
  <si>
    <t>ACI Agrolink Limited</t>
  </si>
  <si>
    <t>Hispa</t>
  </si>
  <si>
    <t>Rice | Hispa | 500 gm/ha</t>
  </si>
  <si>
    <t>Imidacloprid (20) + Metalaxyl M (20%) + Tebuconazole (2%)</t>
  </si>
  <si>
    <t>Multiguard 42WS</t>
  </si>
  <si>
    <t>AP-5579</t>
  </si>
  <si>
    <t>1.25 Kg/ha</t>
  </si>
  <si>
    <t>Bean | Aphid | 1.25 Kg/ha</t>
  </si>
  <si>
    <t>IRAC 4A</t>
  </si>
  <si>
    <t>Tebuconazole (12.50%) Cyproconazole (40.00%) Azoxystrobin (11.00%)</t>
  </si>
  <si>
    <t>Troy 63.5SC</t>
  </si>
  <si>
    <t>AP-5806</t>
  </si>
  <si>
    <t>FRAC 3</t>
  </si>
  <si>
    <t>Carbendazim ( 25%) Flusilazole (12.5%)</t>
  </si>
  <si>
    <t>Lustre 37.5SC</t>
  </si>
  <si>
    <t>AP-4596</t>
  </si>
  <si>
    <t>Dhanuka Agri Solutions Pvt. Ltd.</t>
  </si>
  <si>
    <t>Pacer 37.5SC</t>
  </si>
  <si>
    <t>AP-3141</t>
  </si>
  <si>
    <t>600 ml/ha</t>
  </si>
  <si>
    <t>Wheat | Leaf blight | 600 ml/ha</t>
  </si>
  <si>
    <t>Carboxin (37.5%) + Thiram (37.5%)</t>
  </si>
  <si>
    <t>Provax 200WP</t>
  </si>
  <si>
    <t>AP-1146</t>
  </si>
  <si>
    <t>Wheat, Jute, Rice, Brinjal, Bottle gourd, Potato</t>
  </si>
  <si>
    <t>Seedling blight, Foot rot, Seedling disease, Seed rot, Seedling disease,, Wilting, Soft rot, Anthracnose,, (Seed borne) Bipolaris oryzae, Black scarf</t>
  </si>
  <si>
    <t>3 g/kg seed; 4 g/kg seed; 2 g/kg seed; 2.5 g/L of water</t>
  </si>
  <si>
    <t>Wheat | Seedling blight, Foot rot | 3 g/kg seed
Wheat | Seedling disease | 4 g/kg seed
Jute | Seed rot, Seedling disease,, Wilting, Soft rot, Anthracnose, | 4 g/kg seed
Rice | (Seed borne) Bipolaris oryzae | 3 g/kg seed
Brinjal | Seedling disease | 2 g/kg seed
Bottle gourd | Seedling disease | 2 g/kg seed
Potato | Black scarf | 2.5 g/L of water</t>
  </si>
  <si>
    <t>VitaFlo 200FF</t>
  </si>
  <si>
    <t>AP-1611</t>
  </si>
  <si>
    <t>Jute, Wheat, Rice, Maize, Potato</t>
  </si>
  <si>
    <t>Seed rot, Black bend, Die back, Seedling blight, Foot rot, Seed treatment, Leaf blight, head smut, Seedling wilt, Black scarf</t>
  </si>
  <si>
    <t>2.5-3 ml/kg seed; 3 ml/kg seed; 5 ml/kg seed; 3.5 ml/kg seed</t>
  </si>
  <si>
    <t>Jute | Seed rot, Black bend, Die back | 2.5-3 ml/kg seed
Wheat | Seedling blight, Foot rot | 3 ml/kg seed
Rice | Seed treatment | 5 ml/kg seed
Maize | Leaf blight, head smut, Seedling wilt | 3.5 ml/kg seed
Potato | Black scarf | 3.5 ml/kg seed</t>
  </si>
  <si>
    <t>ACI Flo 75FS</t>
  </si>
  <si>
    <t>AP-5383</t>
  </si>
  <si>
    <t>Seed borne disease</t>
  </si>
  <si>
    <t>2.5 ml/L of water</t>
  </si>
  <si>
    <t>Jute | Seed borne disease | 2.5 ml/L of water</t>
  </si>
  <si>
    <t>Carboxin 20%+ Thiram 20%</t>
  </si>
  <si>
    <t>Asavax 40WP</t>
  </si>
  <si>
    <t>AP-5101</t>
  </si>
  <si>
    <t>Foot rot Seedling blight</t>
  </si>
  <si>
    <t>3 g/L per kg seed</t>
  </si>
  <si>
    <t>Wheat | Foot rot Seedling blight | 3 g/L per kg seed</t>
  </si>
  <si>
    <t>Carbendazim (17.5%) Iprodione (35%)</t>
  </si>
  <si>
    <t>Shelter 52.5WP</t>
  </si>
  <si>
    <t>AP-3251</t>
  </si>
  <si>
    <t>Hama 52.5WP</t>
  </si>
  <si>
    <t>AP-4215</t>
  </si>
  <si>
    <t>Tomato, Onion, Chili</t>
  </si>
  <si>
    <t>Early blight, Purple blotch, Anthracnose</t>
  </si>
  <si>
    <t>2 g/L of water; 1.5 g/L of water</t>
  </si>
  <si>
    <t>Tomato | Early blight | 2 g/L of water
Onion | Purple blotch | 1.5 g/L of water
Chili | Anthracnose | 1.5 g/L of water</t>
  </si>
  <si>
    <t>Biprodazim 52.5WP</t>
  </si>
  <si>
    <t>AP-4590</t>
  </si>
  <si>
    <t>Tea | Die back | 1.00 kg/ha</t>
  </si>
  <si>
    <t>Gravity 52.5WP</t>
  </si>
  <si>
    <t>AP-4593</t>
  </si>
  <si>
    <t>Mustard</t>
  </si>
  <si>
    <t>Blight</t>
  </si>
  <si>
    <t>Mustard | Blight | 2 g/L of water</t>
  </si>
  <si>
    <t>Mim 52.5WP</t>
  </si>
  <si>
    <t>AP-4594</t>
  </si>
  <si>
    <t>Onion</t>
  </si>
  <si>
    <t>Purple blotch</t>
  </si>
  <si>
    <t>Onion | Purple blotch | 2 g/L of water</t>
  </si>
  <si>
    <t>Topral 52.5WP</t>
  </si>
  <si>
    <t>AP-5014</t>
  </si>
  <si>
    <t>Krishi Crop Care Limited</t>
  </si>
  <si>
    <t>Forsol Xtra 52.5WP</t>
  </si>
  <si>
    <t>AP-5016</t>
  </si>
  <si>
    <t>Tea, Potato, Sweet gourd</t>
  </si>
  <si>
    <t>Die back, Late blight, Powdery mildew</t>
  </si>
  <si>
    <t>Tea | Die back | 750 gm/ha
Potato | Late blight | 2 g/L of water
Sweet gourd | Powdery mildew | 2 g/L of water</t>
  </si>
  <si>
    <t>Kardion 52.5WP</t>
  </si>
  <si>
    <t>AP-5017</t>
  </si>
  <si>
    <t>NCL</t>
  </si>
  <si>
    <t>Carbendazim (25%) Iprodione (25%)</t>
  </si>
  <si>
    <t>Orazim Plus 50WP</t>
  </si>
  <si>
    <t>AP-4591</t>
  </si>
  <si>
    <t>Hyprozim 50WP</t>
  </si>
  <si>
    <t>AP-4592</t>
  </si>
  <si>
    <t>Die back, Sheath blight</t>
  </si>
  <si>
    <t>1.00 kg/ha; 500 gm/ha</t>
  </si>
  <si>
    <t>Tea | Die back | 1.00 kg/ha
Rice | Sheath blight | 500 gm/ha</t>
  </si>
  <si>
    <t>Rodazima 50WP</t>
  </si>
  <si>
    <t>AP-4595</t>
  </si>
  <si>
    <t>Moscozim 50WP</t>
  </si>
  <si>
    <t>AP-5015</t>
  </si>
  <si>
    <t>Chlorothalonil</t>
  </si>
  <si>
    <t>Daconil 500EC</t>
  </si>
  <si>
    <t>AP-2114</t>
  </si>
  <si>
    <t>Potato, Tomato</t>
  </si>
  <si>
    <t>Late Blight, Early blight</t>
  </si>
  <si>
    <t>750 ml/ha; 2 g/L of water</t>
  </si>
  <si>
    <t>Potato | Late Blight | 750 ml/ha
Tomato | Early blight | 2 g/L of water</t>
  </si>
  <si>
    <t>FRAC M5</t>
  </si>
  <si>
    <t>Satez 50SC</t>
  </si>
  <si>
    <t>AP-4719</t>
  </si>
  <si>
    <t>Sonali Agro Crop care</t>
  </si>
  <si>
    <t>M-Thal 72SC</t>
  </si>
  <si>
    <t>AP-5372</t>
  </si>
  <si>
    <t>Red Rust</t>
  </si>
  <si>
    <t>1.50 L/ha</t>
  </si>
  <si>
    <t>Tea | Red Rust | 1.50 L/ha</t>
  </si>
  <si>
    <t>Chlorothalonil (30%) + Cymoxanil (6%)</t>
  </si>
  <si>
    <t>Bounty 36WP</t>
  </si>
  <si>
    <t>AP-3925</t>
  </si>
  <si>
    <t>Selfi 36WP</t>
  </si>
  <si>
    <t>AP-4629</t>
  </si>
  <si>
    <t>Tea, Potato</t>
  </si>
  <si>
    <t>Red rust, Late blight</t>
  </si>
  <si>
    <t>1.00 kg/ha; 2 g/L of water</t>
  </si>
  <si>
    <t>Tea | Red rust | 1.00 kg/ha
Potato | Late blight | 2 g/L of water</t>
  </si>
  <si>
    <t>Coral 36WP</t>
  </si>
  <si>
    <t>AP-4630</t>
  </si>
  <si>
    <t>3.00 kg/ha</t>
  </si>
  <si>
    <t>Tea | Red rust | 3.00 kg/ha</t>
  </si>
  <si>
    <t>Samidew 36WP</t>
  </si>
  <si>
    <t>AP-5384</t>
  </si>
  <si>
    <t>Copper hydroxide 77%)</t>
  </si>
  <si>
    <t>Champion 77WP</t>
  </si>
  <si>
    <t>AP-354</t>
  </si>
  <si>
    <t>Potato &amp; Tomato, Mango, Chili, Citrus, Banana, Ground nut, Tea</t>
  </si>
  <si>
    <t>Late blight, Anthracnose, Scab, Leaf spot, Tikka rust, Red rust disease</t>
  </si>
  <si>
    <t>2 g/L of water; 2.24 kg/ha</t>
  </si>
  <si>
    <t>Potato &amp; Tomato | Late blight | 2 g/L of water
Mango, Chili | Anthracnose | 2 g/L of water
Citrus | Scab | 2 g/L of water
Banana | Leaf spot | 2 g/L of water
Ground nut | Tikka rust | 2 g/L of water
Tea | Red rust disease | 2.24 kg/ha</t>
  </si>
  <si>
    <t>FRAC M1</t>
  </si>
  <si>
    <t>Dolphin 77WP</t>
  </si>
  <si>
    <t>AP-716</t>
  </si>
  <si>
    <t>6.50 g/L of water</t>
  </si>
  <si>
    <t>Banana | Sigatoka | 6.50 g/L of water</t>
  </si>
  <si>
    <t>Hidrocob 77WP</t>
  </si>
  <si>
    <t>AP-792</t>
  </si>
  <si>
    <t>3.50 g/Lof water</t>
  </si>
  <si>
    <t>Potato | Late blight | 3.50 g/Lof water</t>
  </si>
  <si>
    <t>Parasol 77WP</t>
  </si>
  <si>
    <t>AP-1360</t>
  </si>
  <si>
    <t>Potato, Chili</t>
  </si>
  <si>
    <t>Late blight, Anthracnose</t>
  </si>
  <si>
    <t>Potato | Late blight | 2 g/L of water
Chili | Anthracnose | 2 g/L of water</t>
  </si>
  <si>
    <t>Superex 77WP</t>
  </si>
  <si>
    <t>AP-1861</t>
  </si>
  <si>
    <t>Die back,Black rot, Red rust</t>
  </si>
  <si>
    <t>Tea | Die back,Black rot, Red rust | 750 gm/ha</t>
  </si>
  <si>
    <t>Jibal 77WP</t>
  </si>
  <si>
    <t>AP-1876</t>
  </si>
  <si>
    <t>Chili, Mango</t>
  </si>
  <si>
    <t>Chili | Anthracnose | 2 g/L of water
Mango | Anthracnose | 2 g/L of water</t>
  </si>
  <si>
    <t>EG Carman 75WP</t>
  </si>
  <si>
    <t>AP-4713</t>
  </si>
  <si>
    <t>Champ 57.6DP</t>
  </si>
  <si>
    <t>AP-5092</t>
  </si>
  <si>
    <t>2.5 Kg/ha</t>
  </si>
  <si>
    <t>Tea | Red rust | 2.5 Kg/ha</t>
  </si>
  <si>
    <t>Copper oxychloride (50%)</t>
  </si>
  <si>
    <t>Sulcox 50WP</t>
  </si>
  <si>
    <t>AP-528</t>
  </si>
  <si>
    <t>Tea, Pulse &amp; Oil crops, Mango, Onion</t>
  </si>
  <si>
    <t>Die back, Black rot &amp; Red rust, Leaf spot, Anthracnose, Purple blotch</t>
  </si>
  <si>
    <t>2.80 Kg/ha; 3.40 kg/ha; 4 g/L of water; 2 g/L of water</t>
  </si>
  <si>
    <t>Tea | Die back, Black rot &amp; Red rust | 2.80 Kg/ha
Pulse &amp; Oil crops | Leaf spot | 3.40 kg/ha
Mango | Anthracnose | 4 g/L of water
Onion | Purple blotch | 2 g/L of water</t>
  </si>
  <si>
    <t>Sunvit 50WP</t>
  </si>
  <si>
    <t>AP-527</t>
  </si>
  <si>
    <t>Tea, Sesame</t>
  </si>
  <si>
    <t>Red rust, Leaf spot</t>
  </si>
  <si>
    <t>2.80 Kg/ha; 3.40 kg/ha</t>
  </si>
  <si>
    <t>Tea | Red rust | 2.80 Kg/ha
Sesame | Leaf spot | 3.40 kg/ha</t>
  </si>
  <si>
    <t>Oxivit 50WP</t>
  </si>
  <si>
    <t>AP-616</t>
  </si>
  <si>
    <t>Late blight, Early blight</t>
  </si>
  <si>
    <t>3.50 kg/ha; 3.5 g/L of water</t>
  </si>
  <si>
    <t>Potato | Late blight | 3.50 kg/ha
Tomato | Early blight | 3.5 g/L of water</t>
  </si>
  <si>
    <t>Copper 50WP</t>
  </si>
  <si>
    <t>AP-703</t>
  </si>
  <si>
    <t>2.80 Kg/ha</t>
  </si>
  <si>
    <t>Tea | Red rust | 2.80 Kg/ha</t>
  </si>
  <si>
    <t>Blitox 50WP</t>
  </si>
  <si>
    <t>AP-704</t>
  </si>
  <si>
    <t>Haymoxy 50WP</t>
  </si>
  <si>
    <t>AP-715</t>
  </si>
  <si>
    <t>Banana, Tomato, Tea, Onion</t>
  </si>
  <si>
    <t>Sigatoka, Early blight, Red rust, Purple blotch</t>
  </si>
  <si>
    <t>6.50 g/Lof water; 4 g/L of water; 2.80 kg/ha; 2 g/L of water</t>
  </si>
  <si>
    <t>Banana | Sigatoka | 6.50 g/Lof water
Tomato | Early blight | 4 g/L of water
Tea | Red rust | 2.80 kg/ha
Onion | Purple blotch | 2 g/L of water</t>
  </si>
  <si>
    <t>Oxicob 50WP</t>
  </si>
  <si>
    <t>AP-791</t>
  </si>
  <si>
    <t>3.50 g/L of water</t>
  </si>
  <si>
    <t>Potato | Late blight | 3.50 g/L of water</t>
  </si>
  <si>
    <t>Acmecop 50WP</t>
  </si>
  <si>
    <t>AP-875</t>
  </si>
  <si>
    <t>Chemolimpex Agro</t>
  </si>
  <si>
    <t>Blue Cop 50WP</t>
  </si>
  <si>
    <t>AP-994</t>
  </si>
  <si>
    <t>Emivit 50WP</t>
  </si>
  <si>
    <t>AP-1310</t>
  </si>
  <si>
    <t>Red rust, Die back</t>
  </si>
  <si>
    <t>2.80 Kg/ha; 70 g/10 L of water</t>
  </si>
  <si>
    <t>Tea | Red rust | 2.80 Kg/ha
Chili | Die back | 70 g/10 L of water</t>
  </si>
  <si>
    <t>Polyco 50WP</t>
  </si>
  <si>
    <t>AP-1841</t>
  </si>
  <si>
    <t>Die back, Black rot &amp; Red rust</t>
  </si>
  <si>
    <t>Tea | Die back, Black rot &amp; Red rust | 2.80 Kg/ha</t>
  </si>
  <si>
    <t>Baicoper 50WP</t>
  </si>
  <si>
    <t>AP-1842</t>
  </si>
  <si>
    <t>Tomato, Tea</t>
  </si>
  <si>
    <t>Late blight, Die back, Black rot &amp; Red rust</t>
  </si>
  <si>
    <t>2 g/L of water; 2.80 Kg/ha</t>
  </si>
  <si>
    <t>Tomato | Late blight | 2 g/L of water
Tea | Die back, Black rot &amp; Red rust | 2.80 Kg/ha</t>
  </si>
  <si>
    <t>Capvit 50WP</t>
  </si>
  <si>
    <t>AP-2507</t>
  </si>
  <si>
    <t>Copraz 50WP</t>
  </si>
  <si>
    <t>AP-2508</t>
  </si>
  <si>
    <t>2.5 g/L of water</t>
  </si>
  <si>
    <t>Tomato | Early blight | 2.5 g/L of water</t>
  </si>
  <si>
    <t>M-Cop 50WP</t>
  </si>
  <si>
    <t>AP-2778</t>
  </si>
  <si>
    <t>2.50 kg/ha</t>
  </si>
  <si>
    <t>Banana | Sigatoka | 2.50 kg/ha</t>
  </si>
  <si>
    <t>Oxycol 50WP</t>
  </si>
  <si>
    <t>AP-3142</t>
  </si>
  <si>
    <t>Coxy 50WP</t>
  </si>
  <si>
    <t>AP-3143</t>
  </si>
  <si>
    <t>Anthracnose, Red rust, Die back, Black rot</t>
  </si>
  <si>
    <t>Mango | Anthracnose | 2 g/L of water
Tea | Red rust, Die back, Black rot | 2.80 Kg/ha</t>
  </si>
  <si>
    <t>Goldton 50WP</t>
  </si>
  <si>
    <t>AP-3144</t>
  </si>
  <si>
    <t>Downey mildew</t>
  </si>
  <si>
    <t>Cucumber | Downey mildew | 2 g/L of water</t>
  </si>
  <si>
    <t>Copper Blue 50WP</t>
  </si>
  <si>
    <t>AP-3912</t>
  </si>
  <si>
    <t>Hossacop 50WG</t>
  </si>
  <si>
    <t>AP-3928</t>
  </si>
  <si>
    <t>Ras-Copper 50WP</t>
  </si>
  <si>
    <t>AP-4619</t>
  </si>
  <si>
    <t>Curenox 50WP</t>
  </si>
  <si>
    <t>AP-5089</t>
  </si>
  <si>
    <t>Shirnocy 50WP</t>
  </si>
  <si>
    <t>AP-5090</t>
  </si>
  <si>
    <t>Karla 50WP</t>
  </si>
  <si>
    <t>AP-5091</t>
  </si>
  <si>
    <t>Crop Touch Pesticides Ltd.</t>
  </si>
  <si>
    <t>Emerge 50WP</t>
  </si>
  <si>
    <t>AP-5624</t>
  </si>
  <si>
    <t>5 g/L of water</t>
  </si>
  <si>
    <t>Bean | Powdery mildew | 5 g/L of water</t>
  </si>
  <si>
    <t>Sweet Copper 50WP</t>
  </si>
  <si>
    <t>AP-5625</t>
  </si>
  <si>
    <t>Loride 50WP</t>
  </si>
  <si>
    <t>AP-6064</t>
  </si>
  <si>
    <t>Digital Crop Solutions</t>
  </si>
  <si>
    <t>Block rot</t>
  </si>
  <si>
    <t>Tea | Block rot | 2.80 Kg/ha</t>
  </si>
  <si>
    <t>Dichloran</t>
  </si>
  <si>
    <t>Arniline 8WP</t>
  </si>
  <si>
    <t>AP-1161</t>
  </si>
  <si>
    <t>Potato, Tomato, Onion</t>
  </si>
  <si>
    <t>Foot, Shoot &amp; Leaf rot, Root, Stand &amp; Leaf rot</t>
  </si>
  <si>
    <t>Potato | Foot, Shoot &amp; Leaf rot | 2 g/L of water
Tomato, Onion | Root, Stand &amp; Leaf rot | 2 g/L of water</t>
  </si>
  <si>
    <t>FRAC U8</t>
  </si>
  <si>
    <t>Difenoconazole (25%)</t>
  </si>
  <si>
    <t>Bond 250EC</t>
  </si>
  <si>
    <t>AP-2390</t>
  </si>
  <si>
    <t>Mango, Banana</t>
  </si>
  <si>
    <t>Anthracnose, Sigatoka</t>
  </si>
  <si>
    <t>Mango | Anthracnose | 0.5 ml/L of water
Banana | Sigatoka | 0.5 ml/L of water</t>
  </si>
  <si>
    <t>Vanga 10WDG</t>
  </si>
  <si>
    <t>AP-2786</t>
  </si>
  <si>
    <t>Score 250EC</t>
  </si>
  <si>
    <t>AP-384</t>
  </si>
  <si>
    <t>Onion, Chili, Betel vine, Banana, Rice, Mango</t>
  </si>
  <si>
    <t>Purple blotch, Leaf spot, Foot rot, Sigatoka, Sheath blight, Anthracnose</t>
  </si>
  <si>
    <t>0.5 ml/L of water; 1 ml/L of water</t>
  </si>
  <si>
    <t>Onion | Purple blotch | 0.5 ml/L of water
Chili | Leaf spot | 0.5 ml/L of water
Betel vine | Foot rot | 0.5 ml/L of water
Banana | Sigatoka | 0.5 ml/L of water
Rice | Sheath blight | 1 ml/L of water
Mango | Anthracnose | 0.5 ml/L of water</t>
  </si>
  <si>
    <t>Rofenon 25EC</t>
  </si>
  <si>
    <t>AP-1711</t>
  </si>
  <si>
    <t>Rice, Onion</t>
  </si>
  <si>
    <t>Sheath blight, Purple blotch</t>
  </si>
  <si>
    <t>500 ml/ha; 0.5 ml/L of water</t>
  </si>
  <si>
    <t>Rice | Sheath blight | 500 ml/ha
Onion | Purple blotch | 0.5 ml/L of water</t>
  </si>
  <si>
    <t>Difenconazole (15%) + Propiconazole (15%)</t>
  </si>
  <si>
    <t>X-Tra Care 300EC</t>
  </si>
  <si>
    <t>AP-1773</t>
  </si>
  <si>
    <t>Rice, Chilli, Cucurbit</t>
  </si>
  <si>
    <t>Sheath blight, Anthracnose, Powdery mildew</t>
  </si>
  <si>
    <t>120 ml/ha; 0.5 ml/L of water</t>
  </si>
  <si>
    <t>Rice | Sheath blight | 120 ml/ha
Chilli | Anthracnose | 0.5 ml/L of water
Cucurbit | Powdery mildew | 0.5 ml/L of water</t>
  </si>
  <si>
    <t>Combi-2 30EC</t>
  </si>
  <si>
    <t>AP-1775</t>
  </si>
  <si>
    <t>120 ml/ha</t>
  </si>
  <si>
    <t>Rice | Sheath blight | 120 ml/ha</t>
  </si>
  <si>
    <t>Perk 300EC</t>
  </si>
  <si>
    <t>AP-2544</t>
  </si>
  <si>
    <t>Mango | Anthracnose | 2 ml/L of water</t>
  </si>
  <si>
    <t>Cropcep 300EC</t>
  </si>
  <si>
    <t>AP-2545</t>
  </si>
  <si>
    <t>Chili, Banana</t>
  </si>
  <si>
    <t>Chili | Anthracnose | 0.5 ml/L of water
Banana | Sigatoka | 0.5 ml/L of water</t>
  </si>
  <si>
    <t>Evaeilt Super 300EC</t>
  </si>
  <si>
    <t>AP-1591</t>
  </si>
  <si>
    <t>Safemaster 300EC</t>
  </si>
  <si>
    <t>AP-2775</t>
  </si>
  <si>
    <t>Ricozole 300EC</t>
  </si>
  <si>
    <t>AP-3080</t>
  </si>
  <si>
    <t>Differ 300EC</t>
  </si>
  <si>
    <t>AP-3081</t>
  </si>
  <si>
    <t>Dial 300EC</t>
  </si>
  <si>
    <t>AP-3082</t>
  </si>
  <si>
    <t>Banana | Sigatoka | 0.5 ml/L of water</t>
  </si>
  <si>
    <t>Banner 300EC</t>
  </si>
  <si>
    <t>AP-3246</t>
  </si>
  <si>
    <t>Cucumber | Powdery mildew | 2 ml/L of water</t>
  </si>
  <si>
    <t>A-One 300EC</t>
  </si>
  <si>
    <t>AP-3247</t>
  </si>
  <si>
    <t>Endavour 300EC</t>
  </si>
  <si>
    <t>AP-3249</t>
  </si>
  <si>
    <t>Quilt 300EC</t>
  </si>
  <si>
    <t>AP-3250</t>
  </si>
  <si>
    <t>Dipro 30EC</t>
  </si>
  <si>
    <t>AP-3547</t>
  </si>
  <si>
    <t>Orpon 30EC</t>
  </si>
  <si>
    <t>AP-3548</t>
  </si>
  <si>
    <t>Zol Plus 30EC</t>
  </si>
  <si>
    <t>AP-3549</t>
  </si>
  <si>
    <t>Ditigal Agricultural Industries Ltd</t>
  </si>
  <si>
    <t>Diprozole 30EC</t>
  </si>
  <si>
    <t>AP-3550</t>
  </si>
  <si>
    <t>Prodifen 30EC</t>
  </si>
  <si>
    <t>AP-4190</t>
  </si>
  <si>
    <t>Red rust, Die back, Black rot, Anthracnose</t>
  </si>
  <si>
    <t>Tea | Red rust, Die back, Black rot | 750 ml/ha
Mango | Anthracnose | 0.5 ml/L of water</t>
  </si>
  <si>
    <t>Recov 30EC</t>
  </si>
  <si>
    <t>AP-4191</t>
  </si>
  <si>
    <t>Tea | Red rust, Die back, Black rot | 750 ml/ha</t>
  </si>
  <si>
    <t>Couter 30EC</t>
  </si>
  <si>
    <t>AP-4192</t>
  </si>
  <si>
    <t>Vimzole 30EC</t>
  </si>
  <si>
    <t>AP-4193</t>
  </si>
  <si>
    <t>Advance Care 30EC</t>
  </si>
  <si>
    <t>AP-4194</t>
  </si>
  <si>
    <t>Sweet guard</t>
  </si>
  <si>
    <t>Sweet guard | Powdery mildew | 0.5 ml/L of water</t>
  </si>
  <si>
    <t>Prodip 30EC</t>
  </si>
  <si>
    <t>AP-4195</t>
  </si>
  <si>
    <t>Cobra Agro Care Ltd.</t>
  </si>
  <si>
    <t>Asthazole 30EC</t>
  </si>
  <si>
    <t>AP-4196</t>
  </si>
  <si>
    <t>Astha Agro Care</t>
  </si>
  <si>
    <t>Duplex 30EC</t>
  </si>
  <si>
    <t>AP-4197</t>
  </si>
  <si>
    <t>Dipon 30EC</t>
  </si>
  <si>
    <t>AP-4198</t>
  </si>
  <si>
    <t>Aidzole 30EC</t>
  </si>
  <si>
    <t>AP-4199</t>
  </si>
  <si>
    <t>Tintin 30EC</t>
  </si>
  <si>
    <t>AP-4200</t>
  </si>
  <si>
    <t>Cucurbit | Powdery mildew | 0.5 ml/L of water</t>
  </si>
  <si>
    <t>Erafen 30EC</t>
  </si>
  <si>
    <t>AP-4201</t>
  </si>
  <si>
    <t>Best Care 30EC</t>
  </si>
  <si>
    <t>AP-4202</t>
  </si>
  <si>
    <t>Nandan 30EC</t>
  </si>
  <si>
    <t>AP-4203</t>
  </si>
  <si>
    <t>Winzole 30EC</t>
  </si>
  <si>
    <t>AP-4205</t>
  </si>
  <si>
    <t>Rezole 30WDG</t>
  </si>
  <si>
    <t>AP-4206</t>
  </si>
  <si>
    <t>Fenozole 30EC</t>
  </si>
  <si>
    <t>AP-4610</t>
  </si>
  <si>
    <t>Agri Home Bangladesh</t>
  </si>
  <si>
    <t>Control Gold 30EC</t>
  </si>
  <si>
    <t>AP-4611</t>
  </si>
  <si>
    <t>1.00 L/ha; 1 ml/L of water</t>
  </si>
  <si>
    <t>Tea | Die back | 1.00 L/ha
Chilli | Anthracnose | 1 ml/L of water</t>
  </si>
  <si>
    <t>E Zol Plus 30EC</t>
  </si>
  <si>
    <t>AP-4612</t>
  </si>
  <si>
    <t>Eco Aid Limited</t>
  </si>
  <si>
    <t>Tea | Die back | 1.00 L/ha</t>
  </si>
  <si>
    <t>Romoni-2 30EC</t>
  </si>
  <si>
    <t>AP-4613</t>
  </si>
  <si>
    <t>Sweet guard | Powdery mildew | 1 ml/L of water</t>
  </si>
  <si>
    <t>Positive 30EC</t>
  </si>
  <si>
    <t>AP-4615</t>
  </si>
  <si>
    <t>Mango, Tea, Wheat, Rice</t>
  </si>
  <si>
    <t>Anthracnose, Block rot, Leaf blight, Sheath blight</t>
  </si>
  <si>
    <t>1 ml/L of water; 750 ml/ha; 2 ml/L of water; 500 ml/ha</t>
  </si>
  <si>
    <t>Mango | Anthracnose | 1 ml/L of water
Tea | Block rot | 750 ml/ha
Wheat | Leaf blight | 2 ml/L of water
Rice | Sheath blight | 500 ml/ha</t>
  </si>
  <si>
    <t>Durjoy 30EC</t>
  </si>
  <si>
    <t>AP-4616</t>
  </si>
  <si>
    <t>Blequeen 30EC</t>
  </si>
  <si>
    <t>AP-4617</t>
  </si>
  <si>
    <t>Chili | Anthracnose | 1 ml/L of water</t>
  </si>
  <si>
    <t>Genezole 30EC</t>
  </si>
  <si>
    <t>AP-4618</t>
  </si>
  <si>
    <t>Teslore 30EC</t>
  </si>
  <si>
    <t>AP-5044</t>
  </si>
  <si>
    <t>Anthracnose, Sheath blight</t>
  </si>
  <si>
    <t>1 ml/L of water; 225 ml/ha</t>
  </si>
  <si>
    <t>Chilli | Anthracnose | 1 ml/L of water
Rice | Sheath blight | 225 ml/ha</t>
  </si>
  <si>
    <t>Comfort 45.5EC</t>
  </si>
  <si>
    <t>AP-5045</t>
  </si>
  <si>
    <t>Tiptop 30EC</t>
  </si>
  <si>
    <t>AP-5386</t>
  </si>
  <si>
    <t>MRS 2 Agro Chemicals</t>
  </si>
  <si>
    <t>Lilistar 30EC</t>
  </si>
  <si>
    <t>AP-6049</t>
  </si>
  <si>
    <t>Tea | Block rot | 750 ml/ha</t>
  </si>
  <si>
    <t>Dimethomorph (9%) + Mancozeb (60%)</t>
  </si>
  <si>
    <t>Acrobat MZ</t>
  </si>
  <si>
    <t>AP-353</t>
  </si>
  <si>
    <t>Potato &amp; Tomato, Chilli, Banana, Ground nut, Onion</t>
  </si>
  <si>
    <t>Early &amp; Late blight, Anthracnose, Leaf spot, Tikka rust, Purple blotch</t>
  </si>
  <si>
    <t>2.00 kg/ha; 4 g/L of water</t>
  </si>
  <si>
    <t>Potato &amp; Tomato | Early &amp; Late blight | 2.00 kg/ha
Chilli | Anthracnose | 2.00 kg/ha
Banana | Leaf spot | 2.00 kg/ha
Ground nut | Tikka rust | 2.00 kg/ha
Onion | Purple blotch | 4 g/L of water</t>
  </si>
  <si>
    <t>FRAC 40</t>
  </si>
  <si>
    <t>Hasin 69WP</t>
  </si>
  <si>
    <t>AP-3235</t>
  </si>
  <si>
    <t>Ebad 69WP</t>
  </si>
  <si>
    <t>AP-4716</t>
  </si>
  <si>
    <t>Sweet guard, Chili</t>
  </si>
  <si>
    <t>4 g/L of water; 2 g/L of water</t>
  </si>
  <si>
    <t>Sweet guard | Powdery mildew | 4 g/L of water
Chili | Anthracnose | 2 g/L of water</t>
  </si>
  <si>
    <t>Lexicon-Z 69WP</t>
  </si>
  <si>
    <t>AP-5103</t>
  </si>
  <si>
    <t>Cucumber, Potato</t>
  </si>
  <si>
    <t>Downy mildew, Late blight</t>
  </si>
  <si>
    <t>Cucumber | Downy mildew | 2 g/L of water
Potato | Late blight | 2 g/L of water</t>
  </si>
  <si>
    <t>Banister 69WP</t>
  </si>
  <si>
    <t>AP-5415</t>
  </si>
  <si>
    <t>Sweet guard | Powdery mildew | 2 g/L of water</t>
  </si>
  <si>
    <t>Difenoconazole (15%) + Tebuconazole (15%)</t>
  </si>
  <si>
    <t>Zole Plus 30EC</t>
  </si>
  <si>
    <t>AP-6065</t>
  </si>
  <si>
    <t>Cymoxanil (5%) + Dimethomorph (30%)</t>
  </si>
  <si>
    <t>Dimox 35SC</t>
  </si>
  <si>
    <t>AP-3924</t>
  </si>
  <si>
    <t>Tomota</t>
  </si>
  <si>
    <t>Tomota | Early blight | 2 g/L of water</t>
  </si>
  <si>
    <t>Pyraclostrobin (25%)</t>
  </si>
  <si>
    <t>Forblast 250SC</t>
  </si>
  <si>
    <t>AP-4626</t>
  </si>
  <si>
    <t>Forward International (BD). Ltd.</t>
  </si>
  <si>
    <t>750 ml/ha; 1.0 L/ha</t>
  </si>
  <si>
    <t>Tea | Red rust | 750 ml/ha
- | - | 1.0 L/ha</t>
  </si>
  <si>
    <t>Pyraclostrobin (10%)</t>
  </si>
  <si>
    <t>Seltima 10 CS</t>
  </si>
  <si>
    <t>AP-5112</t>
  </si>
  <si>
    <t>Sheath blight, Blast</t>
  </si>
  <si>
    <t>Rice | Sheath blight | -
Rice | Blast | 1.0 L/ha</t>
  </si>
  <si>
    <t>Pyraclostrobin (6.7%) + Dimethomorph (12%)</t>
  </si>
  <si>
    <t>Headline Team</t>
  </si>
  <si>
    <t>AP-4188</t>
  </si>
  <si>
    <t>Potato | Late blight | 2.5 g/L of water</t>
  </si>
  <si>
    <t>Pyraclostrobin (13%) + Tricyclazole (25%)</t>
  </si>
  <si>
    <t>Noblast 38SC</t>
  </si>
  <si>
    <t>AP-5797</t>
  </si>
  <si>
    <t>Eminence Chemical Industries Ltd.</t>
  </si>
  <si>
    <t>Ametoctradin (30%) + Dimethomorph (22.5%)</t>
  </si>
  <si>
    <t>Zampro DM</t>
  </si>
  <si>
    <t>AP-4189</t>
  </si>
  <si>
    <t>1.6 ml/L of water</t>
  </si>
  <si>
    <t>Potato | Late blight | 1.6 ml/L of water</t>
  </si>
  <si>
    <t>Diniconazole</t>
  </si>
  <si>
    <t>Merabou 12.5WP</t>
  </si>
  <si>
    <t>AP-984</t>
  </si>
  <si>
    <t>Ground nut</t>
  </si>
  <si>
    <t>Tikka</t>
  </si>
  <si>
    <t>Ground nut | Tikka | 2 g/L of water</t>
  </si>
  <si>
    <t>Edifenphos</t>
  </si>
  <si>
    <t>Edifen 50EC</t>
  </si>
  <si>
    <t>AP-268</t>
  </si>
  <si>
    <t>Blast, Blister blight &amp; Brown blight</t>
  </si>
  <si>
    <t>850 ml/ha</t>
  </si>
  <si>
    <t>Rice | Blast, Blister blight &amp; Brown blight | 850 ml/ha</t>
  </si>
  <si>
    <t>FRAC 6</t>
  </si>
  <si>
    <t>Epoxiconazole</t>
  </si>
  <si>
    <t>Opal 7.5EC</t>
  </si>
  <si>
    <t>AP-2314</t>
  </si>
  <si>
    <t>Rice, Cucurbit, Banana</t>
  </si>
  <si>
    <t>Sheath blight, Powder mildew, Sigatoka</t>
  </si>
  <si>
    <t>1.25 L/ha; 2.5 ml/L of water; 2 ml/L of water</t>
  </si>
  <si>
    <t>Rice | Sheath blight | 1.25 L/ha
Cucurbit | Powder mildew | 2.5 ml/L of water
Banana | Sigatoka | 2 ml/L of water</t>
  </si>
  <si>
    <t>Epoxiconazol (12.5%) Carbendazim (12.5%)</t>
  </si>
  <si>
    <t>Rista 25SC</t>
  </si>
  <si>
    <t>AP-3226</t>
  </si>
  <si>
    <t>Powder mildew</t>
  </si>
  <si>
    <t>800 ml/ha</t>
  </si>
  <si>
    <t>Cucumber | Powder mildew | 800 ml/ha</t>
  </si>
  <si>
    <t>Hexaconazole</t>
  </si>
  <si>
    <t>Contaf 5EC</t>
  </si>
  <si>
    <t>AP-460</t>
  </si>
  <si>
    <t>Rice, Banana, Cucurbits, Tea, Mango, Ground nut, Bettle Vine</t>
  </si>
  <si>
    <t>Sheath blight, Sigatoka, Powdery mildew, Red rust disease, Powdery mildew and Anthracnose, Tikka disease, Leaf rot, Vine rot &amp; blight</t>
  </si>
  <si>
    <t>500 ml/ha; 1 ml/L of water; 750 ml/ha; 2 ml/L of water</t>
  </si>
  <si>
    <t>Rice | Sheath blight | 500 ml/ha
Banana | Sigatoka | 1 ml/L of water
Cucurbits | Powdery mildew | 1 ml/L of water
Tea | Red rust disease | 750 ml/ha
Mango | Powdery mildew and Anthracnose | 2 ml/L of water
Ground nut | Tikka disease | 1 ml/L of water
Bettle Vine | Leaf rot, Vine rot &amp; blight | 1 ml/L of water</t>
  </si>
  <si>
    <t>Hayconazol 5EC</t>
  </si>
  <si>
    <t>AP-713</t>
  </si>
  <si>
    <t>Banana, Cucurbit, Rice, Mango</t>
  </si>
  <si>
    <t>Sigatoka, Powdery mildew, Sheath blight/Blast, Anthracnose</t>
  </si>
  <si>
    <t>Banana | Sigatoka | 1 ml/L of water
Cucurbit | Powdery mildew | 1 ml/L of water
Rice | Sheath blight/Blast | 500 ml/ha
Mango | Anthracnose | 1 ml/L of water</t>
  </si>
  <si>
    <t>Force 5EC</t>
  </si>
  <si>
    <t>AP-717</t>
  </si>
  <si>
    <t>Banana, Tea, Rice</t>
  </si>
  <si>
    <t>Sigatoka, Red rust, Sheath blight</t>
  </si>
  <si>
    <t>1 ml/L of water; 750 ml/ha; 500 ml/ha</t>
  </si>
  <si>
    <t>Banana | Sigatoka | 1 ml/L of water
Tea | Red rust | 750 ml/ha
Rice | Sheath blight | 500 ml/ha</t>
  </si>
  <si>
    <t>Control 5EC</t>
  </si>
  <si>
    <t>AP-782</t>
  </si>
  <si>
    <t>Cucurbit, Banana, Rice</t>
  </si>
  <si>
    <t>Powdery mildew, Sigatoka, Sheath blight</t>
  </si>
  <si>
    <t>1 ml/L of water; 0.5 ml/L of water; 500 ml/ha</t>
  </si>
  <si>
    <t>Cucurbit | Powdery mildew | 1 ml/L of water
Banana | Sigatoka | 0.5 ml/L of water
Rice | Sheath blight | 500 ml/ha</t>
  </si>
  <si>
    <t>Paragon 5EC</t>
  </si>
  <si>
    <t>AP-858</t>
  </si>
  <si>
    <t>Banana, Tea</t>
  </si>
  <si>
    <t>Sigatoka, Die back,Black rot, Red rust</t>
  </si>
  <si>
    <t>500 ml/ha; 750 ml/ha</t>
  </si>
  <si>
    <t>Banana | Sigatoka | 500 ml/ha
Tea | Die back,Black rot, Red rust | 750 ml/ha</t>
  </si>
  <si>
    <t>Titan 5EC</t>
  </si>
  <si>
    <t>AP-895</t>
  </si>
  <si>
    <t>Larsen Chemical Industries (Pvt) Ltd</t>
  </si>
  <si>
    <t>Tea, Rice, Ground nut, Mango, Banana</t>
  </si>
  <si>
    <t>Red rust, Sheath blight, Tikka disease, Anthracnose, Sigatoka</t>
  </si>
  <si>
    <t>500 ml/ha; 1.00 L/ha; 1 ml/L of water</t>
  </si>
  <si>
    <t>Tea | Red rust | 500 ml/ha
Rice | Sheath blight | 500 ml/ha
Ground nut | Tikka disease | 1.00 L/ha
Mango | Anthracnose | 1 ml/L of water
Banana | Sigatoka | 1 ml/L of water</t>
  </si>
  <si>
    <t>Megazole 5EC</t>
  </si>
  <si>
    <t>AP-917</t>
  </si>
  <si>
    <t>Banana | Sigatoka | 1 ml/L of water</t>
  </si>
  <si>
    <t>Xentho 5EC</t>
  </si>
  <si>
    <t>AP-978</t>
  </si>
  <si>
    <t>SAMP Limited</t>
  </si>
  <si>
    <t>Garden pea | Powdery mildew | 1 ml/L of water</t>
  </si>
  <si>
    <t>Orozole 5SC</t>
  </si>
  <si>
    <t>AP-1020</t>
  </si>
  <si>
    <t>Rice, Banana</t>
  </si>
  <si>
    <t>Sheath blight, Sigatoka</t>
  </si>
  <si>
    <t>Rice | Sheath blight | 500 ml/ha
Banana | Sigatoka | 1 ml/L of water</t>
  </si>
  <si>
    <t>Conza 5EC</t>
  </si>
  <si>
    <t>AP-1047</t>
  </si>
  <si>
    <t>Garden pea, Mango, Banana, Rice</t>
  </si>
  <si>
    <t>Powdery mildew, Anthracnose, Sigatoka, Sheath blight</t>
  </si>
  <si>
    <t>1 ml/L of water; 2 ml/L of water; 500 ml/ha</t>
  </si>
  <si>
    <t>Garden pea | Powdery mildew | 1 ml/L of water
Mango | Anthracnose | 2 ml/L of water
Banana | Sigatoka | 1 ml/L of water
Rice | Sheath blight | 500 ml/ha</t>
  </si>
  <si>
    <t>Forward 5SC</t>
  </si>
  <si>
    <t>AP-1139</t>
  </si>
  <si>
    <t>Baiconazole 5EC</t>
  </si>
  <si>
    <t>AP-1345</t>
  </si>
  <si>
    <t>Chokka 5EC</t>
  </si>
  <si>
    <t>AP-1349</t>
  </si>
  <si>
    <t>Cucurbits, Rice</t>
  </si>
  <si>
    <t>Cucurbits | Powdery mildew | 1 ml/L of water
Rice | Sheath blight | 500 ml/ha</t>
  </si>
  <si>
    <t>Blezole 5EC</t>
  </si>
  <si>
    <t>AP-1361</t>
  </si>
  <si>
    <t>Chili, Banana, Rice</t>
  </si>
  <si>
    <t>Anthracnose, Sigatoka, Sheath blight</t>
  </si>
  <si>
    <t>Chili | Anthracnose | 1 ml/L of water
Banana | Sigatoka | 1 ml/L of water
Rice | Sheath blight | 500 ml/ha</t>
  </si>
  <si>
    <t>Hexazole 5EC</t>
  </si>
  <si>
    <t>AP-1393</t>
  </si>
  <si>
    <t>Tea, Banana, Rice, Cucurbit</t>
  </si>
  <si>
    <t>Red rust, Die-back, Black rot, Sigatoka, Sheath blight, Powdery mildew</t>
  </si>
  <si>
    <t>750 ml/L of water; 500 ml/ha; 1 ml/L of water</t>
  </si>
  <si>
    <t>Tea | Red rust, Die-back, Black rot | 750 ml/L of water
Banana | Sigatoka | 500 ml/ha
Rice | Sheath blight | 500 ml/ha
Cucurbit | Powdery mildew | 1 ml/L of water</t>
  </si>
  <si>
    <t>Detail 5SC</t>
  </si>
  <si>
    <t>AP-1498</t>
  </si>
  <si>
    <t>Mango, Chili</t>
  </si>
  <si>
    <t>Anthracnose, Tikka rust spot</t>
  </si>
  <si>
    <t>Mango | Anthracnose | 1 ml/L of water
Chili | Tikka rust spot | 1 ml/L of water</t>
  </si>
  <si>
    <t>Pochamin 10EC</t>
  </si>
  <si>
    <t>AP-1602</t>
  </si>
  <si>
    <t>Iconazol 5EC</t>
  </si>
  <si>
    <t>AP-1615</t>
  </si>
  <si>
    <t>Hexaron 5EC</t>
  </si>
  <si>
    <t>AP-1633</t>
  </si>
  <si>
    <t>Sun Plus 5EC</t>
  </si>
  <si>
    <t>AP-1708</t>
  </si>
  <si>
    <t>2 ml/L of water; 1 ml/L of water</t>
  </si>
  <si>
    <t>Mango | Anthracnose | 2 ml/L of water
Banana | Sigatoka | 1 ml/L of water</t>
  </si>
  <si>
    <t>Shabab 5EC</t>
  </si>
  <si>
    <t>AP-1758</t>
  </si>
  <si>
    <t>Banana, Mango, Rice</t>
  </si>
  <si>
    <t>Sigatoka, Anthracnose, Powdery mildew, Sheath blight</t>
  </si>
  <si>
    <t>Banana | Sigatoka | 1 ml/L of water
Mango | Anthracnose, Powdery mildew | 2 ml/L of water
Rice | Sheath blight | 500 ml/ha</t>
  </si>
  <si>
    <t>Herazole 5EC</t>
  </si>
  <si>
    <t>AP-1774</t>
  </si>
  <si>
    <t>Rice | Sheath blight | 500 ml/ha</t>
  </si>
  <si>
    <t>Amacone 5EC</t>
  </si>
  <si>
    <t>AP-1855</t>
  </si>
  <si>
    <t>Red rust, Die-back, Black rot, Powdery mildew</t>
  </si>
  <si>
    <t>750 ml/ha; 2 ml/L of water</t>
  </si>
  <si>
    <t>Tea | Red rust, Die-back, Black rot | 750 ml/ha
Mango | Powdery mildew | 2 ml/L of water</t>
  </si>
  <si>
    <t>Hexakil 5EC</t>
  </si>
  <si>
    <t>AP-1857</t>
  </si>
  <si>
    <t>Red rust, Die-back, Black rot</t>
  </si>
  <si>
    <t>Tea | Red rust, Die-back, Black rot | 750 ml/ha</t>
  </si>
  <si>
    <t>Flash 5EC</t>
  </si>
  <si>
    <t>AP-1858</t>
  </si>
  <si>
    <t>Bicotaf 5EC</t>
  </si>
  <si>
    <t>AP-1868</t>
  </si>
  <si>
    <t>Die-back, Black rot, Powdery mildew</t>
  </si>
  <si>
    <t>Tea | Die-back, Black rot | 750 ml/ha
Cucurbit | Powdery mildew | 1 ml/L of water</t>
  </si>
  <si>
    <t>Primezole 5 EC</t>
  </si>
  <si>
    <t>AP-1869</t>
  </si>
  <si>
    <t>Die-back, Black rot</t>
  </si>
  <si>
    <t>750 ml/L of water</t>
  </si>
  <si>
    <t>Tea | Die-back, Black rot | 750 ml/L of water</t>
  </si>
  <si>
    <t>Hexanol 5EC</t>
  </si>
  <si>
    <t>AP-1870</t>
  </si>
  <si>
    <t>Tea | Die-back, Black rot | 750 ml/ha</t>
  </si>
  <si>
    <t>Topzol 5EC</t>
  </si>
  <si>
    <t>AP-1871</t>
  </si>
  <si>
    <t>Agrivision International Ltd.</t>
  </si>
  <si>
    <t>Konock 5EC</t>
  </si>
  <si>
    <t>AP-1872</t>
  </si>
  <si>
    <t>Hexa Gold 5EC</t>
  </si>
  <si>
    <t>AP-1873</t>
  </si>
  <si>
    <t>Mango | Anthracnose, Powdery mildew | 1 ml/L of water</t>
  </si>
  <si>
    <t>Seconazole 5EC</t>
  </si>
  <si>
    <t>AP-1874</t>
  </si>
  <si>
    <t>Anthracnose, Powdery mildew, Sigatoka</t>
  </si>
  <si>
    <t>Mango | Anthracnose, Powdery mildew | 1 ml/L of water
Banana | Sigatoka | 1 ml/L of water</t>
  </si>
  <si>
    <t>Hexan 5EC</t>
  </si>
  <si>
    <t>AP-1875</t>
  </si>
  <si>
    <t>Getzole 5EC</t>
  </si>
  <si>
    <t>AP-2302</t>
  </si>
  <si>
    <t>Pelert 5EC</t>
  </si>
  <si>
    <t>AP-2303</t>
  </si>
  <si>
    <t>Janata 5EC</t>
  </si>
  <si>
    <t>AP-2304</t>
  </si>
  <si>
    <t>Hazel 5 EC</t>
  </si>
  <si>
    <t>AP-2495</t>
  </si>
  <si>
    <t>Furazol 5 EC</t>
  </si>
  <si>
    <t>AP-2496</t>
  </si>
  <si>
    <t>Visha 5EC</t>
  </si>
  <si>
    <t>AP-2497</t>
  </si>
  <si>
    <t>Rexizole 5EC</t>
  </si>
  <si>
    <t>AP-2498</t>
  </si>
  <si>
    <t>Red rust, Die-back, Black rot, Anthracnose</t>
  </si>
  <si>
    <t>Tea | Red rust, Die-back, Black rot | 750 ml/ha
Mango | Anthracnose | 1 ml/L of water</t>
  </si>
  <si>
    <t>Greenzole 5EC</t>
  </si>
  <si>
    <t>AP-2499</t>
  </si>
  <si>
    <t>Curezole 50SC</t>
  </si>
  <si>
    <t>AP-2500</t>
  </si>
  <si>
    <t>Sicohexa 5EC</t>
  </si>
  <si>
    <t>AP-2502</t>
  </si>
  <si>
    <t>Century Agro Limited</t>
  </si>
  <si>
    <t>Cucurbits, Banana</t>
  </si>
  <si>
    <t>Powdery mildew, Sigatoka</t>
  </si>
  <si>
    <t>Cucurbits | Powdery mildew | 1 ml/L of water
Banana | Sigatoka | 1 ml/L of water</t>
  </si>
  <si>
    <t>Butazole 50SC</t>
  </si>
  <si>
    <t>AP-2503</t>
  </si>
  <si>
    <t>Nato 10EC</t>
  </si>
  <si>
    <t>AP-2618</t>
  </si>
  <si>
    <t>Mango | Powdery mildew | 1 ml/L of water</t>
  </si>
  <si>
    <t>Hexapure 5EC</t>
  </si>
  <si>
    <t>AP-2779</t>
  </si>
  <si>
    <t>Sahid Enterprise</t>
  </si>
  <si>
    <t>Maczole 5 EC</t>
  </si>
  <si>
    <t>AP-2780</t>
  </si>
  <si>
    <t>Setel 5EC</t>
  </si>
  <si>
    <t>AP-2781</t>
  </si>
  <si>
    <t>Winzole 10 EC</t>
  </si>
  <si>
    <t>AP-2782</t>
  </si>
  <si>
    <t>Mango | Powdery mildew | 1 ml/L of water
Mango | Anthracnose | 1 ml/L of water</t>
  </si>
  <si>
    <t>Fasal Hexa 5EC</t>
  </si>
  <si>
    <t>AP-3084</t>
  </si>
  <si>
    <t>Die back, Black rot, Anthracnose</t>
  </si>
  <si>
    <t>Tea | Die back, Black rot | 750 ml/ha
Mango | Anthracnose | 1 ml/L of water</t>
  </si>
  <si>
    <t>Fizole 5EC</t>
  </si>
  <si>
    <t>AP-3085</t>
  </si>
  <si>
    <t>Ibex 5EC</t>
  </si>
  <si>
    <t>AP-3086</t>
  </si>
  <si>
    <t>Tea, Sweet guard</t>
  </si>
  <si>
    <t>Red rust, Die back, Black rot, Powder mildew</t>
  </si>
  <si>
    <t>Tea | Red rust, Die back, Black rot | 750 ml/ha
Sweet guard | Powder mildew | 1 ml/L of water</t>
  </si>
  <si>
    <t>Pro-zole 5EC</t>
  </si>
  <si>
    <t>AP-3087</t>
  </si>
  <si>
    <t>S-Zole 5EC</t>
  </si>
  <si>
    <t>AP-3088</t>
  </si>
  <si>
    <t>Kazol 5EC</t>
  </si>
  <si>
    <t>AP-3090</t>
  </si>
  <si>
    <t>G-Conazole 10EC</t>
  </si>
  <si>
    <t>AP-3091</t>
  </si>
  <si>
    <t>Tea | Red rust, Die back, Black rot | 500 ml/ha</t>
  </si>
  <si>
    <t>Zole ST 10EC</t>
  </si>
  <si>
    <t>AP-3092</t>
  </si>
  <si>
    <t>Abazole 5EC</t>
  </si>
  <si>
    <t>AP-3215</t>
  </si>
  <si>
    <t>Exzole 5SC</t>
  </si>
  <si>
    <t>AP-3218</t>
  </si>
  <si>
    <t>Benzole 5EC</t>
  </si>
  <si>
    <t>AP-3228</t>
  </si>
  <si>
    <t>Unihexa 5EC</t>
  </si>
  <si>
    <t>AP-3229</t>
  </si>
  <si>
    <t>Lilizole 5EC</t>
  </si>
  <si>
    <t>AP-3230</t>
  </si>
  <si>
    <t>Sahzole 5EC</t>
  </si>
  <si>
    <t>AP-3232</t>
  </si>
  <si>
    <t>Greatzole 5EC</t>
  </si>
  <si>
    <t>AP-3233</t>
  </si>
  <si>
    <t>Ecozole 5EC</t>
  </si>
  <si>
    <t>AP-3561</t>
  </si>
  <si>
    <t>Amcozole 5EC</t>
  </si>
  <si>
    <t>AP-3562</t>
  </si>
  <si>
    <t>Atherton Imbros Company Ltd</t>
  </si>
  <si>
    <t>Polite 10EC</t>
  </si>
  <si>
    <t>AP-3563</t>
  </si>
  <si>
    <t>Contest 5EC</t>
  </si>
  <si>
    <t>AP-3565</t>
  </si>
  <si>
    <t>Shabab-D 10EC</t>
  </si>
  <si>
    <t>AP-3568</t>
  </si>
  <si>
    <t>0.5 ml/L of water; 250 ml/ha</t>
  </si>
  <si>
    <t>Mango | Anthracnose | 0.5 ml/L of water
Rice | Sheath blight | 250 ml/ha</t>
  </si>
  <si>
    <t>EG Zole 5SC</t>
  </si>
  <si>
    <t>AP-3569</t>
  </si>
  <si>
    <t>Blezole Plus 10EC</t>
  </si>
  <si>
    <t>AP-3570</t>
  </si>
  <si>
    <t>Cona 5EC</t>
  </si>
  <si>
    <t>AP-3572</t>
  </si>
  <si>
    <t>Swazis International Ltd.</t>
  </si>
  <si>
    <t>Unizole 5EC</t>
  </si>
  <si>
    <t>AP-3573</t>
  </si>
  <si>
    <t>Fayjol 5EC</t>
  </si>
  <si>
    <t>AP-3918</t>
  </si>
  <si>
    <t>Farming Agro Chemicals Ltd</t>
  </si>
  <si>
    <t>Red rust, Die Bback, Black rot</t>
  </si>
  <si>
    <t>Tea | Red rust, Die Bback, Black rot | 750 ml/ha</t>
  </si>
  <si>
    <t>Hexagen 5EC</t>
  </si>
  <si>
    <t>AP-3919</t>
  </si>
  <si>
    <t>Premio 5EC</t>
  </si>
  <si>
    <t>AP-3921</t>
  </si>
  <si>
    <t>Fiscal 10EC</t>
  </si>
  <si>
    <t>AP-3922</t>
  </si>
  <si>
    <t>250 ml/ha</t>
  </si>
  <si>
    <t>Rice | Sheath blight | 250 ml/ha</t>
  </si>
  <si>
    <t>Hexizol Plus 10EC</t>
  </si>
  <si>
    <t>AP-4266</t>
  </si>
  <si>
    <t>Sonali Krishi Seba</t>
  </si>
  <si>
    <t>Mango, Sweet guard</t>
  </si>
  <si>
    <t>Mango | Anthracnose | 1 ml/L of water
Sweet guard | Powdery mildew | 1 ml/L of water</t>
  </si>
  <si>
    <t>Hexol 5EC</t>
  </si>
  <si>
    <t>AP-4268</t>
  </si>
  <si>
    <t>SB Perfect 5EC</t>
  </si>
  <si>
    <t>AP-4269</t>
  </si>
  <si>
    <t>Ruzole 10EC</t>
  </si>
  <si>
    <t>AP-4273</t>
  </si>
  <si>
    <t>Alazole 10EC</t>
  </si>
  <si>
    <t>AP-4274</t>
  </si>
  <si>
    <t>Die back, Black rot, Powdery mildew</t>
  </si>
  <si>
    <t>750 gm/ha; 0.5 ml/L of water</t>
  </si>
  <si>
    <t>Tea | Die back, Black rot | 750 gm/ha
Sweet guard | Powdery mildew | 0.5 ml/L of water</t>
  </si>
  <si>
    <t>Probhat 5SC</t>
  </si>
  <si>
    <t>AP-4638</t>
  </si>
  <si>
    <t>Indofil Bangladesh Industries Private Ltd.</t>
  </si>
  <si>
    <t>Fasalhexa 10EC</t>
  </si>
  <si>
    <t>AP-4639</t>
  </si>
  <si>
    <t>Tea | Die back | 750 ml/ha
Sweet guard | Powdery mildew | 0.5 ml/L of water</t>
  </si>
  <si>
    <t>Sarzol 10EC</t>
  </si>
  <si>
    <t>AP-4640</t>
  </si>
  <si>
    <t>Versa 5EC</t>
  </si>
  <si>
    <t>AP-4641</t>
  </si>
  <si>
    <t>Conza Plus 10SC</t>
  </si>
  <si>
    <t>AP-5046</t>
  </si>
  <si>
    <t>Nobizole 5EC</t>
  </si>
  <si>
    <t>AP-5047</t>
  </si>
  <si>
    <t>Farmcare 5EC</t>
  </si>
  <si>
    <t>AP-5048</t>
  </si>
  <si>
    <t>Rajol 5EC</t>
  </si>
  <si>
    <t>AP-5390</t>
  </si>
  <si>
    <t>Hectic 5SC</t>
  </si>
  <si>
    <t>AP-5391</t>
  </si>
  <si>
    <t>Hexaron Gold 10EC</t>
  </si>
  <si>
    <t>AP-5392</t>
  </si>
  <si>
    <t>Tricyclazole (22%) + Hexaconazole (3%) (45% + 10%) (20%+30%)</t>
  </si>
  <si>
    <t>Murate 25SC</t>
  </si>
  <si>
    <t>AP-3574</t>
  </si>
  <si>
    <t>Blast, Powdery mildew</t>
  </si>
  <si>
    <t>Rice | Blast | 500 ml/ha
Cucumber | Powdery mildew | 0.5 ml/L of water</t>
  </si>
  <si>
    <t>FRAC P1</t>
  </si>
  <si>
    <t>Sunfighter 25SC</t>
  </si>
  <si>
    <t>AP-3575</t>
  </si>
  <si>
    <t>McDonald Bangladesh Pvt Limited</t>
  </si>
  <si>
    <t>Mango, Wheat, Rice</t>
  </si>
  <si>
    <t>Anthracnose, Leaf blight, Sheath blight</t>
  </si>
  <si>
    <t>0.5 ml/L of water; 1 ml/L of water; 500 m/ha</t>
  </si>
  <si>
    <t>Mango | Anthracnose | 0.5 ml/L of water
Wheat | Leaf blight | 1 ml/L of water
Rice | Sheath blight | 500 m/ha</t>
  </si>
  <si>
    <t>Trihex 25SC</t>
  </si>
  <si>
    <t>AP-3917</t>
  </si>
  <si>
    <t>Grow More Agro Science</t>
  </si>
  <si>
    <t>Blast</t>
  </si>
  <si>
    <t>Rice | Blast | 500 ml/ha</t>
  </si>
  <si>
    <t>Adhezole Plus 25SC</t>
  </si>
  <si>
    <t>AP-3929</t>
  </si>
  <si>
    <t>Two in One 25SC</t>
  </si>
  <si>
    <t>AP-4216</t>
  </si>
  <si>
    <t>Syconazole 25SC</t>
  </si>
  <si>
    <t>AP-4217</t>
  </si>
  <si>
    <t>Pochamin Plus 25SC</t>
  </si>
  <si>
    <t>AP-4637</t>
  </si>
  <si>
    <t>Sazoli 22.5SC</t>
  </si>
  <si>
    <t>AP-5631</t>
  </si>
  <si>
    <t>National AgriCare Import &amp; Export Ltd.</t>
  </si>
  <si>
    <t>Chilli | Anthracnose | 0.5 ml/L of water</t>
  </si>
  <si>
    <t>Pair 55WG</t>
  </si>
  <si>
    <t>AP-4636</t>
  </si>
  <si>
    <t>400 gm/ha; 350 gm/ha</t>
  </si>
  <si>
    <t>Tea | Die back | 400 gm/ha
Rice | Sheath blight | 350 gm/ha</t>
  </si>
  <si>
    <t>Jolson 50SC</t>
  </si>
  <si>
    <t>AP-5632</t>
  </si>
  <si>
    <t>Padma Zole 25SC</t>
  </si>
  <si>
    <t>AP-6056</t>
  </si>
  <si>
    <t>Tea | Red rust | 500 ml/ha</t>
  </si>
  <si>
    <t>Tricyclazole (77%) + Kasungamycin (3%)</t>
  </si>
  <si>
    <t>Kaicin 80WG</t>
  </si>
  <si>
    <t>AP-5436</t>
  </si>
  <si>
    <t>Black rot, Die Back</t>
  </si>
  <si>
    <t>Tea | Black rot, Die Back | 500 gm/ha</t>
  </si>
  <si>
    <t>Carbendazim (25%) + Diethofencarb (25%)</t>
  </si>
  <si>
    <t>Carzim Gold 50WDG</t>
  </si>
  <si>
    <t>AP-5437</t>
  </si>
  <si>
    <t>Tea | Black rot | 0.5 g/L of water</t>
  </si>
  <si>
    <t>Fenoxanil (20%) + Tricyclazole (50%)</t>
  </si>
  <si>
    <t>Sunzole Plus 70WP</t>
  </si>
  <si>
    <t>AP-5438</t>
  </si>
  <si>
    <t>Cucumber | Powdery mildew | 0.5 g/L of water</t>
  </si>
  <si>
    <t>Veer 70WP</t>
  </si>
  <si>
    <t>AP-5629</t>
  </si>
  <si>
    <t>Becterial Wild</t>
  </si>
  <si>
    <t>375 gm/ha</t>
  </si>
  <si>
    <t>Tomato | Becterial Wild | 375 gm/ha</t>
  </si>
  <si>
    <t>Thifluzamide ( 25%) + Hexaconazole (25%)</t>
  </si>
  <si>
    <t>Bicomide 50SC</t>
  </si>
  <si>
    <t>AP-4684</t>
  </si>
  <si>
    <t>150 ml/ha; 2 ml/L of water</t>
  </si>
  <si>
    <t>Tea | Die back | 150 ml/ha
Tomato | Wilt | 2 ml/L of water</t>
  </si>
  <si>
    <t>Iprodione (50%)</t>
  </si>
  <si>
    <t>Rovral 50WP</t>
  </si>
  <si>
    <t>AP-143</t>
  </si>
  <si>
    <t>Mustard, Onion</t>
  </si>
  <si>
    <t>Alternaria spot, Purple blotch</t>
  </si>
  <si>
    <t>1.00 Kg/ha</t>
  </si>
  <si>
    <t>Mustard | Alternaria spot | 1.00 Kg/ha
Onion | Purple blotch | 1.00 Kg/ha</t>
  </si>
  <si>
    <t>FRAC 2</t>
  </si>
  <si>
    <t>Curate 50WP</t>
  </si>
  <si>
    <t>AP-1352</t>
  </si>
  <si>
    <t>Mustard, Onion, Tomato</t>
  </si>
  <si>
    <t>Alternaria bright, Purple blotch, Early blight</t>
  </si>
  <si>
    <t>1 ml/L of water; 2 g/L of water</t>
  </si>
  <si>
    <t>Mustard | Alternaria bright | 1 ml/L of water
Onion | Purple blotch | 2 g/L of water
Tomato | Early blight | 2 g/L of water</t>
  </si>
  <si>
    <t>Iprosun 50WP</t>
  </si>
  <si>
    <t>AP-1354</t>
  </si>
  <si>
    <t>Mustard, Onion, Chili</t>
  </si>
  <si>
    <t>Alternaria bright, Purple blotch, Anthracnose &amp; Powdery mildew</t>
  </si>
  <si>
    <t>Mustard | Alternaria bright | 1 ml/L of water
Onion | Purple blotch | 2 g/L of water
Chili | Anthracnose &amp; Powdery mildew | 2 g/L of water</t>
  </si>
  <si>
    <t>Evaral 50WP</t>
  </si>
  <si>
    <t>AP-1356</t>
  </si>
  <si>
    <t>Alternaria bright</t>
  </si>
  <si>
    <t>Mustard | Alternaria bright | 1 ml/L of water</t>
  </si>
  <si>
    <t>Rovanon 50WP</t>
  </si>
  <si>
    <t>AP-1385</t>
  </si>
  <si>
    <t>Onion, Mustard</t>
  </si>
  <si>
    <t>Purple blotch, Alternaria bright</t>
  </si>
  <si>
    <t>2 g/L of water; 1 ml/L of water</t>
  </si>
  <si>
    <t>Onion | Purple blotch | 2 g/L of water
Mustard | Alternaria bright | 1 ml/L of water</t>
  </si>
  <si>
    <t>Hayprodione 50WP</t>
  </si>
  <si>
    <t>AP-1702</t>
  </si>
  <si>
    <t>Mustard, Chili, Onion, Tomato</t>
  </si>
  <si>
    <t>Alternaria bright, Anthracnose, Purple blotch, Early blight</t>
  </si>
  <si>
    <t>Mustard | Alternaria bright | 1 ml/L of water
Chili | Anthracnose | 1 ml/L of water
Onion | Purple blotch | 2 g/L of water
Tomato | Early blight | 2 g/L of water</t>
  </si>
  <si>
    <t>Googlee 50WP</t>
  </si>
  <si>
    <t>AP-1703</t>
  </si>
  <si>
    <t>Sevral 50WP</t>
  </si>
  <si>
    <t>AP-1706</t>
  </si>
  <si>
    <t>Mustard, Chili, Onion</t>
  </si>
  <si>
    <t>Alternaria bright, Anthracnose, Purple blotch</t>
  </si>
  <si>
    <t>Mustard | Alternaria bright | 2 g/L of water
Chili | Anthracnose | 1 ml/L of water
Onion | Purple blotch | 2 g/L of water</t>
  </si>
  <si>
    <t>Ipron 50WP</t>
  </si>
  <si>
    <t>AP-1880</t>
  </si>
  <si>
    <t>Aristodione 50WP</t>
  </si>
  <si>
    <t>AP-1881</t>
  </si>
  <si>
    <t>Purple blotch, Alternaria blight</t>
  </si>
  <si>
    <t>Onion | Purple blotch | 2 g/L of water
Mustard | Alternaria blight | 1 ml/L of water</t>
  </si>
  <si>
    <t>Agrodione 50WP</t>
  </si>
  <si>
    <t>AP-1883</t>
  </si>
  <si>
    <t>Partex Agro Limited</t>
  </si>
  <si>
    <t>Onion, Mustard, Tomato</t>
  </si>
  <si>
    <t>Purple blotch, Alternaria blight, Early blight</t>
  </si>
  <si>
    <t>Onion | Purple blotch | 2 g/L of water
Mustard | Alternaria blight | 2 g/L of water
Tomato | Early blight | 2 g/L of water</t>
  </si>
  <si>
    <t>Memoral 50WP</t>
  </si>
  <si>
    <t>AP-1884</t>
  </si>
  <si>
    <t>Alternaria blight</t>
  </si>
  <si>
    <t>Mustard | Alternaria blight | 2 g/L of water</t>
  </si>
  <si>
    <t>Alphadione 50WP</t>
  </si>
  <si>
    <t>AP-1888</t>
  </si>
  <si>
    <t>Onion | Purple blotch | 1 ml/L of water
Mustard | Alternaria blight | 1 ml/L of water</t>
  </si>
  <si>
    <t>Okral 50WP</t>
  </si>
  <si>
    <t>AP-1927</t>
  </si>
  <si>
    <t>Imperial 50WP</t>
  </si>
  <si>
    <t>AP-2540</t>
  </si>
  <si>
    <t>Onion | Purple blotch | 2 g/L of water
Mustard | Alternaria blight | 2 g/L of water</t>
  </si>
  <si>
    <t>RPC 50WP</t>
  </si>
  <si>
    <t>AP-2541</t>
  </si>
  <si>
    <t>Ipro 50WP</t>
  </si>
  <si>
    <t>AP-2542</t>
  </si>
  <si>
    <t>Mustard | Alternaria blight | 1 ml/L of water</t>
  </si>
  <si>
    <t>Telus 50WP</t>
  </si>
  <si>
    <t>AP-2543</t>
  </si>
  <si>
    <t>Pottary 50WP</t>
  </si>
  <si>
    <t>AP-3146</t>
  </si>
  <si>
    <t>Tomato, Mustard</t>
  </si>
  <si>
    <t>Early blight, Blight</t>
  </si>
  <si>
    <t>Tomato | Early blight | 2 g/L of water
Mustard | Blight | 2 g/L of water</t>
  </si>
  <si>
    <t>Rexral 50WP</t>
  </si>
  <si>
    <t>AP-3147</t>
  </si>
  <si>
    <t>Match 50WP</t>
  </si>
  <si>
    <t>AP-3148</t>
  </si>
  <si>
    <t>Alternaria spot</t>
  </si>
  <si>
    <t>Mustard | Alternaria spot | 1 ml/L of water</t>
  </si>
  <si>
    <t>Rotund 50WP</t>
  </si>
  <si>
    <t>AP-3149</t>
  </si>
  <si>
    <t>Bledione 50WP</t>
  </si>
  <si>
    <t>AP-3610</t>
  </si>
  <si>
    <t>Nac-blotch 50WP</t>
  </si>
  <si>
    <t>AP-3611</t>
  </si>
  <si>
    <t>Leaf blight &amp; Alternaria blight</t>
  </si>
  <si>
    <t>Mustard | Leaf blight &amp; Alternaria blight | 2 g/L of water</t>
  </si>
  <si>
    <t>Gonder 50WP</t>
  </si>
  <si>
    <t>AP-3612</t>
  </si>
  <si>
    <t>Prodon 50WP</t>
  </si>
  <si>
    <t>AP-4253</t>
  </si>
  <si>
    <t>Anoral 50WP</t>
  </si>
  <si>
    <t>AP-4254</t>
  </si>
  <si>
    <t>Folidon 50WP</t>
  </si>
  <si>
    <t>AP-4680</t>
  </si>
  <si>
    <t>Builder 50WP</t>
  </si>
  <si>
    <t>AP-4681</t>
  </si>
  <si>
    <t>Pural 50WP</t>
  </si>
  <si>
    <t>AP-4682</t>
  </si>
  <si>
    <t>Blight, Purple blotch</t>
  </si>
  <si>
    <t>Mustard | Blight | 2 g/L of water
Onion | Purple blotch | 2 g/L of water</t>
  </si>
  <si>
    <t>SB Dione 50WP</t>
  </si>
  <si>
    <t>AP-4683</t>
  </si>
  <si>
    <t>Arodin 50WP</t>
  </si>
  <si>
    <t>AP-5013</t>
  </si>
  <si>
    <t>Rolrov 50WP</t>
  </si>
  <si>
    <t>AP-5394</t>
  </si>
  <si>
    <t>Tea | Die Back | 1.00 kg/ha</t>
  </si>
  <si>
    <t>Pidione 75WP</t>
  </si>
  <si>
    <t>AP-5395</t>
  </si>
  <si>
    <t>Purpule blotch</t>
  </si>
  <si>
    <t>Onion | Purpule blotch | 2 g/L of water</t>
  </si>
  <si>
    <t>Chinadrone 50WP</t>
  </si>
  <si>
    <t>AP-5804</t>
  </si>
  <si>
    <t>China Agro</t>
  </si>
  <si>
    <t>Foot rot, Leaf Spot</t>
  </si>
  <si>
    <t>Jute | Foot rot, Leaf Spot | 1 g/L of water</t>
  </si>
  <si>
    <t>Iprodione (17.5%) + Carbendazim (8.5%)</t>
  </si>
  <si>
    <t>Iprozim 26WP</t>
  </si>
  <si>
    <t>AP-1355</t>
  </si>
  <si>
    <t>Mustard, Onion, Potato, Sugarcane</t>
  </si>
  <si>
    <t>Alternaria bright, Purple blotch, Late blight, Sett rot</t>
  </si>
  <si>
    <t>1 g/L of water; 2 g/L of water</t>
  </si>
  <si>
    <t>Mustard | Alternaria bright | 1 g/L of water
Onion | Purple blotch | 2 g/L of water
Potato | Late blight | 2 g/L of water
Sugarcane | Sett rot | 2 g/L of water</t>
  </si>
  <si>
    <t>Iprodione (25%) + Carbendazim (25%)</t>
  </si>
  <si>
    <t>Dizim Plus 50WP</t>
  </si>
  <si>
    <t>AP-3930</t>
  </si>
  <si>
    <t>Digital Crop Solution</t>
  </si>
  <si>
    <t>Mango, Onion</t>
  </si>
  <si>
    <t>Anthracnose, Purpule blotch</t>
  </si>
  <si>
    <t>Mango | Anthracnose | 2 g/L of water
Onion | Purpule blotch | 2 g/L of water</t>
  </si>
  <si>
    <t>Iprodione (12.5%) + Mancozeb (37.5%)</t>
  </si>
  <si>
    <t>Relief 50WP</t>
  </si>
  <si>
    <t>AP-3934</t>
  </si>
  <si>
    <t>2.00 kg/ha</t>
  </si>
  <si>
    <t>Tea | Red rust, Die back, Black rot | 2.00 kg/ha</t>
  </si>
  <si>
    <t>Isoprothiolane</t>
  </si>
  <si>
    <t>Nac-Pro 40EC</t>
  </si>
  <si>
    <t>AP-5626</t>
  </si>
  <si>
    <t>Rice | Sheath blight | 750 ml/ha</t>
  </si>
  <si>
    <t>Kasugamycin</t>
  </si>
  <si>
    <t>Kasumin 2% Liquid</t>
  </si>
  <si>
    <t>AP-1357</t>
  </si>
  <si>
    <t>Chili, Wheat, Mango</t>
  </si>
  <si>
    <t>Anthracnose, Leaf rust</t>
  </si>
  <si>
    <t>Chili | Anthracnose | 0.5 ml/L of water
Wheat | Leaf rust | 0.5 ml/L of water
Mango | Anthracnose | 0.5 ml/L of water</t>
  </si>
  <si>
    <t>Kaiser 6WP</t>
  </si>
  <si>
    <t>AP-4730</t>
  </si>
  <si>
    <t>Kasugamycin (4%) + Carbendazim (50%)</t>
  </si>
  <si>
    <t>Sunpuma 54WP</t>
  </si>
  <si>
    <t>AP-5039</t>
  </si>
  <si>
    <t>Sweer gourd</t>
  </si>
  <si>
    <t>1.5 g/L of water</t>
  </si>
  <si>
    <t>Sweer gourd | Powdery mildew | 1.5 g/L of water</t>
  </si>
  <si>
    <t>Nacsumin 54WP</t>
  </si>
  <si>
    <t>AP-5396</t>
  </si>
  <si>
    <t>Kasucar 54WP</t>
  </si>
  <si>
    <t>AP-5397</t>
  </si>
  <si>
    <t>Tomato | Wilt | 1.5 g/L of water</t>
  </si>
  <si>
    <t>Mancozeb</t>
  </si>
  <si>
    <t>Nemispore 80WP</t>
  </si>
  <si>
    <t>AP-166</t>
  </si>
  <si>
    <t>Late &amp; Early blight</t>
  </si>
  <si>
    <t>Potato | Late &amp; Early blight | 2.50 kg/ha</t>
  </si>
  <si>
    <t>FRAC M3</t>
  </si>
  <si>
    <t>Pencozeb 80WP</t>
  </si>
  <si>
    <t>AP-242</t>
  </si>
  <si>
    <t>Potato, Ground nut, Tomato, Mango</t>
  </si>
  <si>
    <t>Late blight, Tikka rust, Early blight, Anthracnose</t>
  </si>
  <si>
    <t>2.24 kg/ha; 2 g/L of water</t>
  </si>
  <si>
    <t>Potato | Late blight | 2.24 kg/ha
Ground nut | Tikka rust | 2 g/L of water
Tomato | Early blight | 2 g/L of water
Mango | Anthracnose | 2 g/L of water</t>
  </si>
  <si>
    <t>Indofil M 45</t>
  </si>
  <si>
    <t>AP-272</t>
  </si>
  <si>
    <t>Potato, Onion, Mango</t>
  </si>
  <si>
    <t>Late blight, Purple blotch, Powdery mildew and Anthracnose</t>
  </si>
  <si>
    <t>Potato | Late blight | 2 g/L of water
Onion | Purple blotch | 2 g/L of water
Mango | Powdery mildew and Anthracnose | 2 g/L of water</t>
  </si>
  <si>
    <t>Edcozeb 80WP</t>
  </si>
  <si>
    <t>AP-273</t>
  </si>
  <si>
    <t>Potato, Tomato, Mango</t>
  </si>
  <si>
    <t>Late blight, Early blight, Anthracnose</t>
  </si>
  <si>
    <t>Potato | Late blight | 2 g/L of water
Tomato | Early blight | 2 g/L of water
Mango | Anthracnose | 2 g/L of water</t>
  </si>
  <si>
    <t>Suncozeb 80WP</t>
  </si>
  <si>
    <t>AP-352</t>
  </si>
  <si>
    <t>Potato | Late blight | 2 g/L of water
Tomato | Late blight | 2 g/L of water</t>
  </si>
  <si>
    <t>Cozeb 80WP</t>
  </si>
  <si>
    <t>AP-448</t>
  </si>
  <si>
    <t>Golden M 45</t>
  </si>
  <si>
    <t>AP-464</t>
  </si>
  <si>
    <t>McZidan 80WP</t>
  </si>
  <si>
    <t>AP-465</t>
  </si>
  <si>
    <t>Filthane M 45</t>
  </si>
  <si>
    <t>AP-504</t>
  </si>
  <si>
    <t>LM - 45</t>
  </si>
  <si>
    <t>AP-526</t>
  </si>
  <si>
    <t>Dithane M 45</t>
  </si>
  <si>
    <t>AP-547</t>
  </si>
  <si>
    <t>Bayer CropScience Limited</t>
  </si>
  <si>
    <t>Potato, Jute, Ground nut</t>
  </si>
  <si>
    <t>Early &amp; Late blight, Stem rot, Tikka disease</t>
  </si>
  <si>
    <t>Potato | Early &amp; Late blight | 2.20 kg/ha
Jute | Stem rot | 2.20 kg/ha
Ground nut | Tikka disease | 2.20 kg/ha</t>
  </si>
  <si>
    <t>Agrizeb 80WP</t>
  </si>
  <si>
    <t>AP-603</t>
  </si>
  <si>
    <t>Vondozeb 42SC</t>
  </si>
  <si>
    <t>AP-608</t>
  </si>
  <si>
    <t>Banana, Potato</t>
  </si>
  <si>
    <t>Sigatoka, Late blight</t>
  </si>
  <si>
    <t>Banana | Sigatoka | 2 g/L of water
Potato | Late blight | 2 g/L of water</t>
  </si>
  <si>
    <t>Haymancozeb 80WP</t>
  </si>
  <si>
    <t>AP-610</t>
  </si>
  <si>
    <t>Potato, Tomato, Onion, Mango</t>
  </si>
  <si>
    <t>Late blight, Wilt, Purple blotch, Anthracnose</t>
  </si>
  <si>
    <t>Potato | Late blight | 2 g/L of water
Tomato | Wilt | 2 g/L of water
Onion | Purple blotch | 2 g/L of water
Mango | Anthracnose | 2 g/L of water</t>
  </si>
  <si>
    <t>Shinmazeb 80WP</t>
  </si>
  <si>
    <t>AP-615</t>
  </si>
  <si>
    <t>Potato | Late blight | 2 g/L of water
Tomato | Early blight | 2 g/L of water</t>
  </si>
  <si>
    <t>Mosum M 80WP</t>
  </si>
  <si>
    <t>AP-626</t>
  </si>
  <si>
    <t>Corozeb 80WP</t>
  </si>
  <si>
    <t>AP-711</t>
  </si>
  <si>
    <t>Dencozeb 80WP</t>
  </si>
  <si>
    <t>AP-718</t>
  </si>
  <si>
    <t>Banana | Sigatoka | 1 ml/L of water
Potato | Late blight | 2 g/L of water</t>
  </si>
  <si>
    <t>Uthane 80WP</t>
  </si>
  <si>
    <t>AP-785</t>
  </si>
  <si>
    <t>Manner M-45</t>
  </si>
  <si>
    <t>AP-786</t>
  </si>
  <si>
    <t>Mancovit 80WP</t>
  </si>
  <si>
    <t>AP-787</t>
  </si>
  <si>
    <t>Potato, Tomato, Banana, Mango, Onion</t>
  </si>
  <si>
    <t>Late blight, Early blight, Sigatoka, Anthracnose, Purple blotch</t>
  </si>
  <si>
    <t>Potato | Late blight | 2 g/L of water
Tomato | Early blight | 2 g/L of water
Banana | Sigatoka | 2 g/L of water
Mango | Anthracnose | 2 g/L of water
Onion | Purple blotch | 2 g/L of water</t>
  </si>
  <si>
    <t>M-Power 80WP</t>
  </si>
  <si>
    <t>AP-809</t>
  </si>
  <si>
    <t>Banana, Mango</t>
  </si>
  <si>
    <t>Sigatoka, Anthracnose</t>
  </si>
  <si>
    <t>Banana | Sigatoka | 2 g/L of water
Mango | Anthracnose | 2 g/L of water</t>
  </si>
  <si>
    <t>Baizeb 80WP</t>
  </si>
  <si>
    <t>AP-859</t>
  </si>
  <si>
    <t>Pestcozeb 80WP</t>
  </si>
  <si>
    <t>AP-861</t>
  </si>
  <si>
    <t>Mango | Powdery mildew, Anthracnose | 2 g/L of water</t>
  </si>
  <si>
    <t>Onthane 80WP</t>
  </si>
  <si>
    <t>AP-965</t>
  </si>
  <si>
    <t>Potato &amp; Tomato</t>
  </si>
  <si>
    <t>Early &amp; Late blight</t>
  </si>
  <si>
    <t>Potato &amp; Tomato | Early &amp; Late blight | 2 g/L of water</t>
  </si>
  <si>
    <t>Saver 80WP</t>
  </si>
  <si>
    <t>AP-970</t>
  </si>
  <si>
    <t>Tomato, Wheat</t>
  </si>
  <si>
    <t>Early &amp; Late blight, Leaf blight</t>
  </si>
  <si>
    <t>Tomato | Early &amp; Late blight | 2 g/L of water
Wheat | Leaf blight | 2 g/L of water</t>
  </si>
  <si>
    <t>Goldzeb 80WP</t>
  </si>
  <si>
    <t>AP-975</t>
  </si>
  <si>
    <t>Potato | Early &amp; Late blight | 2 g/L of water</t>
  </si>
  <si>
    <t>Meena 80WP</t>
  </si>
  <si>
    <t>AP-1053</t>
  </si>
  <si>
    <t>Tomato, Potato, Mango</t>
  </si>
  <si>
    <t>Early &amp; Late blight, Late blight, Anthracnose</t>
  </si>
  <si>
    <t>Tomato | Early &amp; Late blight | 2 g/L of water
Potato | Late blight | 2 g/L of water
Mango | Anthracnose | 2 g/L of water</t>
  </si>
  <si>
    <t>Media 80WP</t>
  </si>
  <si>
    <t>AP-1054</t>
  </si>
  <si>
    <t>Bicozeb M-45 80WP</t>
  </si>
  <si>
    <t>AP-1076</t>
  </si>
  <si>
    <t>Tomato, Potato</t>
  </si>
  <si>
    <t>Early &amp; Late blight, Late blight</t>
  </si>
  <si>
    <t>Tomato | Early &amp; Late blight | 2 g/L of water
Potato | Late blight | 2 g/L of water</t>
  </si>
  <si>
    <t>Kafa 80WP</t>
  </si>
  <si>
    <t>AP-1362</t>
  </si>
  <si>
    <t>Late blight, Early &amp; Late blight</t>
  </si>
  <si>
    <t>Potato | Late blight | 2 g/L of water
Tomato | Early &amp; Late blight | 2 g/L of water</t>
  </si>
  <si>
    <t>Orozeb 80WP</t>
  </si>
  <si>
    <t>AP-1365</t>
  </si>
  <si>
    <t>Kusum 80WP</t>
  </si>
  <si>
    <t>AP-1374</t>
  </si>
  <si>
    <t>E-Zeb 80WP</t>
  </si>
  <si>
    <t>AP-1500</t>
  </si>
  <si>
    <t>Groundnut, Potato, Tomato</t>
  </si>
  <si>
    <t>Tikka, Late blight, Alternaria blight</t>
  </si>
  <si>
    <t>Groundnut | Tikka | 2 g/L of water
Potato | Late blight | 2 g/L of water
Tomato | Alternaria blight | 2 g/L of water</t>
  </si>
  <si>
    <t>Ashazeb 80WP</t>
  </si>
  <si>
    <t>AP-1594</t>
  </si>
  <si>
    <t>Eco-M-45</t>
  </si>
  <si>
    <t>AP-1596</t>
  </si>
  <si>
    <t>Y-thene M 45</t>
  </si>
  <si>
    <t>AP-1626</t>
  </si>
  <si>
    <t>Late blight, Alternaria blight</t>
  </si>
  <si>
    <t>Potato | Late blight | 2 g/L of water
Tomato | Alternaria blight | 2 g/L of water</t>
  </si>
  <si>
    <t>Tyzeb 80WP</t>
  </si>
  <si>
    <t>AP-1631</t>
  </si>
  <si>
    <t>Merry 80WP</t>
  </si>
  <si>
    <t>AP-1683</t>
  </si>
  <si>
    <t>BGM Special</t>
  </si>
  <si>
    <t>AP-1685</t>
  </si>
  <si>
    <t>Ascozeb 80 WP</t>
  </si>
  <si>
    <t>AP-1687</t>
  </si>
  <si>
    <t>Monozeb 80WP</t>
  </si>
  <si>
    <t>AP-1689</t>
  </si>
  <si>
    <t>Percozeb 80 WP</t>
  </si>
  <si>
    <t>AP-1690</t>
  </si>
  <si>
    <t>Freshzeb 80WP</t>
  </si>
  <si>
    <t>AP-1691</t>
  </si>
  <si>
    <t>I-Zeb 80WP</t>
  </si>
  <si>
    <t>AP-1693</t>
  </si>
  <si>
    <t>Mancoz 80WP</t>
  </si>
  <si>
    <t>AP-1694</t>
  </si>
  <si>
    <t>Potato, Mango</t>
  </si>
  <si>
    <t>Late blight, Powdery mildew</t>
  </si>
  <si>
    <t>Potato | Late blight | 2 g/L of water
Mango | Powdery mildew | 2 g/L of water</t>
  </si>
  <si>
    <t>Rexizeb 80WP</t>
  </si>
  <si>
    <t>AP-1697</t>
  </si>
  <si>
    <t>Oppose 80WP</t>
  </si>
  <si>
    <t>AP-1698</t>
  </si>
  <si>
    <t>Onezeb 80WP</t>
  </si>
  <si>
    <t>AP-1700</t>
  </si>
  <si>
    <t>Greenzeb 80WP</t>
  </si>
  <si>
    <t>AP-1704</t>
  </si>
  <si>
    <t>Tomato | Alternaria blight | 2 g/L of water</t>
  </si>
  <si>
    <t>Ricozeb 80WP</t>
  </si>
  <si>
    <t>AP-1859</t>
  </si>
  <si>
    <t>Tea | Red rust | 2.00 kg/ha</t>
  </si>
  <si>
    <t>Goldman 80WP</t>
  </si>
  <si>
    <t>AP-1894</t>
  </si>
  <si>
    <t>Late &amp; Early blight, Late blight</t>
  </si>
  <si>
    <t>Tomato | Late &amp; Early blight | 2 g/L of water
Potato | Late blight | 2 g/L of water</t>
  </si>
  <si>
    <t>I-Then M-45 80WP</t>
  </si>
  <si>
    <t>AP-1896</t>
  </si>
  <si>
    <t>Sinozeb 80WP</t>
  </si>
  <si>
    <t>AP-1903</t>
  </si>
  <si>
    <t>Early blight, Late blight</t>
  </si>
  <si>
    <t>Tomato | Early blight | 2 g/L of water
Potato | Late blight | 2 g/L of water</t>
  </si>
  <si>
    <t>Sukria 80WP</t>
  </si>
  <si>
    <t>AP-1920</t>
  </si>
  <si>
    <t>Fasal Agro Industries Ltd. Potato</t>
  </si>
  <si>
    <t>- | Late blight | 2 g/L of water</t>
  </si>
  <si>
    <t>56 57</t>
  </si>
  <si>
    <t>Magnate 80WP</t>
  </si>
  <si>
    <t>AP-1922</t>
  </si>
  <si>
    <t>Sinewzeb 80WP</t>
  </si>
  <si>
    <t>AP-1923</t>
  </si>
  <si>
    <t>58 59</t>
  </si>
  <si>
    <t>Smartzeb 80WP</t>
  </si>
  <si>
    <t>AP-1925</t>
  </si>
  <si>
    <t>Smart Agrovet</t>
  </si>
  <si>
    <t>Naczeb 80WP</t>
  </si>
  <si>
    <t>AP-1928</t>
  </si>
  <si>
    <t>Jazz 80WP</t>
  </si>
  <si>
    <t>AP-2001</t>
  </si>
  <si>
    <t>Late &amp;Early blight, Late blight, Anthracnose</t>
  </si>
  <si>
    <t>Tomato | Late &amp;Early blight | 2 g/L of water
Potato | Late blight | 2 g/L of water
Mango | Anthracnose | 2 g/L of water</t>
  </si>
  <si>
    <t>Rekazeb 80WP</t>
  </si>
  <si>
    <t>AP-2140</t>
  </si>
  <si>
    <t>Die back, Black rot, Late blight</t>
  </si>
  <si>
    <t>2.00 kg/ha; 1.5 g/L of water</t>
  </si>
  <si>
    <t>Tea | Die back, Black rot | 2.00 kg/ha
Potato | Late blight | 1.5 g/L of water</t>
  </si>
  <si>
    <t>Encozeb 80WP</t>
  </si>
  <si>
    <t>AP-2142</t>
  </si>
  <si>
    <t>Onion, Tomato</t>
  </si>
  <si>
    <t>Purple Bloch, Late &amp;Early blight</t>
  </si>
  <si>
    <t>Onion | Purple Bloch | 2 g/L of water
Tomato | Late &amp;Early blight | 2 g/L of water</t>
  </si>
  <si>
    <t>Cleanzeb 80WP</t>
  </si>
  <si>
    <t>AP-2143</t>
  </si>
  <si>
    <t>Tomato | Late &amp; Early blight | 2 g/L of water</t>
  </si>
  <si>
    <t>Alpha Cozeb 80WP</t>
  </si>
  <si>
    <t>AP-2144</t>
  </si>
  <si>
    <t>Late &amp;Early blight</t>
  </si>
  <si>
    <t>Tomato | Late &amp;Early blight | 2 g/L of water</t>
  </si>
  <si>
    <t>Might 80 WP</t>
  </si>
  <si>
    <t>AP-2145</t>
  </si>
  <si>
    <t>Nikizeb 80WP</t>
  </si>
  <si>
    <t>AP-2146</t>
  </si>
  <si>
    <t>Late &amp;Early blight, Late blight</t>
  </si>
  <si>
    <t>Tomato | Late &amp;Early blight | 2 g/L of water
Potato | Late blight | 2 g/L of water</t>
  </si>
  <si>
    <t>Isozeb 80WP</t>
  </si>
  <si>
    <t>AP-2147</t>
  </si>
  <si>
    <t>Century Agro Limited Tomato</t>
  </si>
  <si>
    <t>- | Late &amp; Early blight | 2 g/L of water</t>
  </si>
  <si>
    <t>Dewthane 80WP</t>
  </si>
  <si>
    <t>AP-2148</t>
  </si>
  <si>
    <t>Iprothane M-45</t>
  </si>
  <si>
    <t>AP-2150</t>
  </si>
  <si>
    <t>Mansis 80WP</t>
  </si>
  <si>
    <t>AP-2151</t>
  </si>
  <si>
    <t>Shield 75WDG</t>
  </si>
  <si>
    <t>AP-2152</t>
  </si>
  <si>
    <t>Security 80 WP</t>
  </si>
  <si>
    <t>AP-2153</t>
  </si>
  <si>
    <t>Faulizeb 80WP</t>
  </si>
  <si>
    <t>AP-2156</t>
  </si>
  <si>
    <t>Kazizeb 80WP</t>
  </si>
  <si>
    <t>AP-2157</t>
  </si>
  <si>
    <t>Goldizem 80WP</t>
  </si>
  <si>
    <t>AP-2158</t>
  </si>
  <si>
    <t>Blezeb 80WP</t>
  </si>
  <si>
    <t>AP-2159</t>
  </si>
  <si>
    <t>Secozeb 80WP</t>
  </si>
  <si>
    <t>AP-2161</t>
  </si>
  <si>
    <t>Aristozeb 80WP</t>
  </si>
  <si>
    <t>AP-2163</t>
  </si>
  <si>
    <t>Guardthoate M 45</t>
  </si>
  <si>
    <t>AP-2462</t>
  </si>
  <si>
    <t>Siamzeb 80WP</t>
  </si>
  <si>
    <t>AP-2465</t>
  </si>
  <si>
    <t>Exzeb 80WP</t>
  </si>
  <si>
    <t>AP-2466</t>
  </si>
  <si>
    <t>Hizeb 80WP</t>
  </si>
  <si>
    <t>AP-2468</t>
  </si>
  <si>
    <t>Nokozeb 80WP</t>
  </si>
  <si>
    <t>AP-2469</t>
  </si>
  <si>
    <t>Putazeb 80 WP</t>
  </si>
  <si>
    <t>AP-2470</t>
  </si>
  <si>
    <t>Mentor 80WP</t>
  </si>
  <si>
    <t>AP-2472</t>
  </si>
  <si>
    <t>Classic Agrovet Limited</t>
  </si>
  <si>
    <t>Potato | Late blight | 2 g/L of water
Mango | Anthracnose | 2 g/L of water</t>
  </si>
  <si>
    <t>Chotranash 80WP</t>
  </si>
  <si>
    <t>AP-2473</t>
  </si>
  <si>
    <t>Netcozeb 80WP</t>
  </si>
  <si>
    <t>AP-2477</t>
  </si>
  <si>
    <t>Chemzeb 80WP</t>
  </si>
  <si>
    <t>AP-2479</t>
  </si>
  <si>
    <t>Unizeb 80WP</t>
  </si>
  <si>
    <t>AP-2483</t>
  </si>
  <si>
    <t>Finezeb 80 WP</t>
  </si>
  <si>
    <t>AP-2484</t>
  </si>
  <si>
    <t>A-Zeb 80WP</t>
  </si>
  <si>
    <t>AP-2485</t>
  </si>
  <si>
    <t>Maczeb 80WP</t>
  </si>
  <si>
    <t>AP-2486</t>
  </si>
  <si>
    <t>Agrofil M 45</t>
  </si>
  <si>
    <t>AP-2487</t>
  </si>
  <si>
    <t>Happy 80WP</t>
  </si>
  <si>
    <t>AP-2488</t>
  </si>
  <si>
    <t>O-Zeb 80WP</t>
  </si>
  <si>
    <t>AP-2489</t>
  </si>
  <si>
    <t>M-Zeb 80WP</t>
  </si>
  <si>
    <t>AP-2491</t>
  </si>
  <si>
    <t>Payzeb 80 WP</t>
  </si>
  <si>
    <t>AP-2492</t>
  </si>
  <si>
    <t>Rainazeb 80 WP</t>
  </si>
  <si>
    <t>AP-2494</t>
  </si>
  <si>
    <t>Raina Associates</t>
  </si>
  <si>
    <t>B-Zeb 80 WP</t>
  </si>
  <si>
    <t>AP-2790</t>
  </si>
  <si>
    <t>Bangladesh Agro Science Ltd.</t>
  </si>
  <si>
    <t>Genezeb 80WP</t>
  </si>
  <si>
    <t>AP-2903</t>
  </si>
  <si>
    <t>Saila 80WP</t>
  </si>
  <si>
    <t>AP-3096</t>
  </si>
  <si>
    <t>Vizeb 80WP</t>
  </si>
  <si>
    <t>AP-3098</t>
  </si>
  <si>
    <t>Direl M 45</t>
  </si>
  <si>
    <t>AP-3099</t>
  </si>
  <si>
    <t>AP-3100</t>
  </si>
  <si>
    <t>Agro Arena Associates Ltd. Potato</t>
  </si>
  <si>
    <t>Maricozeb 80WP</t>
  </si>
  <si>
    <t>AP-3101</t>
  </si>
  <si>
    <t>Everthane 80WP</t>
  </si>
  <si>
    <t>AP-3102</t>
  </si>
  <si>
    <t>Forezeb 80WP</t>
  </si>
  <si>
    <t>AP-3103</t>
  </si>
  <si>
    <t>Seedman 80 WP</t>
  </si>
  <si>
    <t>AP-3105</t>
  </si>
  <si>
    <t>Seed Link Enterprise</t>
  </si>
  <si>
    <t>Deshzeb 80WP</t>
  </si>
  <si>
    <t>AP-3106</t>
  </si>
  <si>
    <t>Sur 80WP</t>
  </si>
  <si>
    <t>AP-3107</t>
  </si>
  <si>
    <t>Golden Crop Care</t>
  </si>
  <si>
    <t>M-Z 45</t>
  </si>
  <si>
    <t>AP-3108</t>
  </si>
  <si>
    <t>Jute | Stem rot | 2 g/L of water</t>
  </si>
  <si>
    <t>New Fill 80WP</t>
  </si>
  <si>
    <t>AP-3234</t>
  </si>
  <si>
    <t>Utsazeb 80WP</t>
  </si>
  <si>
    <t>AP-3578</t>
  </si>
  <si>
    <t>Sonalizeb 80WP</t>
  </si>
  <si>
    <t>AP-3579</t>
  </si>
  <si>
    <t>Sahzeb 80WP</t>
  </si>
  <si>
    <t>AP-3580</t>
  </si>
  <si>
    <t>Metador 80WP</t>
  </si>
  <si>
    <t>AP-3581</t>
  </si>
  <si>
    <t>SB-Zeb 80WP</t>
  </si>
  <si>
    <t>AP-3582</t>
  </si>
  <si>
    <t>Mohona 80WP</t>
  </si>
  <si>
    <t>AP-3586</t>
  </si>
  <si>
    <t>Lilizeb 80WP</t>
  </si>
  <si>
    <t>AP-3588</t>
  </si>
  <si>
    <t>Digicozeb 80WP</t>
  </si>
  <si>
    <t>AP-3589</t>
  </si>
  <si>
    <t>Winzeb 80 WP</t>
  </si>
  <si>
    <t>AP-3591</t>
  </si>
  <si>
    <t>Nishazeb 80WP</t>
  </si>
  <si>
    <t>AP-3592</t>
  </si>
  <si>
    <t>Samridhi 80WP</t>
  </si>
  <si>
    <t>AP-3594</t>
  </si>
  <si>
    <t>Zee-Zeb 80WP</t>
  </si>
  <si>
    <t>AP-3595</t>
  </si>
  <si>
    <t>Potato | Early blight | 2 g/L of water</t>
  </si>
  <si>
    <t>Icozeb 80 WP</t>
  </si>
  <si>
    <t>AP-3599</t>
  </si>
  <si>
    <t>Ensure M 45WP</t>
  </si>
  <si>
    <t>AP-3600</t>
  </si>
  <si>
    <t>Bondage 80WP</t>
  </si>
  <si>
    <t>AP-3910</t>
  </si>
  <si>
    <t>Autozeb 80WP</t>
  </si>
  <si>
    <t>AP-4230</t>
  </si>
  <si>
    <t>Red rust, Die back, Black rot, Late blight</t>
  </si>
  <si>
    <t>2.00 kg/ha; 2 g/L of water</t>
  </si>
  <si>
    <t>Tea | Red rust, Die back, Black rot | 2.00 kg/ha
Potato | Late blight | 2 g/L of water</t>
  </si>
  <si>
    <t>Fieldman 80WP</t>
  </si>
  <si>
    <t>AP-4232</t>
  </si>
  <si>
    <t>Besthan 80WP</t>
  </si>
  <si>
    <t>AP-4234</t>
  </si>
  <si>
    <t>M S Zeb 80WP</t>
  </si>
  <si>
    <t>AP-4235</t>
  </si>
  <si>
    <t>SMA Agro Chemicals Co.</t>
  </si>
  <si>
    <t>Topthan M-45</t>
  </si>
  <si>
    <t>AP-4237</t>
  </si>
  <si>
    <t>Mediazeb 80WP</t>
  </si>
  <si>
    <t>AP-4239</t>
  </si>
  <si>
    <t>MuZeb 80WP</t>
  </si>
  <si>
    <t>AP-4240</t>
  </si>
  <si>
    <t>Manostar 80WP</t>
  </si>
  <si>
    <t>AP-4241</t>
  </si>
  <si>
    <t>Pace Import Export Ltd.</t>
  </si>
  <si>
    <t>Rescozeb 80WP</t>
  </si>
  <si>
    <t>AP-4242</t>
  </si>
  <si>
    <t>Somadhan 75WG</t>
  </si>
  <si>
    <t>AP-4699</t>
  </si>
  <si>
    <t>Tea | Red Rust | 2.00 kg/ha</t>
  </si>
  <si>
    <t>EcoMan M-80WP</t>
  </si>
  <si>
    <t>AP-4700</t>
  </si>
  <si>
    <t>Red Rust, Late blight</t>
  </si>
  <si>
    <t>Tea | Red Rust | 2.00 kg/ha
Potato | Late blight | 2.00 kg/ha</t>
  </si>
  <si>
    <t>Amazeb 80WP</t>
  </si>
  <si>
    <t>AP-4701</t>
  </si>
  <si>
    <t>Ticozeb 80WP</t>
  </si>
  <si>
    <t>AP-4703</t>
  </si>
  <si>
    <t>Vimzeb 80WP</t>
  </si>
  <si>
    <t>AP-4705</t>
  </si>
  <si>
    <t>Manfil 80WP</t>
  </si>
  <si>
    <t>AP-4707</t>
  </si>
  <si>
    <t>Mango, Onion, Potato</t>
  </si>
  <si>
    <t>Anthracnose, Purple blotch, Late blight</t>
  </si>
  <si>
    <t>Mango | Anthracnose | 2 g/L of water
Onion | Purple blotch | 2 g/L of water
Potato | Late blight | 2 g/L of water</t>
  </si>
  <si>
    <t>Itofil M-45</t>
  </si>
  <si>
    <t>AP-4708</t>
  </si>
  <si>
    <t>Crop Touch Pesticide Ltd.</t>
  </si>
  <si>
    <t>Impala 75WP</t>
  </si>
  <si>
    <t>AP-4709</t>
  </si>
  <si>
    <t>Chili, Potato</t>
  </si>
  <si>
    <t>Anthracnose, Late blight</t>
  </si>
  <si>
    <t>Chili | Anthracnose | 2 g/L of water
Potato | Late blight | 2 g/L of water</t>
  </si>
  <si>
    <t>Buckler M-80</t>
  </si>
  <si>
    <t>AP-5094</t>
  </si>
  <si>
    <t>Cucumber | Powdery mildew | 2 g/L of water
Potato | Late blight | 2 g/L of water</t>
  </si>
  <si>
    <t>Goldman Plus 80WP</t>
  </si>
  <si>
    <t>AP-5095</t>
  </si>
  <si>
    <t>Manzate 42SC</t>
  </si>
  <si>
    <t>AP-5096</t>
  </si>
  <si>
    <t>RiceCo International Bangladesh Ltd.</t>
  </si>
  <si>
    <t>2.0 L/ha</t>
  </si>
  <si>
    <t>Tea | Die Back | 2.0 L/ha</t>
  </si>
  <si>
    <t>Zebco 80WP</t>
  </si>
  <si>
    <t>AP-5398</t>
  </si>
  <si>
    <t>2.0 Kg/ha</t>
  </si>
  <si>
    <t>Tea | Die Back | 2.0 Kg/ha</t>
  </si>
  <si>
    <t>Growthan 80WP</t>
  </si>
  <si>
    <t>AP-5399</t>
  </si>
  <si>
    <t>Mycostar 80WP</t>
  </si>
  <si>
    <t>AP-5400</t>
  </si>
  <si>
    <t>Lifezeb 80WP</t>
  </si>
  <si>
    <t>AP-5401</t>
  </si>
  <si>
    <t>Pleasure 80WP</t>
  </si>
  <si>
    <t>AP-5404</t>
  </si>
  <si>
    <t>Naturezeb 80WP</t>
  </si>
  <si>
    <t>AP-5405</t>
  </si>
  <si>
    <t>Satozeb 80WP</t>
  </si>
  <si>
    <t>AP-5406</t>
  </si>
  <si>
    <t>Satota Agro Science</t>
  </si>
  <si>
    <t>Farmzeb 80WP</t>
  </si>
  <si>
    <t>AP-5614</t>
  </si>
  <si>
    <t>Nurzeb 80WP</t>
  </si>
  <si>
    <t>AP5615</t>
  </si>
  <si>
    <t>Polyzeb 80WP</t>
  </si>
  <si>
    <t>AP-5616</t>
  </si>
  <si>
    <t>Wheat | Leaf blight | 2 g/L of water</t>
  </si>
  <si>
    <t>Azob 80WP</t>
  </si>
  <si>
    <t>AP-5798</t>
  </si>
  <si>
    <t>Leaf spot</t>
  </si>
  <si>
    <t>Jute | Leaf spot | 2.0 Kg/ha</t>
  </si>
  <si>
    <t>Joybun 80WP</t>
  </si>
  <si>
    <t>AP-5799</t>
  </si>
  <si>
    <t>Symzeb 80WP</t>
  </si>
  <si>
    <t>AP-5800</t>
  </si>
  <si>
    <t>Jute | Stem rot | 2.0 Kg/ha</t>
  </si>
  <si>
    <t>K-zeb 45</t>
  </si>
  <si>
    <t>AP-5801</t>
  </si>
  <si>
    <t>KG Gold 80WP</t>
  </si>
  <si>
    <t>AP-6054</t>
  </si>
  <si>
    <t>Glorious Crop Care Ltd.</t>
  </si>
  <si>
    <t>Black rot, Die back</t>
  </si>
  <si>
    <t>Tea | Black rot, Die back | 2.0 Kg/ha</t>
  </si>
  <si>
    <t>Mancoprime 74WP</t>
  </si>
  <si>
    <t>AP-6055</t>
  </si>
  <si>
    <t>Digital Agricultural Industries Ltd</t>
  </si>
  <si>
    <t>Tea | Black rot | 2.0 Kg/ha</t>
  </si>
  <si>
    <t>Mancozeb (63%) + Carbendazim (12%)</t>
  </si>
  <si>
    <t>Companion</t>
  </si>
  <si>
    <t>AP-664</t>
  </si>
  <si>
    <t>Mango, Potato, Tomato, Cucurbit, Chili, Ground nut</t>
  </si>
  <si>
    <t>Anthracnose, Late blight, Early blight, Powdery mildew, Tikka disease</t>
  </si>
  <si>
    <t>Mango, Potato, Tomato, Cucurbit | Anthracnose, Late blight, Early blight, Powdery mildew | 2 g/L of water
Chili | Anthracnose | 1 g/L of water
Ground nut | Tikka disease | 1 g/L of water</t>
  </si>
  <si>
    <t>Unisaaf 75WP</t>
  </si>
  <si>
    <t>AP-1021</t>
  </si>
  <si>
    <t>Relux 75WP</t>
  </si>
  <si>
    <t>AP-1696</t>
  </si>
  <si>
    <t>Claster 75WP</t>
  </si>
  <si>
    <t>AP-1725</t>
  </si>
  <si>
    <t>Groundnut</t>
  </si>
  <si>
    <t>Leaf spot rust</t>
  </si>
  <si>
    <t>Groundnut | Leaf spot rust | 2 g/L of water</t>
  </si>
  <si>
    <t>Carcozeb 75WP</t>
  </si>
  <si>
    <t>AP-1929</t>
  </si>
  <si>
    <t>Gold Hope 75WP</t>
  </si>
  <si>
    <t>AP-2165</t>
  </si>
  <si>
    <t>Mango, Potato</t>
  </si>
  <si>
    <t>Mango | Anthracnose | 2 g/L of water
Potato | Late blight | 2 g/L of water</t>
  </si>
  <si>
    <t>Camamix 750WP</t>
  </si>
  <si>
    <t>AP-2167</t>
  </si>
  <si>
    <t>Tyzeb Gold 75WP</t>
  </si>
  <si>
    <t>AP-2168</t>
  </si>
  <si>
    <t>Bunker 75WP</t>
  </si>
  <si>
    <t>AP-2522</t>
  </si>
  <si>
    <t>Combine 75WP</t>
  </si>
  <si>
    <t>AP-2523</t>
  </si>
  <si>
    <t>E-Carman 75WP</t>
  </si>
  <si>
    <t>AP-2525</t>
  </si>
  <si>
    <t>Mancor 75WP</t>
  </si>
  <si>
    <t>AP-2526</t>
  </si>
  <si>
    <t>Shade 75WP</t>
  </si>
  <si>
    <t>AP-2528</t>
  </si>
  <si>
    <t>Cosaf 75 WP</t>
  </si>
  <si>
    <t>AP-2530</t>
  </si>
  <si>
    <t>Pafman 75 WP</t>
  </si>
  <si>
    <t>AP-2531</t>
  </si>
  <si>
    <t>Hamelion 75 WP</t>
  </si>
  <si>
    <t>AP-3135</t>
  </si>
  <si>
    <t>Mother Crop Care</t>
  </si>
  <si>
    <t>Tomato, Mango</t>
  </si>
  <si>
    <t>Early blight, Anthracnose</t>
  </si>
  <si>
    <t>Tomato | Early blight | 2 g/L of water
Mango | Anthracnose | 2 g/L of water</t>
  </si>
  <si>
    <t>Bimole 75WP</t>
  </si>
  <si>
    <t>AP-3136</t>
  </si>
  <si>
    <t>Adcarzeb 75WP</t>
  </si>
  <si>
    <t>AP-3137</t>
  </si>
  <si>
    <t>Rekazin 75WP</t>
  </si>
  <si>
    <t>AP-3254</t>
  </si>
  <si>
    <t>Husky 75WP</t>
  </si>
  <si>
    <t>AP-3260</t>
  </si>
  <si>
    <t>Tea | Die back, Black rot | 2 g/L of water</t>
  </si>
  <si>
    <t>L-Maczim 75WP</t>
  </si>
  <si>
    <t>AP-3622</t>
  </si>
  <si>
    <t>Rodhok Shodhok 75WP</t>
  </si>
  <si>
    <t>AP-3623</t>
  </si>
  <si>
    <t>M S Carma 75WP</t>
  </si>
  <si>
    <t>AP-3624</t>
  </si>
  <si>
    <t>Terzim 75WP</t>
  </si>
  <si>
    <t>AP-4265</t>
  </si>
  <si>
    <t>Monarch 75WP</t>
  </si>
  <si>
    <t>AP-5098</t>
  </si>
  <si>
    <t>Mancer 75WDG</t>
  </si>
  <si>
    <t>AP-5099</t>
  </si>
  <si>
    <t>Moscoben 75WP</t>
  </si>
  <si>
    <t>AP-5416</t>
  </si>
  <si>
    <t>Carmixblu 75WP</t>
  </si>
  <si>
    <t>AP-5417</t>
  </si>
  <si>
    <t>Farmcozim 75WP</t>
  </si>
  <si>
    <t>AP-5617</t>
  </si>
  <si>
    <t>Mancodazin 75WP</t>
  </si>
  <si>
    <t>AP-6067</t>
  </si>
  <si>
    <t>Cash 75WS</t>
  </si>
  <si>
    <t>AP-4712</t>
  </si>
  <si>
    <t>Potato, Potato Seed Treatment, Mango</t>
  </si>
  <si>
    <t>Late Blight, Black scurf, Anthracnose</t>
  </si>
  <si>
    <t>1.5 g/L of water; 2.5 g/kg seed</t>
  </si>
  <si>
    <t>Potato | Late Blight | 1.5 g/L of water
Potato Seed Treatment | Black scurf | 2.5 g/kg seed
Mango | Anthracnose | 1.5 g/L of water</t>
  </si>
  <si>
    <t>Mancozeb (12%) + Copper (30%)</t>
  </si>
  <si>
    <t>Cuprofix 30 Dispers</t>
  </si>
  <si>
    <t>AP-1887</t>
  </si>
  <si>
    <t>Novofix 42WDG</t>
  </si>
  <si>
    <t>AP-4717</t>
  </si>
  <si>
    <t>300 gm/ha</t>
  </si>
  <si>
    <t>Tea | Die back | 300 gm/ha</t>
  </si>
  <si>
    <t>Mancozeb (64%) + Cymoxanil (8%)</t>
  </si>
  <si>
    <t>Sunoxanil 72WP</t>
  </si>
  <si>
    <t>AP-796</t>
  </si>
  <si>
    <t>Potato, Mango, Onion, Tomato</t>
  </si>
  <si>
    <t>Late blight, Anthracnose, Powdery mildew, Purple blotch, Late blight &amp; Early blight</t>
  </si>
  <si>
    <t>Potato | Late blight | 2 g/L of water
Mango | Anthracnose, Powdery mildew | 2 g/L of water
Onion | Purple blotch | 2 g/L of water
Tomato | Late blight &amp; Early blight | 2 g/L of water</t>
  </si>
  <si>
    <t>Curzate M8</t>
  </si>
  <si>
    <t>AP-1372</t>
  </si>
  <si>
    <t>Cymon Gold 72WP</t>
  </si>
  <si>
    <t>AP-1688</t>
  </si>
  <si>
    <t>Tomato | Late blight | 1.5 g/L of water</t>
  </si>
  <si>
    <t>Euromil 72WP</t>
  </si>
  <si>
    <t>AP-1867</t>
  </si>
  <si>
    <t>Bicojan 72WP</t>
  </si>
  <si>
    <t>AP-1882</t>
  </si>
  <si>
    <t>Tomato | Late blight | 2 g/L of water
Potato | Late blight | 2 g/L of water</t>
  </si>
  <si>
    <t>Xtramil 720WP</t>
  </si>
  <si>
    <t>AP-1885</t>
  </si>
  <si>
    <t>Larconil 72WP</t>
  </si>
  <si>
    <t>AP-2169</t>
  </si>
  <si>
    <t>Larsen Chemicals Industries (Pvt) Ltd</t>
  </si>
  <si>
    <t>Bentacyl 72WP</t>
  </si>
  <si>
    <t>AP-2519</t>
  </si>
  <si>
    <t>Contracyl 72WP</t>
  </si>
  <si>
    <t>AP-2520</t>
  </si>
  <si>
    <t>Tomato | Late blight | 2 g/L of water</t>
  </si>
  <si>
    <t>More 72WP</t>
  </si>
  <si>
    <t>AP-2521</t>
  </si>
  <si>
    <t>Ricomil 72WP</t>
  </si>
  <si>
    <t>AP-3138</t>
  </si>
  <si>
    <t>Tea | Die back, Black rot | 2.00 kg/ha
Potato | Late blight | 2 g/L of water</t>
  </si>
  <si>
    <t>Apuri 72 WP</t>
  </si>
  <si>
    <t>AP-3245</t>
  </si>
  <si>
    <t>Cumcumber</t>
  </si>
  <si>
    <t>Tomato | Cumcumber | 2 g/L of water</t>
  </si>
  <si>
    <t>Baronto 72WP</t>
  </si>
  <si>
    <t>AP-3614</t>
  </si>
  <si>
    <t>Dentacyl 72WP</t>
  </si>
  <si>
    <t>AP-3615</t>
  </si>
  <si>
    <t>Cycozeb Plus 72WP</t>
  </si>
  <si>
    <t>AP-3617</t>
  </si>
  <si>
    <t>Maxnil 72WP</t>
  </si>
  <si>
    <t>AP-3618</t>
  </si>
  <si>
    <t>EG Mox 72WP</t>
  </si>
  <si>
    <t>AP-3619</t>
  </si>
  <si>
    <t>Sondhi 72WP</t>
  </si>
  <si>
    <t>AP-4248</t>
  </si>
  <si>
    <t>Haymoxanil 72WP</t>
  </si>
  <si>
    <t>AP-4249</t>
  </si>
  <si>
    <t>Tomato, Mango, Onion, Cucurbit, Cucumber</t>
  </si>
  <si>
    <t>Early blight, Anthracnose, Purple blotch, Powdery mildew, Downy mildew</t>
  </si>
  <si>
    <t>2 g/L of water; 2.00 kg/ha</t>
  </si>
  <si>
    <t>Tomato | Early blight | 2 g/L of water
Mango | Anthracnose | 2 g/L of water
Onion | Purple blotch | 2.00 kg/ha
Cucurbit | Powdery mildew | 2 g/L of water
Cucumber | Downy mildew | 2 g/L of water</t>
  </si>
  <si>
    <t>Dentanil 72WP</t>
  </si>
  <si>
    <t>AP-4250</t>
  </si>
  <si>
    <t>Delta Agro Chemicals Limited</t>
  </si>
  <si>
    <t>Formozeb 72WP</t>
  </si>
  <si>
    <t>AP-4251</t>
  </si>
  <si>
    <t>Micra 72WP</t>
  </si>
  <si>
    <t>AP-4714</t>
  </si>
  <si>
    <t>Potato, Cucurbits, Tea</t>
  </si>
  <si>
    <t>Late blight, Powdery mildew, Black rot, dDie back</t>
  </si>
  <si>
    <t>Potato | Late blight | 2 g/L of water
Cucurbits | Powdery mildew | 2 g/L of water
Tea | Black rot, dDie back | 2.00 kg/ha</t>
  </si>
  <si>
    <t>Cynil 72WP</t>
  </si>
  <si>
    <t>AP-5412</t>
  </si>
  <si>
    <t>Tea | Die Back | 2.00 kg/ha
Cucurbits | Powdery mildew | 2 g/L of water</t>
  </si>
  <si>
    <t>Square Plus 72WP</t>
  </si>
  <si>
    <t>AP-5413</t>
  </si>
  <si>
    <t>Fenoxy 72WP</t>
  </si>
  <si>
    <t>AP-5414</t>
  </si>
  <si>
    <t>Potato, Onion</t>
  </si>
  <si>
    <t>Late blight, Purple blotch</t>
  </si>
  <si>
    <t>Potato | Late blight | 2 g/L of water
Onion | Purple blotch | 2 g/L of water</t>
  </si>
  <si>
    <t>Mask 72WP</t>
  </si>
  <si>
    <t>AP-5610</t>
  </si>
  <si>
    <t>Vision Agro</t>
  </si>
  <si>
    <t>Indothane M 72WP</t>
  </si>
  <si>
    <t>AP-5611</t>
  </si>
  <si>
    <t>Tea | Black rot | 2.00 kg/ha</t>
  </si>
  <si>
    <t>Limoxanil 72WP</t>
  </si>
  <si>
    <t>AP-5793</t>
  </si>
  <si>
    <t>Black rot, Red rust</t>
  </si>
  <si>
    <t>Tea | Black rot, Red rust | 2.00 kg/ha</t>
  </si>
  <si>
    <t>Alexnil 72WP</t>
  </si>
  <si>
    <t>AP-6052</t>
  </si>
  <si>
    <t>Usta Crop Care</t>
  </si>
  <si>
    <t>Tea | Die back | 2.00 kg/ha</t>
  </si>
  <si>
    <t>Onemoxanil 72WP</t>
  </si>
  <si>
    <t>AP-6053</t>
  </si>
  <si>
    <t>Die back, Red rust</t>
  </si>
  <si>
    <t>Tea | Die back, Red rust | 2.00 kg/ha</t>
  </si>
  <si>
    <t>Mancozeb (62%) + Tricyclazole (18%)</t>
  </si>
  <si>
    <t>Chemovit 80WP</t>
  </si>
  <si>
    <t>AP-5809</t>
  </si>
  <si>
    <t>Late bight</t>
  </si>
  <si>
    <t>Potato | Late bight | 2 g/L of water</t>
  </si>
  <si>
    <t>Mancozeb (60%) + Cyazofamid (15%)</t>
  </si>
  <si>
    <t>Cyman 75WG</t>
  </si>
  <si>
    <t>AP-4715</t>
  </si>
  <si>
    <t>1.5 kg/ha</t>
  </si>
  <si>
    <t>Tea | Red rust | 1.5 kg/ha</t>
  </si>
  <si>
    <t>Mancozeb (64%) + Metalaxyl (8%)</t>
  </si>
  <si>
    <t>Sundomil 72WP</t>
  </si>
  <si>
    <t>AP-394</t>
  </si>
  <si>
    <t>Zhe Metalex 72WP</t>
  </si>
  <si>
    <t>AP-412</t>
  </si>
  <si>
    <t>Tomato | Late blight | 2.00 kg/ha
Potato | Late blight | 2 g/L of water
Mango | Anthracnose | 2 g/L of water</t>
  </si>
  <si>
    <t>Vitamyl 72MZ</t>
  </si>
  <si>
    <t>AP-445</t>
  </si>
  <si>
    <t>Coromil MZ 72WP</t>
  </si>
  <si>
    <t>AP-446</t>
  </si>
  <si>
    <t>Metaril 72WP</t>
  </si>
  <si>
    <t>AP-447</t>
  </si>
  <si>
    <t>Potato, Tomato, Cucurbit</t>
  </si>
  <si>
    <t>Late blight, Early blight, Powdery mildew</t>
  </si>
  <si>
    <t>Potato | Late blight | 2 g/L of water
Tomato | Early blight | 2 g/L of water
Cucurbit | Powdery mildew | 2 g/L of water</t>
  </si>
  <si>
    <t>Unilux 72WP</t>
  </si>
  <si>
    <t>AP-452</t>
  </si>
  <si>
    <t>2 g/L of water; 2.50 kg/ha; 2.25 kg/ha</t>
  </si>
  <si>
    <t>Potato | Late blight | 2 g/L of water
Tomato | Early blight | 2.50 kg/ha
Cucurbit | Powdery mildew | 2.25 kg/ha</t>
  </si>
  <si>
    <t>Greenland 72WP</t>
  </si>
  <si>
    <t>AP-604</t>
  </si>
  <si>
    <t>Haymaxyl MZ 72WP</t>
  </si>
  <si>
    <t>AP-611</t>
  </si>
  <si>
    <t>Late blight, Powdery mildew and Anthracnose, Purple blotch</t>
  </si>
  <si>
    <t>Potato | Late blight | 2 g/L of water
Mango | Powdery mildew and Anthracnose | 2 g/L of water
Onion | Purple blotch | 2.00 kg/ha
Tomato | Late blight | 2 g/L of water</t>
  </si>
  <si>
    <t>Nuben 72WP</t>
  </si>
  <si>
    <t>AP- 612</t>
  </si>
  <si>
    <t>Late blight, Late &amp; Early blight</t>
  </si>
  <si>
    <t>Potato | Late blight | 2 g/L of water
Tomato | Late &amp; Early blight | 2 g/L of water</t>
  </si>
  <si>
    <t>Polyman 72WP</t>
  </si>
  <si>
    <t>AP-613</t>
  </si>
  <si>
    <t>Popular 72WP</t>
  </si>
  <si>
    <t>AP-614</t>
  </si>
  <si>
    <t>Baimyl 72WP</t>
  </si>
  <si>
    <t>AP-790</t>
  </si>
  <si>
    <t>Wilt &amp; Alternaria blight, Late blight</t>
  </si>
  <si>
    <t>Tomato | Wilt &amp; Alternaria blight | 2 g/L of water
Potato | Late blight | 2 g/L of water</t>
  </si>
  <si>
    <t>Censor MZ 72WP</t>
  </si>
  <si>
    <t>AP-795</t>
  </si>
  <si>
    <t>Potato, Cucurbits</t>
  </si>
  <si>
    <t>Potato | Late blight | 2 g/L of water
Cucurbits | Powdery mildew | 2 g/L of water</t>
  </si>
  <si>
    <t>Sunmil MZ 72WP</t>
  </si>
  <si>
    <t>AP-797</t>
  </si>
  <si>
    <t>Edmeta 72WP</t>
  </si>
  <si>
    <t>AP-798</t>
  </si>
  <si>
    <t>Metazeb 72WP</t>
  </si>
  <si>
    <t>AP-799</t>
  </si>
  <si>
    <t>Evamil 72WP</t>
  </si>
  <si>
    <t>AP-800</t>
  </si>
  <si>
    <t>Nazah 72WP</t>
  </si>
  <si>
    <t>AP-801</t>
  </si>
  <si>
    <t>Potato, Garden pea, Tomato</t>
  </si>
  <si>
    <t>Late blight, Powdery mildew, Early &amp; Late blight</t>
  </si>
  <si>
    <t>Potato | Late blight | 2 g/L of water
Garden pea | Powdery mildew | 2 g/L of water
Tomato | Early &amp; Late blight | 2 g/L of water</t>
  </si>
  <si>
    <t>Way 72WP</t>
  </si>
  <si>
    <t>AP-802</t>
  </si>
  <si>
    <t>Mexzil 72WP</t>
  </si>
  <si>
    <t>AP-803</t>
  </si>
  <si>
    <t>Potato, Tomato, Bean</t>
  </si>
  <si>
    <t>Early &amp; Late blight, Anthracnose</t>
  </si>
  <si>
    <t>Potato, Tomato | Early &amp; Late blight | 2 g/L of water
Bean | Anthracnose | 2 g/L of water</t>
  </si>
  <si>
    <t>Rancozeb MZ 72WP</t>
  </si>
  <si>
    <t>AP-804</t>
  </si>
  <si>
    <t>Amcomyl 72WP</t>
  </si>
  <si>
    <t>AP-808</t>
  </si>
  <si>
    <t>Early and Late blight, Late blight</t>
  </si>
  <si>
    <t>Tomato | Early and Late blight | 2 g/L of water
Potato | Late blight | 2 g/L of water</t>
  </si>
  <si>
    <t>(64% + 4%)</t>
  </si>
  <si>
    <t>Orion 72WP</t>
  </si>
  <si>
    <t>AP-863</t>
  </si>
  <si>
    <t>Potato, Mango, Tomato, Ground nut</t>
  </si>
  <si>
    <t>Late blight, Powdery mildew, Anthracnose, Early and Late blight, Tikka rust</t>
  </si>
  <si>
    <t>Potato | Late blight | 2 g/L of water
Mango | Powdery mildew, Anthracnose | 2 g/L of water
Tomato | Early and Late blight | 2 g/L of water
Ground nut | Tikka rust | 2 g/L of water</t>
  </si>
  <si>
    <t>Metaplus 72WP</t>
  </si>
  <si>
    <t>AP-919</t>
  </si>
  <si>
    <t>Antiblight MZ 72WP</t>
  </si>
  <si>
    <t>AP-969</t>
  </si>
  <si>
    <t>Tomato &amp; Potato</t>
  </si>
  <si>
    <t>Tomato &amp; Potato | Early &amp; Late blight | 2 g/L of water</t>
  </si>
  <si>
    <t>Metamil Special 72WP</t>
  </si>
  <si>
    <t>AP-971</t>
  </si>
  <si>
    <t>Metalman 72WP</t>
  </si>
  <si>
    <t>AP-972</t>
  </si>
  <si>
    <t>Ipromil 72WP</t>
  </si>
  <si>
    <t>AP-977</t>
  </si>
  <si>
    <t>Ashameal 72WP</t>
  </si>
  <si>
    <t>AP-1030</t>
  </si>
  <si>
    <t>Ridomil Gold MZ 68WG</t>
  </si>
  <si>
    <t>AP-1075</t>
  </si>
  <si>
    <t>King Meal 72WP</t>
  </si>
  <si>
    <t>AP-1087</t>
  </si>
  <si>
    <t>Garden pea, Potato, Mango</t>
  </si>
  <si>
    <t>Powdery mildew, Late blight, Anthracnose</t>
  </si>
  <si>
    <t>Garden pea | Powdery mildew | 2 g/L of water
Potato | Late blight | 2 g/L of water
Mango | Anthracnose | 2 g/L of water</t>
  </si>
  <si>
    <t>Putamil 72 WP</t>
  </si>
  <si>
    <t>AP-1350</t>
  </si>
  <si>
    <t>Cucurbits, Potato</t>
  </si>
  <si>
    <t>Cucurbits | Downy mildew | 2 g/L of water
Potato | Late blight | 2 g/L of water</t>
  </si>
  <si>
    <t>Padmamil 72WP</t>
  </si>
  <si>
    <t>AP-1158</t>
  </si>
  <si>
    <t>Betel vine</t>
  </si>
  <si>
    <t>Phytopthora blight</t>
  </si>
  <si>
    <t>Betel vine | Phytopthora blight | 2 g/L of water</t>
  </si>
  <si>
    <t>Mancosil 72WP</t>
  </si>
  <si>
    <t>AP-1363</t>
  </si>
  <si>
    <t>Oromil 72WP</t>
  </si>
  <si>
    <t>AP-1364</t>
  </si>
  <si>
    <t>Matco 72WP</t>
  </si>
  <si>
    <t>AP-1366</t>
  </si>
  <si>
    <t>Logon 72WP</t>
  </si>
  <si>
    <t>AP-1367</t>
  </si>
  <si>
    <t>Dewmil 72WP</t>
  </si>
  <si>
    <t>AP-1368</t>
  </si>
  <si>
    <t>Agromil 72WP</t>
  </si>
  <si>
    <t>AP-1369</t>
  </si>
  <si>
    <t>Emimix 72WP</t>
  </si>
  <si>
    <t>AP-1370</t>
  </si>
  <si>
    <t>Metamenco 72WP</t>
  </si>
  <si>
    <t>AP-1376</t>
  </si>
  <si>
    <t>Greenzal 72WP</t>
  </si>
  <si>
    <t>AP-1379</t>
  </si>
  <si>
    <t>Repil 72WP</t>
  </si>
  <si>
    <t>AP-1380</t>
  </si>
  <si>
    <t>Diamond 68 WP</t>
  </si>
  <si>
    <t>AP-1381</t>
  </si>
  <si>
    <t>Integrated Crop Care Bangladesh</t>
  </si>
  <si>
    <t>Tomato, Bettle Vine</t>
  </si>
  <si>
    <t>Early blight, Leaf rot, Vine rot &amp; Blight</t>
  </si>
  <si>
    <t>2 g/L of water; 2.5 g/L of water</t>
  </si>
  <si>
    <t>Tomato | Early blight | 2 g/L of water
Bettle Vine | Leaf rot, Vine rot &amp; Blight | 2.5 g/L of water</t>
  </si>
  <si>
    <t>Amagold 72WP</t>
  </si>
  <si>
    <t>AP-1682</t>
  </si>
  <si>
    <t>Ecomyl 72WP</t>
  </si>
  <si>
    <t>AP-1595</t>
  </si>
  <si>
    <t>Sundari 72WP</t>
  </si>
  <si>
    <t>AP-1610</t>
  </si>
  <si>
    <t>Potato, Tomato | Late blight | 2 g/L of water</t>
  </si>
  <si>
    <t>Medumyl 72WP</t>
  </si>
  <si>
    <t>AP-1628</t>
  </si>
  <si>
    <t>Seamodil 72WP</t>
  </si>
  <si>
    <t>AP-1684</t>
  </si>
  <si>
    <t>Potato, Mango, Tea</t>
  </si>
  <si>
    <t>Late blight, Powdery mildew, Red rust</t>
  </si>
  <si>
    <t>Potato | Late blight | 2 g/L of water
Mango | Powdery mildew | 2 g/L of water
Tea | Red rust | 2.00 kg/ha</t>
  </si>
  <si>
    <t>Bicoril MZ 72WP</t>
  </si>
  <si>
    <t>AP-1686</t>
  </si>
  <si>
    <t>Helen 72WP</t>
  </si>
  <si>
    <t>AP-1692</t>
  </si>
  <si>
    <t>Doman 72 WP</t>
  </si>
  <si>
    <t>AP-1766</t>
  </si>
  <si>
    <t>Metazyl 72WP</t>
  </si>
  <si>
    <t>AP-1932</t>
  </si>
  <si>
    <t>Cotton, Mango</t>
  </si>
  <si>
    <t>Seedling blight, Anthracnose bool rot, Anthracnose</t>
  </si>
  <si>
    <t>Cotton | Seedling blight, Anthracnose bool rot | 2 g/L of water
Mango | Anthracnose | 2 g/L of water</t>
  </si>
  <si>
    <t>Papa 72WP</t>
  </si>
  <si>
    <t>AP-2131</t>
  </si>
  <si>
    <t>Mycoguard 72WP</t>
  </si>
  <si>
    <t>AP-2132</t>
  </si>
  <si>
    <t>Mozart M 72WP</t>
  </si>
  <si>
    <t>AP-2133</t>
  </si>
  <si>
    <t>Polymer 72WP</t>
  </si>
  <si>
    <t>AP-2134</t>
  </si>
  <si>
    <t>Crazy 72WP</t>
  </si>
  <si>
    <t>AP-2135</t>
  </si>
  <si>
    <t>R-Metalix 72WP</t>
  </si>
  <si>
    <t>AP-2136</t>
  </si>
  <si>
    <t>Zee-Mil 72WP</t>
  </si>
  <si>
    <t>AP-2137</t>
  </si>
  <si>
    <t>Freshmil 72WP</t>
  </si>
  <si>
    <t>AP-2139</t>
  </si>
  <si>
    <t>Rimeal 72WP</t>
  </si>
  <si>
    <t>AP-2510</t>
  </si>
  <si>
    <t>Advance 72WP</t>
  </si>
  <si>
    <t>AP-2511</t>
  </si>
  <si>
    <t>Topsil 72WP</t>
  </si>
  <si>
    <t>AP-2512</t>
  </si>
  <si>
    <t>Active Gold 72 WP</t>
  </si>
  <si>
    <t>AP-2516</t>
  </si>
  <si>
    <t>Majurmil 72WP</t>
  </si>
  <si>
    <t>AP-3114</t>
  </si>
  <si>
    <t>Green Mil 72WP</t>
  </si>
  <si>
    <t>AP-3115</t>
  </si>
  <si>
    <t>B-Mil Glod 72WP</t>
  </si>
  <si>
    <t>AP-3118</t>
  </si>
  <si>
    <t>Basic Agrovet</t>
  </si>
  <si>
    <t>Hixyl 72WP</t>
  </si>
  <si>
    <t>AP-3019</t>
  </si>
  <si>
    <t>Mita Gold 72WP</t>
  </si>
  <si>
    <t>AP-3120</t>
  </si>
  <si>
    <t>Gilder 72WP</t>
  </si>
  <si>
    <t>AP-3602</t>
  </si>
  <si>
    <t>T H Pesticide</t>
  </si>
  <si>
    <t>Fasal Gold 72WP</t>
  </si>
  <si>
    <t>AP-3603</t>
  </si>
  <si>
    <t>Easynet 80WP</t>
  </si>
  <si>
    <t>AP-3606</t>
  </si>
  <si>
    <t>Max Gold 72WP</t>
  </si>
  <si>
    <t>AP-3609</t>
  </si>
  <si>
    <t>Fortazeb 72WP</t>
  </si>
  <si>
    <t>AP-4252</t>
  </si>
  <si>
    <t>Tea | Die back, Black rot | 2 g/L of water
Sweet gourd | Powdery mildew | 2 g/L of water</t>
  </si>
  <si>
    <t>Agrolax 72WP</t>
  </si>
  <si>
    <t>AP-5407</t>
  </si>
  <si>
    <t>Zeba 72WP</t>
  </si>
  <si>
    <t>AP-5408</t>
  </si>
  <si>
    <t>Shonda 72WP</t>
  </si>
  <si>
    <t>AP-5409</t>
  </si>
  <si>
    <t>Agro Private Limited</t>
  </si>
  <si>
    <t>Shafin Plus 72WP</t>
  </si>
  <si>
    <t>AP-5410</t>
  </si>
  <si>
    <t>Bangladesh Pally Agro</t>
  </si>
  <si>
    <t>Potato, Cucumber</t>
  </si>
  <si>
    <t>Potato | Late blight | 2 g/L of water
Cucumber | Downy mildew | 2 g/L of water</t>
  </si>
  <si>
    <t>Dew Gold 72WP</t>
  </si>
  <si>
    <t>AP-5411</t>
  </si>
  <si>
    <t>Mancolaxyl 72WP</t>
  </si>
  <si>
    <t>AP-5609</t>
  </si>
  <si>
    <t>Nasok 72WP</t>
  </si>
  <si>
    <t>AP-6050</t>
  </si>
  <si>
    <t>Tea | Block rot | 2.0 Kg/ha</t>
  </si>
  <si>
    <t>Midsil 72WP</t>
  </si>
  <si>
    <t>AP-6051</t>
  </si>
  <si>
    <t>Midland Agro Industries</t>
  </si>
  <si>
    <t>1.50 Kg/ha</t>
  </si>
  <si>
    <t>Tea | Block rot | 1.50 Kg/ha</t>
  </si>
  <si>
    <t>Boom 72WP</t>
  </si>
  <si>
    <t>AP-4622</t>
  </si>
  <si>
    <t>SB-Zeb 72WP</t>
  </si>
  <si>
    <t>AP-4625</t>
  </si>
  <si>
    <t>Mancozeb (48%) + Metalaxyl (6%) + Chlorathalonil (18%)</t>
  </si>
  <si>
    <t>Laxyl 72WP</t>
  </si>
  <si>
    <t>AP-3577</t>
  </si>
  <si>
    <t>Mancozeb (64%) + Dimethomorph (10%) + Cymoxanil (8%)</t>
  </si>
  <si>
    <t>Spiner 82WP</t>
  </si>
  <si>
    <t>AP-6063</t>
  </si>
  <si>
    <t>Tea | Red rust | 1.50 Kg/ha</t>
  </si>
  <si>
    <t>Azoxystrobin (15%) + Cyproconazole (12.50%) Boscalid (27.50%)</t>
  </si>
  <si>
    <t>3-Option 55SC</t>
  </si>
  <si>
    <t>AP-6070</t>
  </si>
  <si>
    <t>Tea | Red rust | 1.0 L/ha</t>
  </si>
  <si>
    <t>Monopotassium salt of phosphorus acid (24%) + Metalaxyl (7%)</t>
  </si>
  <si>
    <t>Kanafa 31SL</t>
  </si>
  <si>
    <t>AP-3576</t>
  </si>
  <si>
    <t>Mandipropamid</t>
  </si>
  <si>
    <t>Revus 25SC</t>
  </si>
  <si>
    <t>AP-2534</t>
  </si>
  <si>
    <t>Late bight, Downy mildew</t>
  </si>
  <si>
    <t>Potato | Late bight | 1 ml/L of water
Cucumber | Downy mildew | 1 ml/L of water</t>
  </si>
  <si>
    <t>Metalaxyl</t>
  </si>
  <si>
    <t>Metataf 25WP</t>
  </si>
  <si>
    <t>AP-417</t>
  </si>
  <si>
    <t>Zhetalux 25WP</t>
  </si>
  <si>
    <t>AP-1371</t>
  </si>
  <si>
    <t>Metagold 25WP</t>
  </si>
  <si>
    <t>AP-1695</t>
  </si>
  <si>
    <t>Mata Win 35WP</t>
  </si>
  <si>
    <t>AP-2536</t>
  </si>
  <si>
    <t>Chilli | Anthracnose | 2 g/L of water</t>
  </si>
  <si>
    <t>Resume 35WP</t>
  </si>
  <si>
    <t>AP-4729</t>
  </si>
  <si>
    <t>Sensor 25WP</t>
  </si>
  <si>
    <t>AP-5418</t>
  </si>
  <si>
    <t>Mancozeb (50%) + Fenamidone (10%)</t>
  </si>
  <si>
    <t>Secure 600WG</t>
  </si>
  <si>
    <t>AP-628</t>
  </si>
  <si>
    <t>Late blight, Downey mildew</t>
  </si>
  <si>
    <t>Potato | Late blight | 1 g/L of water
Cucurbits | Downey mildew | 2 g/L of water</t>
  </si>
  <si>
    <t>Assurance 600WG</t>
  </si>
  <si>
    <t>AP-2532</t>
  </si>
  <si>
    <t>Propamocarb</t>
  </si>
  <si>
    <t>Dodo 720SL</t>
  </si>
  <si>
    <t>AP-1120</t>
  </si>
  <si>
    <t>Early and Late blight</t>
  </si>
  <si>
    <t>Tomato | Early and Late blight | 2 g/L of water</t>
  </si>
  <si>
    <t>FRAC 28</t>
  </si>
  <si>
    <t>Procarb 720SL</t>
  </si>
  <si>
    <t>AP-2538</t>
  </si>
  <si>
    <t>Tutu 720SL</t>
  </si>
  <si>
    <t>AP-2539</t>
  </si>
  <si>
    <t>Zuzu 72SL</t>
  </si>
  <si>
    <t>AP-3620</t>
  </si>
  <si>
    <t>Rosa 72SL</t>
  </si>
  <si>
    <t>L-Deue 72SL</t>
  </si>
  <si>
    <t>AP-4276</t>
  </si>
  <si>
    <t>Luxcarb 72WP</t>
  </si>
  <si>
    <t>AP-5627</t>
  </si>
  <si>
    <t>Propiconazole</t>
  </si>
  <si>
    <t>Tilt 250EC</t>
  </si>
  <si>
    <t>AP-172</t>
  </si>
  <si>
    <t>Wheat, Rice, Chili &amp; Guava, Banana, Mango, Citrus, Beetle leaf</t>
  </si>
  <si>
    <t>Leaf rust, Sheath blight, Anthracnose, Sigatoka, Anthracnose &amp; Powdery mildew, Die back/Wither tip &amp; Scab, Leaf spot</t>
  </si>
  <si>
    <t>560 ml/ha; 1.00 L/ha; 0.5 ml/L of water</t>
  </si>
  <si>
    <t>Wheat | Leaf rust | 560 ml/ha
Rice | Sheath blight | 1.00 L/ha
Chili &amp; Guava | Anthracnose | 0.5 ml/L of water
Banana | Sigatoka | 0.5 ml/L of water
Mango | Anthracnose &amp; Powdery mildew | 0.5 ml/L of water
Citrus | Die back/Wither tip &amp; Scab | 0.5 ml/L of water
Beetle leaf | Leaf spot | 0.5 ml/L of water</t>
  </si>
  <si>
    <t>Protaf 250EC</t>
  </si>
  <si>
    <t>AP-599</t>
  </si>
  <si>
    <t>Banana, Wheat</t>
  </si>
  <si>
    <t>Sigatoka, Rust Leaf Blight</t>
  </si>
  <si>
    <t>Banana | Sigatoka | 1 ml/L of water
Wheat | Rust Leaf Blight | 1 ml/L of water</t>
  </si>
  <si>
    <t>Corozole 250EC</t>
  </si>
  <si>
    <t>AP-600</t>
  </si>
  <si>
    <t>Banana, Wheat, Rice</t>
  </si>
  <si>
    <t>Sigatoka, Rust Leaf Blight, Sheath blight</t>
  </si>
  <si>
    <t>Banana | Sigatoka | 1 ml/L of water
Wheat | Rust Leaf Blight | 1 ml/L of water
Rice | Sheath blight | 1.00 L/ha</t>
  </si>
  <si>
    <t>Evaeilt 25EC</t>
  </si>
  <si>
    <t>AP-601</t>
  </si>
  <si>
    <t>Banana, Rice</t>
  </si>
  <si>
    <t>Sigatoka, Sheath blight</t>
  </si>
  <si>
    <t>Banana | Sigatoka | 1 ml/L of water
Rice | Sheath blight | 1.00 L/ha</t>
  </si>
  <si>
    <t>Proud 25EC</t>
  </si>
  <si>
    <t>AP-609</t>
  </si>
  <si>
    <t>Banana, Wheat, Tea, Rice, Chili</t>
  </si>
  <si>
    <t>Sigatoka, Rust Leaf Blight, Red rust disease, Sheath blight, Anthracnose</t>
  </si>
  <si>
    <t>1 ml/L of water; 750 ml/ha; 1.00 L/ha; 0.5 ml/L of water</t>
  </si>
  <si>
    <t>Banana | Sigatoka | 1 ml/L of water
Wheat | Rust Leaf Blight | 1 ml/L of water
Tea | Red rust disease | 750 ml/ha
Rice | Sheath blight | 1.00 L/ha
Chili | Anthracnose | 0.5 ml/L of water</t>
  </si>
  <si>
    <t>Steel 250EC</t>
  </si>
  <si>
    <t>AP-666</t>
  </si>
  <si>
    <t>Mango, Banana, Rice</t>
  </si>
  <si>
    <t>Anthracnose/Sigatoka, Sigatoka, Sheath blight</t>
  </si>
  <si>
    <t>Mango | Anthracnose/Sigatoka | 1 ml/L of water
Banana | Sigatoka | 1 ml/L of water
Rice | Sheath blight | 1.00 L/ha</t>
  </si>
  <si>
    <t>Green Care 250EC</t>
  </si>
  <si>
    <t>AP-667</t>
  </si>
  <si>
    <t>Wheat, Rice, Banana</t>
  </si>
  <si>
    <t>Rust, Sheath blight, Sigatoka</t>
  </si>
  <si>
    <t>1 ml/L of water; 1.00 L/ha; 0.5 ml/L of water</t>
  </si>
  <si>
    <t>Wheat | Rust | 1 ml/L of water
Rice | Sheath blight | 1.00 L/ha
Banana | Sigatoka | 0.5 ml/L of water</t>
  </si>
  <si>
    <t>Sungold 250EC</t>
  </si>
  <si>
    <t>AP-710</t>
  </si>
  <si>
    <t>Proven 250EC</t>
  </si>
  <si>
    <t>AP-714</t>
  </si>
  <si>
    <t>Propicon 250EC</t>
  </si>
  <si>
    <t>AP-719</t>
  </si>
  <si>
    <t>Banana, Mango, Rice, Wheat</t>
  </si>
  <si>
    <t>Sigatoka, Powdery mildew and Anthracnose, Sheath blight, Leaf blight</t>
  </si>
  <si>
    <t>1 ml/L of water; 0.5 ml/L of water; 1.00 L/ha</t>
  </si>
  <si>
    <t>Banana | Sigatoka | 1 ml/L of water
Mango | Powdery mildew and Anthracnose | 0.5 ml/L of water
Rice | Sheath blight | 1.00 L/ha
Wheat | Leaf blight | 0.5 ml/L of water</t>
  </si>
  <si>
    <t>Mimgold 25EC</t>
  </si>
  <si>
    <t>AP-857</t>
  </si>
  <si>
    <t>Shadid 250EC</t>
  </si>
  <si>
    <t>AP-860</t>
  </si>
  <si>
    <t>0.5 ml/L of water; 1.00 L/ha</t>
  </si>
  <si>
    <t>Banana | Sigatoka | 0.5 ml/L of water
Rice | Sheath blight | 1.00 L/ha</t>
  </si>
  <si>
    <t>Tide 250EC</t>
  </si>
  <si>
    <t>AP-862</t>
  </si>
  <si>
    <t>Powdery mildew, Anthracnose, Sigatoka</t>
  </si>
  <si>
    <t>Mango | Powdery mildew, Anthracnose | 0.5 ml/L of water
Banana | Sigatoka | 1 ml/L of water</t>
  </si>
  <si>
    <t>Royal 25EC</t>
  </si>
  <si>
    <t>AP-918</t>
  </si>
  <si>
    <t>Fungizole 250EC</t>
  </si>
  <si>
    <t>AP-966</t>
  </si>
  <si>
    <t>Tomato, Ground nut</t>
  </si>
  <si>
    <t>Early &amp; Late blight, Tikka</t>
  </si>
  <si>
    <t>Tomato | Early &amp; Late blight | 0.5 ml/L of water
Ground nut | Tikka | 0.5 ml/L of water</t>
  </si>
  <si>
    <t>Sunconazole 250EC</t>
  </si>
  <si>
    <t>AP-986</t>
  </si>
  <si>
    <t>Mango, Rice, Banana, Wheat</t>
  </si>
  <si>
    <t>Anthracnose, Sheath blight, Sigatoka, Leaf rust</t>
  </si>
  <si>
    <t>2 ml/L of water; 1.00 L/ha; 0.5 ml/L of water</t>
  </si>
  <si>
    <t>Mango | Anthracnose | 2 ml/L of water
Rice | Sheath blight | 1.00 L/ha
Banana | Sigatoka | 0.5 ml/L of water
Wheat | Leaf rust | 0.5 ml/L of water</t>
  </si>
  <si>
    <t>Strike 250EC</t>
  </si>
  <si>
    <t>AP-1091</t>
  </si>
  <si>
    <t>Popi 25EC</t>
  </si>
  <si>
    <t>AP-1095</t>
  </si>
  <si>
    <t>Wheat, Ground nut</t>
  </si>
  <si>
    <t>Bipolaries leaf blight, Tikka</t>
  </si>
  <si>
    <t>Wheat | Bipolaries leaf blight | 0.5 ml/L of water
Ground nut | Tikka | 0.5 ml/L of water</t>
  </si>
  <si>
    <t>Hit 25EC</t>
  </si>
  <si>
    <t>AP-1117</t>
  </si>
  <si>
    <t>Potent 250EC</t>
  </si>
  <si>
    <t>AP-1143</t>
  </si>
  <si>
    <t>Wheat, Rice</t>
  </si>
  <si>
    <t>Bipolaries leaf blight, Sheath blight</t>
  </si>
  <si>
    <t>Wheat | Bipolaries leaf blight | 0.5 ml/L of water
Rice | Sheath blight | 1.00 L/ha</t>
  </si>
  <si>
    <t>Treat 25EC</t>
  </si>
  <si>
    <t>AP-1198</t>
  </si>
  <si>
    <t>Conazole 25EC</t>
  </si>
  <si>
    <t>AP-1264</t>
  </si>
  <si>
    <t>Popizole 250EC</t>
  </si>
  <si>
    <t>AP-1265</t>
  </si>
  <si>
    <t>Sigatoka, Leaf scald</t>
  </si>
  <si>
    <t>0.5 ml/L of water; 188 ml/ha</t>
  </si>
  <si>
    <t>Banana | Sigatoka | 0.5 ml/L of water
Rice | Leaf scald | 188 ml/ha</t>
  </si>
  <si>
    <t>Remedy 25EC</t>
  </si>
  <si>
    <t>AP-1308</t>
  </si>
  <si>
    <t>Tea, Mango, Banana, Jute</t>
  </si>
  <si>
    <t>Red rust, Die back, Black rot, Anthracnose, Sigatoka, Stem rot</t>
  </si>
  <si>
    <t>750 ml/L of water; 0.5 ml/L of water; 750 ml/ha</t>
  </si>
  <si>
    <t>Tea | Red rust, Die back, Black rot | 750 ml/L of water
Mango | Anthracnose | 0.5 ml/L of water
Banana | Sigatoka | 0.5 ml/L of water
Jute | Stem rot | 750 ml/ha</t>
  </si>
  <si>
    <t>CP-Zole 25EC</t>
  </si>
  <si>
    <t>AP-1351</t>
  </si>
  <si>
    <t>Bean, Chili, Wheat, Bettle Vine</t>
  </si>
  <si>
    <t>Anthracnose, Leaf rust, Leaf rot, Vine rot &amp; Blight</t>
  </si>
  <si>
    <t>Bean | Anthracnose | 0.5 ml/L of water
Chili | Anthracnose | 0.5 ml/L of water
Wheat | Leaf rust | 0.5 ml/L of water
Bettle Vine | Leaf rot, Vine rot &amp; Blight | 0.5 ml/L of water</t>
  </si>
  <si>
    <t>Bicopizole 250EC</t>
  </si>
  <si>
    <t>AP-1353</t>
  </si>
  <si>
    <t>Bean, Chili, Wheat, Mango</t>
  </si>
  <si>
    <t>Bean | Anthracnose | 0.5 ml/L of water
Chili | Anthracnose | 0.5 ml/L of water
Wheat | Late blight | 0.5 ml/L of water
Mango | Anthracnose | 0.5 ml/L of water</t>
  </si>
  <si>
    <t>Avance 25EC</t>
  </si>
  <si>
    <t>AP-1358</t>
  </si>
  <si>
    <t>Chili, Banana, Betel vine, Ground nut</t>
  </si>
  <si>
    <t>Anthracnose, Sigatoka, Leaf rot, Vine rot &amp; Blight, Powdery mildew</t>
  </si>
  <si>
    <t>Chili | Anthracnose | 0.5 ml/L of water
Banana | Sigatoka | 0.5 ml/L of water
Betel vine | Leaf rot, Vine rot &amp; Blight | 0.5 ml/L of water
Ground nut | Powdery mildew | 1 ml/L of water</t>
  </si>
  <si>
    <t>Suprazol 25EC</t>
  </si>
  <si>
    <t>AP-1359</t>
  </si>
  <si>
    <t>Chili, Mango, Wheat</t>
  </si>
  <si>
    <t>Anthracnose, Powdery mildew, Powdery mildew, Leaf rust</t>
  </si>
  <si>
    <t>Chili | Anthracnose, Powdery mildew | 0.5 ml/L of water
Mango | Powdery mildew | 0.5 ml/L of water
Wheat | Leaf rust | 0.5 ml/L of water</t>
  </si>
  <si>
    <t>Amazole 25EC</t>
  </si>
  <si>
    <t>AP-1497</t>
  </si>
  <si>
    <t>Mango, Rice, Onion, Banana</t>
  </si>
  <si>
    <t>Anthracnose, Sheath blight, Purple blotch, Sigatoka</t>
  </si>
  <si>
    <t>0.5 ml/L of water; 1.00 L/ha; 1 ml/Lof water</t>
  </si>
  <si>
    <t>Mango | Anthracnose | 0.5 ml/L of water
Rice | Sheath blight | 1.00 L/ha
Onion | Purple blotch | 1 ml/Lof water
Banana | Sigatoka | 0.5 ml/L of water</t>
  </si>
  <si>
    <t>Lily Conazole 25EC</t>
  </si>
  <si>
    <t>AP-1499</t>
  </si>
  <si>
    <t>1 ml/Lof water</t>
  </si>
  <si>
    <t>Chili | Anthracnose | 1 ml/Lof water</t>
  </si>
  <si>
    <t>Tall 25EC</t>
  </si>
  <si>
    <t>AP-1501</t>
  </si>
  <si>
    <t>Ground nut, Banana</t>
  </si>
  <si>
    <t>Leaf rust, Sigatoka</t>
  </si>
  <si>
    <t>Ground nut | Leaf rust | 0.5 ml/L of water
Banana | Sigatoka | 0.5 ml/L of water</t>
  </si>
  <si>
    <t>Seazole 250EC</t>
  </si>
  <si>
    <t>AP-1586</t>
  </si>
  <si>
    <t>Popiron 25EC</t>
  </si>
  <si>
    <t>AP-1588</t>
  </si>
  <si>
    <t>Aristozole 250EC</t>
  </si>
  <si>
    <t>AP-1625</t>
  </si>
  <si>
    <t>Marshal Agrovet Chemical Industries Ltd.</t>
  </si>
  <si>
    <t>Wheat, Banana</t>
  </si>
  <si>
    <t>0.5 ml/L of water; 1 ml/Lof water</t>
  </si>
  <si>
    <t>Wheat | Leaf rust | 0.5 ml/L of water
Banana | Sigatoka | 1 ml/Lof water</t>
  </si>
  <si>
    <t>Apiconazole 250 EC</t>
  </si>
  <si>
    <t>AP-1860</t>
  </si>
  <si>
    <t>Die back, Black rot, Red rot</t>
  </si>
  <si>
    <t>Tea | Die back, Black rot, Red rot | 750 ml/ha</t>
  </si>
  <si>
    <t>Safegaurd 250EC</t>
  </si>
  <si>
    <t>AP-2300</t>
  </si>
  <si>
    <t>Mighter 25EC</t>
  </si>
  <si>
    <t>AP-2504</t>
  </si>
  <si>
    <t>Cucurbit | Powder mildew | 0.5 ml/L of water</t>
  </si>
  <si>
    <t>Superzole 250EC</t>
  </si>
  <si>
    <t>AP-2605</t>
  </si>
  <si>
    <t>Tea | Black rot, Die back | 750 ml/ha</t>
  </si>
  <si>
    <t>Rexicon 25EC</t>
  </si>
  <si>
    <t>AP-3093</t>
  </si>
  <si>
    <t>Die back, Black rot, Red rust</t>
  </si>
  <si>
    <t>Tea | Die back, Black rot, Red rust | 750 ml/ha</t>
  </si>
  <si>
    <t>Prompt 25EC</t>
  </si>
  <si>
    <t>AP-3094</t>
  </si>
  <si>
    <t>Tea, Wheat</t>
  </si>
  <si>
    <t>Die back, Black rot, Red rust, Brown spot</t>
  </si>
  <si>
    <t>Tea | Die back, Black rot, Red rust | 750 ml/ha
Wheat | Brown spot | 0.5 ml/L of water</t>
  </si>
  <si>
    <t>Rentazole 25EC</t>
  </si>
  <si>
    <t>AP-4685</t>
  </si>
  <si>
    <t>Sweet gourd | Powder mildew | 0.5 ml/L of water</t>
  </si>
  <si>
    <t>Propiconazole (12.5%) + Tricyclzole (40%)</t>
  </si>
  <si>
    <t>Filia 52.5SE</t>
  </si>
  <si>
    <t>AP-2313</t>
  </si>
  <si>
    <t>Rice | Blast | 1.00 L/ha</t>
  </si>
  <si>
    <t>D-Zole 52.5EC</t>
  </si>
  <si>
    <t>AP-2776</t>
  </si>
  <si>
    <t>Die Back, Black rot</t>
  </si>
  <si>
    <t>Tea | Die Back, Black rot | 750 ml/ha</t>
  </si>
  <si>
    <t>Lyca 52.5SE</t>
  </si>
  <si>
    <t>AP-5420</t>
  </si>
  <si>
    <t>1.5 ml/L of water</t>
  </si>
  <si>
    <t>Sweet gourd | Powdery mildew | 1.5 ml/L of water</t>
  </si>
  <si>
    <t>Propiconazole (15.5%) +</t>
  </si>
  <si>
    <t>Dhumketu 36EC</t>
  </si>
  <si>
    <t>AP-4686</t>
  </si>
  <si>
    <t>Tea | Die Back, Black rot | 500 gm/ha</t>
  </si>
  <si>
    <t>Difenoconazole (15.5%) +</t>
  </si>
  <si>
    <t>Dunga 36EC</t>
  </si>
  <si>
    <t>AP-5043</t>
  </si>
  <si>
    <t>Tea | Die back | 500 ml/ha</t>
  </si>
  <si>
    <t>Tebuconazole (5%)</t>
  </si>
  <si>
    <t>Threezole 36EC</t>
  </si>
  <si>
    <t>AP-5421</t>
  </si>
  <si>
    <t>Seed Link Limited</t>
  </si>
  <si>
    <t>Tebuconazole (10%) + Fenamistrobin 10%)</t>
  </si>
  <si>
    <t>Aiker 20SC</t>
  </si>
  <si>
    <t>AP-5434</t>
  </si>
  <si>
    <t>Difenoconazole (20%) + Penconazole (10%)</t>
  </si>
  <si>
    <t>Batol 30EC</t>
  </si>
  <si>
    <t>AP-4688</t>
  </si>
  <si>
    <t>0.2 ml/L of water</t>
  </si>
  <si>
    <t>Onion | Purple blotch | 0.2 ml/L of water</t>
  </si>
  <si>
    <t>Tabia 30EC</t>
  </si>
  <si>
    <t>AP-5111</t>
  </si>
  <si>
    <t>Chilli | Anthracnose | 0.2 ml/L of water</t>
  </si>
  <si>
    <t>Difenoconazole (30.00%) + Kresoxmmethyl (10.00%)</t>
  </si>
  <si>
    <t>Manson 40WDG</t>
  </si>
  <si>
    <t>AP-5807</t>
  </si>
  <si>
    <t>1.50 g/L of water</t>
  </si>
  <si>
    <t>Sweet gourd | 1.50 g/L of water | 1 ml/L of water</t>
  </si>
  <si>
    <t>Propineb</t>
  </si>
  <si>
    <t>Antracol 70WP</t>
  </si>
  <si>
    <t>AP-487</t>
  </si>
  <si>
    <t>Potato, Onion, Tea</t>
  </si>
  <si>
    <t>Late blight, Purple blotch, Die back, Black rot, Red rust</t>
  </si>
  <si>
    <t>2.47 kg/ha; 1.00 kg/ha; 2 kg/Lof water</t>
  </si>
  <si>
    <t>Potato | Late blight | 2.47 kg/ha
Onion | Purple blotch | 1.00 kg/ha
Tea | Die back, Black rot, Red rust | 2 kg/Lof water</t>
  </si>
  <si>
    <t>Top-Notch 70WP</t>
  </si>
  <si>
    <t>AP-2115</t>
  </si>
  <si>
    <t>Tomato, Onion, Potato</t>
  </si>
  <si>
    <t>Early &amp; Late Blight, Purple blotch, Late Blight</t>
  </si>
  <si>
    <t>150-250 g/ha; 1.00 kg/ha; 2 g/L of water</t>
  </si>
  <si>
    <t>Tomato | Early &amp; Late Blight | 150-250 g/ha
Onion | Purple blotch | 1.00 kg/ha
Potato | Late Blight | 2 g/L of water</t>
  </si>
  <si>
    <t>Etacol 70WP</t>
  </si>
  <si>
    <t>AP-2116</t>
  </si>
  <si>
    <t>East West Crop Science Ltd</t>
  </si>
  <si>
    <t>Late Blight</t>
  </si>
  <si>
    <t>Potato | Late Blight | 2 g/L of water</t>
  </si>
  <si>
    <t>Larneb 70WP</t>
  </si>
  <si>
    <t>AP-2117</t>
  </si>
  <si>
    <t>Potato, Tea</t>
  </si>
  <si>
    <t>Late Blight, Black rot, Red rust</t>
  </si>
  <si>
    <t>2 g/L of water; 2.00 Kg/ha</t>
  </si>
  <si>
    <t>Potato | Late Blight | 2 g/L of water
Tea | Black rot, Red rust | 2.00 Kg/ha</t>
  </si>
  <si>
    <t>Oracol 70WP</t>
  </si>
  <si>
    <t>AP-4243</t>
  </si>
  <si>
    <t>Quash 70WP</t>
  </si>
  <si>
    <t>AP-4244</t>
  </si>
  <si>
    <t>Preneb 70WP</t>
  </si>
  <si>
    <t>AP-5100</t>
  </si>
  <si>
    <t>Chilli, Potato</t>
  </si>
  <si>
    <t>Amthacnose, Late blight</t>
  </si>
  <si>
    <t>Chilli | Amthacnose | 2 g/L of water
Potato | Late blight | 2 g/L of water</t>
  </si>
  <si>
    <t>Propineb (70%) + Cymoxanil (6%)</t>
  </si>
  <si>
    <t>Nister 76WP</t>
  </si>
  <si>
    <t>AP-5385</t>
  </si>
  <si>
    <t>Propineb (61.3%) + Iprovalicarb (5.5%)</t>
  </si>
  <si>
    <t>Melody Duo 66.8WP</t>
  </si>
  <si>
    <t>AP-501</t>
  </si>
  <si>
    <t>Pyraclostrobin (5%) + Metiram (55%)</t>
  </si>
  <si>
    <t>Cabrio Top</t>
  </si>
  <si>
    <t>AP-1770</t>
  </si>
  <si>
    <t>Rice, Potato, Banana, Mango, Cucurbit</t>
  </si>
  <si>
    <t>Sheath blight, Late blight, Sigatoka, Anthracnose, Powdery mildew</t>
  </si>
  <si>
    <t>1.5 kg/ha; 1.50 g/Lof water; 3 g/lLof water; 1 g/L of water; 3 g/L of water</t>
  </si>
  <si>
    <t>Rice | Sheath blight | 1.5 kg/ha
Potato | Late blight | 1.50 g/Lof water
Banana | Sigatoka | 3 g/lLof water
Mango | Anthracnose | 1 g/L of water
Cucurbit | Powdery mildew | 3 g/L of water</t>
  </si>
  <si>
    <t>Legasus 60WG</t>
  </si>
  <si>
    <t>AP-3140</t>
  </si>
  <si>
    <t>3 g/L of water</t>
  </si>
  <si>
    <t>Potato | Late blight | 3 g/L of water
Cucurbits | Powdery mildew | 3 g/L of water</t>
  </si>
  <si>
    <t>Metrobin 60WG</t>
  </si>
  <si>
    <t>AP-5422</t>
  </si>
  <si>
    <t>Die Back, Late blight</t>
  </si>
  <si>
    <t>500 gm/ha; 750 gm/ha</t>
  </si>
  <si>
    <t>Tea | Die Back | 500 gm/ha
Potato | Late blight | 750 gm/ha</t>
  </si>
  <si>
    <t>Metop 60WP</t>
  </si>
  <si>
    <t>AP-5618</t>
  </si>
  <si>
    <t>Potato | Late blight | 0.5 g/L of water</t>
  </si>
  <si>
    <t>Quaternary Ammonium</t>
  </si>
  <si>
    <t>Timsen</t>
  </si>
  <si>
    <t>AP-806</t>
  </si>
  <si>
    <t>Potato, Tea, Tomato, Brinjal</t>
  </si>
  <si>
    <t>Late blight, Red rust, Early and Late blight, Wilt</t>
  </si>
  <si>
    <t>1 g/L of water; 500 gm/ha; 2 g/L of water</t>
  </si>
  <si>
    <t>Potato | Late blight | 1 g/L of water
Tea | Red rust | 500 gm/ha
Tomato | Early and Late blight | 2 g/L of water
Brinjal | Wilt | 1 g/L of water</t>
  </si>
  <si>
    <t>FRAC NC</t>
  </si>
  <si>
    <t>Streptomycin Sulphate (9%) + Tetracycline Hydrochloride (1%)</t>
  </si>
  <si>
    <t>Antibac 10SP</t>
  </si>
  <si>
    <t>AP-3633</t>
  </si>
  <si>
    <t>Bacterial Wilt</t>
  </si>
  <si>
    <t>Brinjal | Bacterial Wilt | 0.5 ml/L of water</t>
  </si>
  <si>
    <t>FRAC 25</t>
  </si>
  <si>
    <t>Dibectaria 10SP</t>
  </si>
  <si>
    <t>AP-3634</t>
  </si>
  <si>
    <t>Tomato | Bacterial Wilt | 0.5 ml/L of water</t>
  </si>
  <si>
    <t>Platomycin 10SP</t>
  </si>
  <si>
    <t>AP-5423</t>
  </si>
  <si>
    <t>Bacterial Blight</t>
  </si>
  <si>
    <t>Brinjal | Bacterial Blight | 0.5 g/L of water</t>
  </si>
  <si>
    <t>Crystomycin 10SP</t>
  </si>
  <si>
    <t>AP-5424</t>
  </si>
  <si>
    <t>Streptomycin Sulphate (72%)</t>
  </si>
  <si>
    <t>Baha 72SP</t>
  </si>
  <si>
    <t>AP-4724</t>
  </si>
  <si>
    <t>0.2 g/L of water</t>
  </si>
  <si>
    <t>Tomato | Wilt | 0.2 g/L of water</t>
  </si>
  <si>
    <t>Tebuconazole (25%)</t>
  </si>
  <si>
    <t>Suprime 250EW</t>
  </si>
  <si>
    <t>AP-1348</t>
  </si>
  <si>
    <t>Cucurbits | Powdery mildew | 1 g/L of water</t>
  </si>
  <si>
    <t>Folicur 25EC</t>
  </si>
  <si>
    <t>AP-1776</t>
  </si>
  <si>
    <t>Defender 250EC</t>
  </si>
  <si>
    <t>AP-2788</t>
  </si>
  <si>
    <t>Banana, Tea, Onion, Rice</t>
  </si>
  <si>
    <t>Sigatoka, Red rust, Purple blotch, Sheath blight</t>
  </si>
  <si>
    <t>0.5 ml/L of water; 500 ml/ha; 2 g/L of water</t>
  </si>
  <si>
    <t>Banana | Sigatoka | 0.5 ml/L of water
Tea | Red rust | 500 ml/ha
Onion | Purple blotch | 2 g/L of water
Rice | Sheath blight | 500 ml/ha</t>
  </si>
  <si>
    <t>Velimax 25EW</t>
  </si>
  <si>
    <t>AP-4246</t>
  </si>
  <si>
    <t>Mango | Anthracnose | 1 g/L of water
Chilli | Anthracnose | 1 g/L of water</t>
  </si>
  <si>
    <t>Terzole 25WP</t>
  </si>
  <si>
    <t>AP-4247</t>
  </si>
  <si>
    <t>Sweet guard | Powdery mildew | 1 g/L of water</t>
  </si>
  <si>
    <t>Beszole 25EC</t>
  </si>
  <si>
    <t>AP-4698</t>
  </si>
  <si>
    <t>Otizole 25EC</t>
  </si>
  <si>
    <t>AP-5068</t>
  </si>
  <si>
    <t>Coraza 25EC</t>
  </si>
  <si>
    <t>AP-5069</t>
  </si>
  <si>
    <t>Tebuconazole (50%) + Trifloxystrobin (25%)</t>
  </si>
  <si>
    <t>Nativo 75WG</t>
  </si>
  <si>
    <t>AP-1502</t>
  </si>
  <si>
    <t>Banana, Rice, Onion, Mango, Chilli, Tea</t>
  </si>
  <si>
    <t>Sigatoka, Sheath blight, Blast, Purple blotch, Anthracnose, Red rust</t>
  </si>
  <si>
    <t>0.5 g/L of water; 200 gm/ha; 300 gm/ha; 500 gm/ha</t>
  </si>
  <si>
    <t>Banana | Sigatoka | 0.5 g/L of water
Rice | Sheath blight | 200 gm/ha
Rice | Blast | 300 gm/ha
Onion | Purple blotch | 200 gm/ha
Mango | Anthracnose | 0.5 g/L of water
Chilli | Anthracnose | 0.5 g/L of water
Tea | Red rust | 500 gm/ha</t>
  </si>
  <si>
    <t>Volvo 75WG</t>
  </si>
  <si>
    <t>AP-3914</t>
  </si>
  <si>
    <t>Tatavo 75WG</t>
  </si>
  <si>
    <t>AP-3915</t>
  </si>
  <si>
    <t>Palki 75WG</t>
  </si>
  <si>
    <t>AP-3916</t>
  </si>
  <si>
    <t>Tea, Rice, Mango</t>
  </si>
  <si>
    <t>Red rust, Die back, Black rot, Sheath blight, Anthracnose</t>
  </si>
  <si>
    <t>500 gm/ha; 200 gm/ha; 0.5 g/L of water</t>
  </si>
  <si>
    <t>Tea | Red rust, Die back, Black rot | 500 gm/ha
Rice | Sheath blight | 200 gm/ha
Mango | Anthracnose | 0.5 g/L of water</t>
  </si>
  <si>
    <t>Propel 75WG</t>
  </si>
  <si>
    <t>AP-4219</t>
  </si>
  <si>
    <t>Tea, Mango, Onion, Chilli</t>
  </si>
  <si>
    <t>Red rust, Die back, Black rot, Anthracnose, Purple blotch</t>
  </si>
  <si>
    <t>500 gm/ha; 0.5 ml/L of water</t>
  </si>
  <si>
    <t>Tea | Red rust, Die back, Black rot | 500 gm/ha
Mango | Anthracnose | 0.5 ml/L of water
Onion | Purple blotch | 0.5 ml/L of water
Chilli | Anthracnose | 0.5 ml/L of water</t>
  </si>
  <si>
    <t>Dimension 75WP</t>
  </si>
  <si>
    <t>AP-4220</t>
  </si>
  <si>
    <t>Onion | Purple blotch | 0.5 ml/L of water</t>
  </si>
  <si>
    <t>Tynova 75WG</t>
  </si>
  <si>
    <t>AP-4221</t>
  </si>
  <si>
    <t>Cucurbits | Powdery mildew | 0.5 ml/L of water</t>
  </si>
  <si>
    <t>Lilivo 75WG</t>
  </si>
  <si>
    <t>AP-4222</t>
  </si>
  <si>
    <t>Lily Traders</t>
  </si>
  <si>
    <t>Norbin 75WG</t>
  </si>
  <si>
    <t>AP-4223</t>
  </si>
  <si>
    <t>Luxvito 75WG</t>
  </si>
  <si>
    <t>AP-4224</t>
  </si>
  <si>
    <t>Tea | Die back, Black rot | 500 gm/ha</t>
  </si>
  <si>
    <t>Amatil 75WG</t>
  </si>
  <si>
    <t>AP-4226</t>
  </si>
  <si>
    <t>Grade-1 75WG</t>
  </si>
  <si>
    <t>AP-4227</t>
  </si>
  <si>
    <t>Die back, Black rot, Sheath blight</t>
  </si>
  <si>
    <t>500 gm/ha; 1 g/L of water</t>
  </si>
  <si>
    <t>Tea | Die back, Black rot | 500 gm/ha
Rice | Sheath blight | 1 g/L of water</t>
  </si>
  <si>
    <t>Mactivo 75WG</t>
  </si>
  <si>
    <t>AP-4228</t>
  </si>
  <si>
    <t>Blast, Sheath blight</t>
  </si>
  <si>
    <t>500 gm/ha; 300 gm/ha</t>
  </si>
  <si>
    <t>Rice | Blast | 500 gm/ha
Rice | Sheath blight | 300 gm/ha</t>
  </si>
  <si>
    <t>Luxabin 75WG</t>
  </si>
  <si>
    <t>AP-4662</t>
  </si>
  <si>
    <t>Luxury Crop Care</t>
  </si>
  <si>
    <t>Tea | Die back | 500 gm/ha</t>
  </si>
  <si>
    <t>Absotip 75WG</t>
  </si>
  <si>
    <t>AP-4663</t>
  </si>
  <si>
    <t>Die back, Stem rot</t>
  </si>
  <si>
    <t>500 gm/ha; 6 g/10 L of water</t>
  </si>
  <si>
    <t>Tea | Die back | 500 gm/ha
Jute | Stem rot | 6 g/10 L of water</t>
  </si>
  <si>
    <t>Wellrounder 75WDG</t>
  </si>
  <si>
    <t>AP-4664</t>
  </si>
  <si>
    <t>Die back, Purple blotch</t>
  </si>
  <si>
    <t>500 gm/ha; 0.5g/L of water</t>
  </si>
  <si>
    <t>Tea | Die back | 500 gm/ha
Onion | Purple blotch | 0.5g/L of water</t>
  </si>
  <si>
    <t>Alivo 75WG</t>
  </si>
  <si>
    <t>AP-4665</t>
  </si>
  <si>
    <t>Agro Link BD.</t>
  </si>
  <si>
    <t>500 gm/ha; 0.5 g/L of water</t>
  </si>
  <si>
    <t>Tea | Die back | 500 gm/ha
Onion | Purple blotch | 0.5 g/L of water</t>
  </si>
  <si>
    <t>Opponent 75WG</t>
  </si>
  <si>
    <t>AP-4666</t>
  </si>
  <si>
    <t>Tea, Onion, Rice</t>
  </si>
  <si>
    <t>Die back, Purple blotch, Sheath blight, Blast</t>
  </si>
  <si>
    <t>500 gm/ha; 0.5 g/L of water; 200 gm/ha; 300 gm/ha</t>
  </si>
  <si>
    <t>Tea | Die back | 500 gm/ha
Onion | Purple blotch | 0.5 g/L of water
Rice | Sheath blight | 200 gm/ha
Rice | Blast | 300 gm/ha</t>
  </si>
  <si>
    <t>Factiva 75WP</t>
  </si>
  <si>
    <t>AP-4667</t>
  </si>
  <si>
    <t>Suntibo 75WG</t>
  </si>
  <si>
    <t>AP-4668</t>
  </si>
  <si>
    <t>KB Zole 75WG</t>
  </si>
  <si>
    <t>AP-4669</t>
  </si>
  <si>
    <t>Tea | Die back | 500 gm/ha
Tomato | Wilt | 0.5 g/L of water</t>
  </si>
  <si>
    <t>Tebutrin 75WG</t>
  </si>
  <si>
    <t>AP-4670</t>
  </si>
  <si>
    <t>SB Sativo 75WG</t>
  </si>
  <si>
    <t>AP-4671</t>
  </si>
  <si>
    <t>Net 75WG</t>
  </si>
  <si>
    <t>AP-4672</t>
  </si>
  <si>
    <t>Digivo 75WG</t>
  </si>
  <si>
    <t>AP-4673</t>
  </si>
  <si>
    <t>Digital Agricultural Industries Ltd.</t>
  </si>
  <si>
    <t>Die back, Blast</t>
  </si>
  <si>
    <t>Tea | Die back | 500 gm/ha
Rice | Blast | 300 gm/ha</t>
  </si>
  <si>
    <t>McVo 75WG</t>
  </si>
  <si>
    <t>AP-4674</t>
  </si>
  <si>
    <t>Sweet gourd, Onion, Rice</t>
  </si>
  <si>
    <t>Powdery mildew, Purple blotch, Sheath blight, Blast</t>
  </si>
  <si>
    <t>0.5 ml/L of water; 0.5 g/L of water; 300 gm/ha</t>
  </si>
  <si>
    <t>Sweet gourd | Powdery mildew | 0.5 ml/L of water
Onion | Purple blotch | 0.5 g/L of water
Rice | Sheath blight | 0.5 g/L of water
Rice | Blast | 300 gm/ha</t>
  </si>
  <si>
    <t>Tapaz 75WG</t>
  </si>
  <si>
    <t>AP-4675</t>
  </si>
  <si>
    <t>Sweet gourd | Powdery mildew | 0.5 ml/L of water</t>
  </si>
  <si>
    <t>Tornado 75WG</t>
  </si>
  <si>
    <t>AP-4676</t>
  </si>
  <si>
    <t>Atherton Imbross Company Ltd.</t>
  </si>
  <si>
    <t>Totka 75WG</t>
  </si>
  <si>
    <t>AP-4677</t>
  </si>
  <si>
    <t>Tanja 75WG</t>
  </si>
  <si>
    <t>AP-4678</t>
  </si>
  <si>
    <t>Bingo 75WG</t>
  </si>
  <si>
    <t>AP-4679</t>
  </si>
  <si>
    <t>Karivo 75WG</t>
  </si>
  <si>
    <t>AP-5070</t>
  </si>
  <si>
    <t>Nasib 75WG</t>
  </si>
  <si>
    <t>AP-5071</t>
  </si>
  <si>
    <t>L.Vo 75WG</t>
  </si>
  <si>
    <t>AP-5072</t>
  </si>
  <si>
    <t>Fixer 75WG</t>
  </si>
  <si>
    <t>AP-5073</t>
  </si>
  <si>
    <t>R-Vo 75WDG</t>
  </si>
  <si>
    <t>AP-5074</t>
  </si>
  <si>
    <t>Marivo 75WDG</t>
  </si>
  <si>
    <t>AP-5075</t>
  </si>
  <si>
    <t>Porcha 75WG</t>
  </si>
  <si>
    <t>AP-5076</t>
  </si>
  <si>
    <t>Tea | Die Back | 500 gm/ha</t>
  </si>
  <si>
    <t>Tecobin 75WG</t>
  </si>
  <si>
    <t>AP-5077</t>
  </si>
  <si>
    <t>Die Back, Purple blotch</t>
  </si>
  <si>
    <t>Tea | Die Back | 500 gm/ha
Onion | Purple blotch | 0.5 g/L of water</t>
  </si>
  <si>
    <t>Isabel 75WDG</t>
  </si>
  <si>
    <t>AP-5078</t>
  </si>
  <si>
    <t>Super Crop Care Ltd.</t>
  </si>
  <si>
    <t>Monovo 75WG</t>
  </si>
  <si>
    <t>AP-5079</t>
  </si>
  <si>
    <t>Keyatov 75WG</t>
  </si>
  <si>
    <t>AP-5080</t>
  </si>
  <si>
    <t>Nafis Crop Care</t>
  </si>
  <si>
    <t>Tea, Onion, Sweet gourd</t>
  </si>
  <si>
    <t>Die Back, Purple blotch, Powder mildew</t>
  </si>
  <si>
    <t>Tea | Die Back | 500 gm/ha
Onion | Purple blotch | 0.5 g/L of water
Sweet gourd | Powder mildew | 0.5 g/L of water</t>
  </si>
  <si>
    <t>Blastin 75WDG</t>
  </si>
  <si>
    <t>AP-5082</t>
  </si>
  <si>
    <t>Die Back, BPH</t>
  </si>
  <si>
    <t>Tea | Die Back | 500 gm/ha
Rice | BPH | 300 gm/ha</t>
  </si>
  <si>
    <t>Pazobin 75WDG</t>
  </si>
  <si>
    <t>AP-5083</t>
  </si>
  <si>
    <t>Babyzol 75WDG</t>
  </si>
  <si>
    <t>AP-5084</t>
  </si>
  <si>
    <t>Ricovo 75WDG</t>
  </si>
  <si>
    <t>AP-5085</t>
  </si>
  <si>
    <t>Allright 75WG</t>
  </si>
  <si>
    <t>AP-5086</t>
  </si>
  <si>
    <t>200 gm/ha; 300 gm/ha</t>
  </si>
  <si>
    <t>Rice | Sheath blight | 200 gm/ha
Rice | Blast | 300 gm/ha</t>
  </si>
  <si>
    <t>Tebubin 75WG</t>
  </si>
  <si>
    <t>AP-5425</t>
  </si>
  <si>
    <t>Tea | Die Back | 500 gm/ha
Sweet gourd | Powdery mildew | 0.5 g/L of water</t>
  </si>
  <si>
    <t>Rainer 75WDG</t>
  </si>
  <si>
    <t>AP-5427</t>
  </si>
  <si>
    <t>Tomato, Swee gourd</t>
  </si>
  <si>
    <t>Tomato | Wilt | 0.5 g/L of water
Swee gourd | Powdery mildew | 0.5 g/L of water</t>
  </si>
  <si>
    <t>Pinazole 75WP</t>
  </si>
  <si>
    <t>AP-5428</t>
  </si>
  <si>
    <t>Swee gourd</t>
  </si>
  <si>
    <t>Swee gourd | Powdery mildew | 0.5 g/L of water</t>
  </si>
  <si>
    <t>DNA 75WG</t>
  </si>
  <si>
    <t>AP-5429</t>
  </si>
  <si>
    <t>Tetricyp 75WDG</t>
  </si>
  <si>
    <t>AP-5430</t>
  </si>
  <si>
    <t>Valen 75WDG</t>
  </si>
  <si>
    <t>AP-5431</t>
  </si>
  <si>
    <t>Asbin Gold 75WDG</t>
  </si>
  <si>
    <t>AP-5432</t>
  </si>
  <si>
    <t>Tea | Black rot, Die back | 500 gm/ha</t>
  </si>
  <si>
    <t>Sistivo 75WG</t>
  </si>
  <si>
    <t>AP-5794</t>
  </si>
  <si>
    <t>Sisnova Agro International</t>
  </si>
  <si>
    <t>Tea | Red rust | 500 gm/ha</t>
  </si>
  <si>
    <t>Okapai 75WG</t>
  </si>
  <si>
    <t>AP-5795</t>
  </si>
  <si>
    <t>Jute | Stem rot | 300 gm/ha</t>
  </si>
  <si>
    <t>Barish 75WG</t>
  </si>
  <si>
    <t>AP-6057</t>
  </si>
  <si>
    <t>Boll rot</t>
  </si>
  <si>
    <t>200 gm/ha</t>
  </si>
  <si>
    <t>Cotton | Boll rot | 200 gm/ha</t>
  </si>
  <si>
    <t>AP-6058</t>
  </si>
  <si>
    <t>Marie Agro Science</t>
  </si>
  <si>
    <t>Lamivo 75WDG</t>
  </si>
  <si>
    <t>AP-6059</t>
  </si>
  <si>
    <t>6 g/10 L of water</t>
  </si>
  <si>
    <t>Rice | Blast | 6 g/10 L of water</t>
  </si>
  <si>
    <t>Faflo 75WG</t>
  </si>
  <si>
    <t>AP-6060</t>
  </si>
  <si>
    <t>Rice | Blast | 300 gm/ha</t>
  </si>
  <si>
    <t>Stromin 75WG</t>
  </si>
  <si>
    <t>AP-6061</t>
  </si>
  <si>
    <t>Maxivo 75WDG</t>
  </si>
  <si>
    <t>AP-6062</t>
  </si>
  <si>
    <t>Tetraconazole (12.50%) + Carbendazim (15%)</t>
  </si>
  <si>
    <t>Eminent Pro</t>
  </si>
  <si>
    <t>AP-1886</t>
  </si>
  <si>
    <t>Rice | Sheath blight | 800 ml/ha</t>
  </si>
  <si>
    <t>Shopner Shiri 27.5SC</t>
  </si>
  <si>
    <t>AP-5113</t>
  </si>
  <si>
    <t>Tea | Die back | 800 ml/ha</t>
  </si>
  <si>
    <t>KB Nnet Bondhu 27.5SC</t>
  </si>
  <si>
    <t>AP-5114</t>
  </si>
  <si>
    <t>Tricon 27.5SL</t>
  </si>
  <si>
    <t>AP-5433</t>
  </si>
  <si>
    <t>Sweet gourd | Powdery mildew | 3 g/L of water</t>
  </si>
  <si>
    <t>Thiophanate-methyl</t>
  </si>
  <si>
    <t>Sunfonate 70WP</t>
  </si>
  <si>
    <t>AP-983</t>
  </si>
  <si>
    <t>Ground nut, Banana, Mango</t>
  </si>
  <si>
    <t>Tikka, Sigatoka, Anthracnose</t>
  </si>
  <si>
    <t>2.00 kg/ha; 0.5 ml/L of water; 1 g/L of water</t>
  </si>
  <si>
    <t>Ground nut | Tikka | 2.00 kg/ha
Banana | Sigatoka | 0.5 ml/L of water
Mango | Anthracnose | 1 g/L of water</t>
  </si>
  <si>
    <t>Phanate 70WP</t>
  </si>
  <si>
    <t>AP-5435</t>
  </si>
  <si>
    <t>Tri Basic Copper Sulphate</t>
  </si>
  <si>
    <t>Cuproxat 345SC</t>
  </si>
  <si>
    <t>AP-2113</t>
  </si>
  <si>
    <t>Cucurbit, Tomato</t>
  </si>
  <si>
    <t>0.5 ml/L of water; 2 g/L of water</t>
  </si>
  <si>
    <t>Cucurbit | Powdery mildew | 0.5 ml/L of water
Tomato | Late blight | 2 g/L of water</t>
  </si>
  <si>
    <t>Tri Basic Copper Sulphate (26.95%) Cymoxanil (2.74%)</t>
  </si>
  <si>
    <t>Moltovin 29.69SC</t>
  </si>
  <si>
    <t>AP-3935</t>
  </si>
  <si>
    <t>Late blight, Red rust</t>
  </si>
  <si>
    <t>3 ml/Lof water; 1.00 lt/ha</t>
  </si>
  <si>
    <t>Potato | Late blight | 3 ml/Lof water
Tea | Red rust | 1.00 lt/ha</t>
  </si>
  <si>
    <t>Tricyclazole (75%)</t>
  </si>
  <si>
    <t>Trooper 75WP</t>
  </si>
  <si>
    <t>AP-985</t>
  </si>
  <si>
    <t>Anthracnose, Sigatoka, Neck blast, Leaf blast</t>
  </si>
  <si>
    <t>2 g/Lof water; 3 g/L of water; 400 gm/ha</t>
  </si>
  <si>
    <t>Mango | Anthracnose | 2 g/Lof water
Banana | Sigatoka | 3 g/L of water
Rice | Neck blast, Leaf blast | 400 gm/ha</t>
  </si>
  <si>
    <t>Zeal 75WP</t>
  </si>
  <si>
    <t>AP-1390</t>
  </si>
  <si>
    <t>Neck blast, Leaf blast</t>
  </si>
  <si>
    <t>400 gm/ha</t>
  </si>
  <si>
    <t>Rice | Neck blast, Leaf blast | 400 gm/ha</t>
  </si>
  <si>
    <t>Difa 75WP</t>
  </si>
  <si>
    <t>AP-1878</t>
  </si>
  <si>
    <t>Anthracnose, Sigatoka, Blast</t>
  </si>
  <si>
    <t>2 g/L of water; 3 g/Lof water; 400 gm/ha</t>
  </si>
  <si>
    <t>Mango | Anthracnose | 2 g/L of water
Banana | Sigatoka | 3 g/Lof water
Rice | Blast | 400 gm/ha</t>
  </si>
  <si>
    <t>Umoke 75WP</t>
  </si>
  <si>
    <t>AP-2772</t>
  </si>
  <si>
    <t>Sigatoka, Blast</t>
  </si>
  <si>
    <t>3 g/Lof water; 400 gm/ha</t>
  </si>
  <si>
    <t>Banana | Sigatoka | 3 g/Lof water
Rice | Blast | 400 gm/ha</t>
  </si>
  <si>
    <t>Mela 75WP</t>
  </si>
  <si>
    <t>AP-3150</t>
  </si>
  <si>
    <t>Anthracnose, Blast</t>
  </si>
  <si>
    <t>2 g/L of water; 400 gm/ha</t>
  </si>
  <si>
    <t>Mango | Anthracnose | 2 g/L of water
Rice | Blast | 400 gm/ha</t>
  </si>
  <si>
    <t>L-Clazol 75WP</t>
  </si>
  <si>
    <t>AP-3151</t>
  </si>
  <si>
    <t>Wilt, Blast</t>
  </si>
  <si>
    <t>Tomato | Wilt | 2 g/L of water
Rice | Blast | 400 gm/ha</t>
  </si>
  <si>
    <t>M-Core 75WP</t>
  </si>
  <si>
    <t>AP-3152</t>
  </si>
  <si>
    <t>Tea | Die back, Black rot | 2.00 kg/ha</t>
  </si>
  <si>
    <t>Oboni 75WP</t>
  </si>
  <si>
    <t>AP-3628</t>
  </si>
  <si>
    <t>Stanza 75WP</t>
  </si>
  <si>
    <t>AP-3630</t>
  </si>
  <si>
    <t>Rice, Mango</t>
  </si>
  <si>
    <t>Blast, Anthracnose</t>
  </si>
  <si>
    <t>400 gm/ha; 2 g/L of water</t>
  </si>
  <si>
    <t>Rice | Blast | 400 gm/ha
Mango | Anthracnose | 2 g/L of water</t>
  </si>
  <si>
    <t>Suzole 75WP</t>
  </si>
  <si>
    <t>AP-3631</t>
  </si>
  <si>
    <t>Rice | Blast | 400 gm/ha</t>
  </si>
  <si>
    <t>Adarsho 75WP</t>
  </si>
  <si>
    <t>AP-4277</t>
  </si>
  <si>
    <t>Samar 75WP</t>
  </si>
  <si>
    <t>AP-4718</t>
  </si>
  <si>
    <t>Tea | Red Rust | 3.00 kg/ha</t>
  </si>
  <si>
    <t>Trichlorfon (80%)</t>
  </si>
  <si>
    <t>Direx 80SP</t>
  </si>
  <si>
    <t>AP-4924</t>
  </si>
  <si>
    <t>1.0 Kg/ha</t>
  </si>
  <si>
    <t>Tea | Termite | 1.0 Kg/ha</t>
  </si>
  <si>
    <t>Knight Guard 40EC</t>
  </si>
  <si>
    <t>AP-5737</t>
  </si>
  <si>
    <t>Cotton | Aphid | 1.00 L/ha</t>
  </si>
  <si>
    <t>Validamycin</t>
  </si>
  <si>
    <t>Valid 10SL</t>
  </si>
  <si>
    <t>AP-3061</t>
  </si>
  <si>
    <t>Tomato | Wilt | 1.50 L/ha</t>
  </si>
  <si>
    <t>Sinopa 5SL</t>
  </si>
  <si>
    <t>AP-4726</t>
  </si>
  <si>
    <t>Nirvoy 10SL</t>
  </si>
  <si>
    <t>AP-4727</t>
  </si>
  <si>
    <t>Senom 10SL</t>
  </si>
  <si>
    <t>AP-4728</t>
  </si>
  <si>
    <t>Vental 10SL</t>
  </si>
  <si>
    <t>AP-5106</t>
  </si>
  <si>
    <t>Tomato | Wilt | 1.5 ml/L of water</t>
  </si>
  <si>
    <t>Ventage 10SL</t>
  </si>
  <si>
    <t>AP-5107</t>
  </si>
  <si>
    <t>Vista 10SL</t>
  </si>
  <si>
    <t>AP-5108</t>
  </si>
  <si>
    <t>Vex 10SL</t>
  </si>
  <si>
    <t>AP-5109</t>
  </si>
  <si>
    <t>Samycin 10SL</t>
  </si>
  <si>
    <t>AP-5110</t>
  </si>
  <si>
    <t>Wilt, Leaf blight</t>
  </si>
  <si>
    <t>Tomato | Wilt | 1.5 ml/L of water
Wheat | Leaf blight | 1.5 ml/L of water</t>
  </si>
  <si>
    <t>Hexaconazole ( 2.5%) + Validamycine (8.5%)</t>
  </si>
  <si>
    <t>Pasha 11WP</t>
  </si>
  <si>
    <t>AP-4689</t>
  </si>
  <si>
    <t>Hexavally 11WP</t>
  </si>
  <si>
    <t>AP-4690</t>
  </si>
  <si>
    <t>Sweet Gourd</t>
  </si>
  <si>
    <t>0.25 g/L of water</t>
  </si>
  <si>
    <t>Sweet Gourd | Powdery mildew | 0.25 g/L of water</t>
  </si>
  <si>
    <t>Sunsarto 11WP</t>
  </si>
  <si>
    <t>AP-5050</t>
  </si>
  <si>
    <t>Tomato | Wilt | 500 gm/ha</t>
  </si>
  <si>
    <t>Zineb (25%)</t>
  </si>
  <si>
    <t>Fiesta Z-78</t>
  </si>
  <si>
    <t>AP-805</t>
  </si>
  <si>
    <t>Sentra Z 78</t>
  </si>
  <si>
    <t>AP-4725</t>
  </si>
  <si>
    <t>Zineb (68%) + Hexaconazole (4%)</t>
  </si>
  <si>
    <t>Awal 72WP</t>
  </si>
  <si>
    <t>AP-3927</t>
  </si>
  <si>
    <t>Tea, Rice, Mango, Wheat</t>
  </si>
  <si>
    <t>Die back, Black rot, Sheath blight, Anthracnose, Leaf blight</t>
  </si>
  <si>
    <t>Tea | Die back, Black rot | 1.00 kg/ha
Rice | Sheath blight | 1.00 kg/ha
Mango | Anthracnose | 2 g/L of water
Wheat | Leaf blight | 2 g/L of water</t>
  </si>
  <si>
    <t>Thiadiazole Copper</t>
  </si>
  <si>
    <t>Baiver 20SC</t>
  </si>
  <si>
    <t>AP-5374</t>
  </si>
  <si>
    <t>Tea | Die Back | 1.50 L/ha</t>
  </si>
  <si>
    <t>Thifluzamide (20%)</t>
  </si>
  <si>
    <t>Thiza 20SC</t>
  </si>
  <si>
    <t>AP-5052</t>
  </si>
  <si>
    <t>Tea | Die back | 250 ml/ha</t>
  </si>
  <si>
    <t>Fludioxonil (25%) + Metalaxyl-M (37.5%)</t>
  </si>
  <si>
    <t>Bicobosst 62.5SC</t>
  </si>
  <si>
    <t>AP-5387</t>
  </si>
  <si>
    <t>FRAC 12</t>
  </si>
  <si>
    <t>Cymoxanil (37.5%) + Fludioxonil (25%) +</t>
  </si>
  <si>
    <t>McSun 62.5WG</t>
  </si>
  <si>
    <t>AP-5388</t>
  </si>
  <si>
    <t>Copper Oxychloride (40%) + Metalaxyl (5%)</t>
  </si>
  <si>
    <t>Cozy 45WP</t>
  </si>
  <si>
    <t>AP-5389</t>
  </si>
  <si>
    <t>3.0 Kg/ha</t>
  </si>
  <si>
    <t>Tea | Red Rust | 3.0 Kg/ha</t>
  </si>
  <si>
    <t>Coma 45WP</t>
  </si>
  <si>
    <t>AP-5633</t>
  </si>
  <si>
    <t>Tea | Die back | 3.0 Kg/ha</t>
  </si>
  <si>
    <t>Copper Oxychloride (60%) + Dimethomorph (13%)</t>
  </si>
  <si>
    <t>Ababil 73WP</t>
  </si>
  <si>
    <t>AP-6157</t>
  </si>
  <si>
    <t>Chilli | Wilt | 1 g/L of water</t>
  </si>
  <si>
    <t>Fluopyram ( 25%) + Trifloxystrobin (25%)</t>
  </si>
  <si>
    <t>Luna Sensation 50SC</t>
  </si>
  <si>
    <t>AP-5087</t>
  </si>
  <si>
    <t>Onion | Purple blotch | 1 ml/Lof water</t>
  </si>
  <si>
    <t>Trifloxystrobin (37.5%) + Cyproconazole (16%)</t>
  </si>
  <si>
    <t>Gitavo 53.5SC</t>
  </si>
  <si>
    <t>AP-5373</t>
  </si>
  <si>
    <t>Fluopicolide (6%) + Propineb (66.7%)</t>
  </si>
  <si>
    <t>Infinito Pro 72.7WP</t>
  </si>
  <si>
    <t>AP-5088</t>
  </si>
  <si>
    <t>Flumorph (10%)+ Mancozeb (50%)</t>
  </si>
  <si>
    <t>Fulimain 60WP</t>
  </si>
  <si>
    <t>AP-5093</t>
  </si>
  <si>
    <t>Fosetyl Aluminium (8%)</t>
  </si>
  <si>
    <t>Fostonic 8WP</t>
  </si>
  <si>
    <t>AP-5102</t>
  </si>
  <si>
    <t>6 g/L of water</t>
  </si>
  <si>
    <t>Onion | Purple blotch | 6 g/L of water</t>
  </si>
  <si>
    <t>FRAC 33</t>
  </si>
  <si>
    <t>Chitin (5%) + Chitosan (5%) + Glucosamine (7%)</t>
  </si>
  <si>
    <t>HYT-D</t>
  </si>
  <si>
    <t>AP-5634</t>
  </si>
  <si>
    <t>Canary Limited</t>
  </si>
  <si>
    <t>Soft rot, Root rot</t>
  </si>
  <si>
    <t>3 ml/Kg seed weight</t>
  </si>
  <si>
    <t>Jute | Soft rot | 3 ml/Kg seed weight
Jute | Root rot | 3 ml/Kg seed weight</t>
  </si>
  <si>
    <t>Registered Insecticides in Bangladesh — up to 81st PTAC Meeting</t>
  </si>
  <si>
    <t>Abamectin</t>
  </si>
  <si>
    <t>Vertimec 1.8EC</t>
  </si>
  <si>
    <t>AP-890</t>
  </si>
  <si>
    <t>Tea, Brinjal, Jujube, Litchi</t>
  </si>
  <si>
    <t>1.25 L/ha; 1.20 L/ha; 1.25 ml/L of water</t>
  </si>
  <si>
    <t>Tea | Red spider mite | 1.25 L/ha
Brinjal | Red spider mite | 1.20 L/ha
Jujube, Litchi | Mite | 1.25 ml/L of water</t>
  </si>
  <si>
    <t>IRAC 6</t>
  </si>
  <si>
    <t>Abom 1.8EC</t>
  </si>
  <si>
    <t>AP-891</t>
  </si>
  <si>
    <t>Tea, Rice, Brinjal</t>
  </si>
  <si>
    <t>500 ml/ha; 1.2 ml/L of water</t>
  </si>
  <si>
    <t>Tea | Red spider mite | 500 ml/ha
Rice | BPH | 500 ml/ha
Brinjal | Red spider mite | 1.2 ml/L of water</t>
  </si>
  <si>
    <t>Abatin 1.8EC</t>
  </si>
  <si>
    <t>AP-1017</t>
  </si>
  <si>
    <t>Bollworm (Spotted &amp; American)</t>
  </si>
  <si>
    <t>1250-1500 ml/ha</t>
  </si>
  <si>
    <t>Cotton | Bollworm (Spotted &amp; American) | 1250-1500 ml/ha</t>
  </si>
  <si>
    <t>Sunmectin 1.8EC</t>
  </si>
  <si>
    <t>AP-1034</t>
  </si>
  <si>
    <t>Tea, Cotton, Rice, Brinjal</t>
  </si>
  <si>
    <t>Red spider mite, Helopeltis (Mosquito bug), Bollworm, Aphid, Jassid, BPH, Red spider mites</t>
  </si>
  <si>
    <t>1.25 L/ha; 1.20 L/ha; 1.50 L/ha; 1.0 L/ha; 1.20 ml/L of water</t>
  </si>
  <si>
    <t>Tea | Red spider mite | 1.25 L/ha
Tea | Helopeltis (Mosquito bug) | 1.20 L/ha
Cotton | Bollworm, Aphid, Jassid | 1.50 L/ha
Rice | BPH | 1.0 L/ha
Brinjal | Red spider mites | 1.20 ml/L of water</t>
  </si>
  <si>
    <t>Kraft 1.8EC</t>
  </si>
  <si>
    <t>AP-1141</t>
  </si>
  <si>
    <t>1.20 ml/L of water</t>
  </si>
  <si>
    <t>Brinjal | Red spider mite | 1.20 ml/L of water</t>
  </si>
  <si>
    <t>Toptin 1.8EC</t>
  </si>
  <si>
    <t>AP-1153</t>
  </si>
  <si>
    <t>BPH &amp; Hispa</t>
  </si>
  <si>
    <t>Rice | BPH &amp; Hispa | 1.0 L/ha</t>
  </si>
  <si>
    <t>Licar 1.8EC</t>
  </si>
  <si>
    <t>AP-1206</t>
  </si>
  <si>
    <t>Ambush 1.8EC</t>
  </si>
  <si>
    <t>AP-1241</t>
  </si>
  <si>
    <t>1.25 L/ha; 1.0 L/ha; 1.20 ml/L of water</t>
  </si>
  <si>
    <t>Tea | Red spider mite | 1.25 L/ha
Rice | BPH | 1.0 L/ha
Brinjal | Red spider mite | 1.20 ml/L of water</t>
  </si>
  <si>
    <t>Lakad 1.8EC</t>
  </si>
  <si>
    <t>AP-1282</t>
  </si>
  <si>
    <t>1.25 L/ha; 1.20 ml/Lof water</t>
  </si>
  <si>
    <t>Tea | Red spider mite | 1.25 L/ha
Brinjal | Red spider mite | 1.20 ml/Lof water</t>
  </si>
  <si>
    <t>Acamite 1.8EC</t>
  </si>
  <si>
    <t>AP-1286</t>
  </si>
  <si>
    <t>1.25 L/ha; 1.00 L/ha</t>
  </si>
  <si>
    <t>Tea | Red spider mite | 1.25 L/ha
Rice | BPH | 1.00 L/ha</t>
  </si>
  <si>
    <t>Alba 1.8EC</t>
  </si>
  <si>
    <t>AP-1467</t>
  </si>
  <si>
    <t>BPH, Hispa</t>
  </si>
  <si>
    <t>Rice | BPH, Hispa | 1.00 L/ha</t>
  </si>
  <si>
    <t>Iprotin 1.8EC</t>
  </si>
  <si>
    <t>AP-1509</t>
  </si>
  <si>
    <t>Basket 1.8EC</t>
  </si>
  <si>
    <t>AP-1553</t>
  </si>
  <si>
    <t>BPH, Red spider mite</t>
  </si>
  <si>
    <t>1.00 L/ha; 500 ml/ha</t>
  </si>
  <si>
    <t>Rice | BPH | 1.00 L/ha
Tea | Red spider mite | 500 ml/ha</t>
  </si>
  <si>
    <t>Mectin 1.8EC</t>
  </si>
  <si>
    <t>AP-1730</t>
  </si>
  <si>
    <t>Rice | BPH | 1.00 L/ha</t>
  </si>
  <si>
    <t>Habamec 1.8EC</t>
  </si>
  <si>
    <t>AP-1798</t>
  </si>
  <si>
    <t>Tea | Red spider mites | 500 ml/ha</t>
  </si>
  <si>
    <t>Reximectin 1.8EC</t>
  </si>
  <si>
    <t>AP-1917</t>
  </si>
  <si>
    <t>Crop Well 1.8EC</t>
  </si>
  <si>
    <t>AP-2064</t>
  </si>
  <si>
    <t>Vectin 1.8EC</t>
  </si>
  <si>
    <t>AP-2268</t>
  </si>
  <si>
    <t>Brinjal, Rice</t>
  </si>
  <si>
    <t>Red Spider mite, BPH</t>
  </si>
  <si>
    <t>1.20 ml/L of water; 1.00 L/ha</t>
  </si>
  <si>
    <t>Brinjal | Red Spider mite | 1.20 ml/L of water
Rice | BPH | 1.00 L/ha</t>
  </si>
  <si>
    <t>Segatin 1.8EC</t>
  </si>
  <si>
    <t>AP-2269</t>
  </si>
  <si>
    <t>Red spider mites, BPH</t>
  </si>
  <si>
    <t>500 ml/ha; 1.00 L/ha</t>
  </si>
  <si>
    <t>Tea | Red spider mites | 500 ml/ha
Rice | BPH | 1.00 L/ha</t>
  </si>
  <si>
    <t>Avast 1.8EC</t>
  </si>
  <si>
    <t>AP-2421</t>
  </si>
  <si>
    <t>Divine 1.8EC</t>
  </si>
  <si>
    <t>AP-2422</t>
  </si>
  <si>
    <t>Benten 1.8EC</t>
  </si>
  <si>
    <t>AP-2693</t>
  </si>
  <si>
    <t>Suntec 1.8EC</t>
  </si>
  <si>
    <t>AP-2694</t>
  </si>
  <si>
    <t>Tartar 1.8EC</t>
  </si>
  <si>
    <t>AP-2989</t>
  </si>
  <si>
    <t>Cotton, Tea</t>
  </si>
  <si>
    <t>Aphid, Jassid, Bollworm, Red spider mite</t>
  </si>
  <si>
    <t>1.50 L/ha; 500 ml/ha</t>
  </si>
  <si>
    <t>Cotton | Aphid, Jassid, Bollworm | 1.50 L/ha
Tea | Red spider mite | 500 ml/ha</t>
  </si>
  <si>
    <t>Greel 1.8EC</t>
  </si>
  <si>
    <t>AP-2990</t>
  </si>
  <si>
    <t>Tea | Red Spider mite | 500 ml/ha</t>
  </si>
  <si>
    <t>Pmectin 1.8EC</t>
  </si>
  <si>
    <t>AP-2992</t>
  </si>
  <si>
    <t>500 ml/ha; 1.20 ml/L of water</t>
  </si>
  <si>
    <t>Tea | Red Spider mite | 500 ml/ha
Brinjal | Red Spider mite | 1.20 ml/L of water</t>
  </si>
  <si>
    <t>Bicotin 1.8EC</t>
  </si>
  <si>
    <t>AP-2993</t>
  </si>
  <si>
    <t>Agrotin 1.8EC</t>
  </si>
  <si>
    <t>AP-2994</t>
  </si>
  <si>
    <t>Bona 1.8EC</t>
  </si>
  <si>
    <t>AP-2995</t>
  </si>
  <si>
    <t>Jarmitec 1.8EC</t>
  </si>
  <si>
    <t>AP-2996</t>
  </si>
  <si>
    <t>Abamex 1.8EC</t>
  </si>
  <si>
    <t>AP-2997</t>
  </si>
  <si>
    <t>Killmite Plus 1.8EC</t>
  </si>
  <si>
    <t>AP-2998</t>
  </si>
  <si>
    <t>Agree 1.8EC</t>
  </si>
  <si>
    <t>AP-2999</t>
  </si>
  <si>
    <t>Choice 1.8EC</t>
  </si>
  <si>
    <t>AP-3000</t>
  </si>
  <si>
    <t>Avid 1.8EC</t>
  </si>
  <si>
    <t>AP-3001</t>
  </si>
  <si>
    <t>Greenba 1.8EC</t>
  </si>
  <si>
    <t>AP-3002</t>
  </si>
  <si>
    <t>B-Dayoo 1.8EC</t>
  </si>
  <si>
    <t>AP-3003</t>
  </si>
  <si>
    <t>Demectin 1.8 EC</t>
  </si>
  <si>
    <t>AP-3004</t>
  </si>
  <si>
    <t>S S Agro Chemicals</t>
  </si>
  <si>
    <t>Aphid, Jassid, Bollworm, Helopeltis</t>
  </si>
  <si>
    <t>Cotton | Aphid, Jassid, Bollworm | 1.50 L/ha
Tea | Helopeltis | 500 ml/ha</t>
  </si>
  <si>
    <t>Pafec 1.8EC</t>
  </si>
  <si>
    <t>AP-3310</t>
  </si>
  <si>
    <t>Hosot 1.8EC</t>
  </si>
  <si>
    <t>AP-3311</t>
  </si>
  <si>
    <t>Fasal Max 1.8EC</t>
  </si>
  <si>
    <t>AP-3312</t>
  </si>
  <si>
    <t>Red spider mite, Aphid</t>
  </si>
  <si>
    <t>500 ml/ha; 1.2 ml/Lof water</t>
  </si>
  <si>
    <t>Tea | Red spider mite | 500 ml/ha
Potato | Aphid | 1.2 ml/Lof water</t>
  </si>
  <si>
    <t>R-Batin 1.8EC</t>
  </si>
  <si>
    <t>AP-3313</t>
  </si>
  <si>
    <t>Vertex 1.8EC</t>
  </si>
  <si>
    <t>AP-3314</t>
  </si>
  <si>
    <t>1.20 L/ha</t>
  </si>
  <si>
    <t>Jute | Yellow mite | 1.20 L/ha</t>
  </si>
  <si>
    <t>Kitten 1.8 EC</t>
  </si>
  <si>
    <t>AP-3315</t>
  </si>
  <si>
    <t>Prestige Agro Dragaon Ltd.</t>
  </si>
  <si>
    <t>Lintec 1.8 EC</t>
  </si>
  <si>
    <t>AP-3316</t>
  </si>
  <si>
    <t>Aphid, Jassid, Bollworm</t>
  </si>
  <si>
    <t>620 ml/ha</t>
  </si>
  <si>
    <t>Cotton | Aphid, Jassid, Bollworm | 620 ml/ha</t>
  </si>
  <si>
    <t>Bletin 1.8EC</t>
  </si>
  <si>
    <t>AP-3797</t>
  </si>
  <si>
    <t>Rice, Jute</t>
  </si>
  <si>
    <t>BPH, Yellow mite</t>
  </si>
  <si>
    <t>Rice | BPH | 1.00 L/ha
Jute | Yellow mite | 1.00 L/ha</t>
  </si>
  <si>
    <t>Player 1.8EC</t>
  </si>
  <si>
    <t>AP-3798</t>
  </si>
  <si>
    <t>1.2 ml/Lof water</t>
  </si>
  <si>
    <t>Brinjal | Red spider mite | 1.2 ml/Lof water</t>
  </si>
  <si>
    <t>Faithrin 1.8EC</t>
  </si>
  <si>
    <t>AP-3799</t>
  </si>
  <si>
    <t>G-Aba 1.8EC</t>
  </si>
  <si>
    <t>AP-3800</t>
  </si>
  <si>
    <t>One Agro Concern</t>
  </si>
  <si>
    <t>Holometin 1.8EC</t>
  </si>
  <si>
    <t>AP-3801</t>
  </si>
  <si>
    <t>Country Bean</t>
  </si>
  <si>
    <t>Country Bean | Aphid | 1.2 ml/Lof water</t>
  </si>
  <si>
    <t>Abaton 1.8EC</t>
  </si>
  <si>
    <t>AP-3804</t>
  </si>
  <si>
    <t>General Agro Chemicals Ltd</t>
  </si>
  <si>
    <t>Tytin 1.8EC</t>
  </si>
  <si>
    <t>AP-3805</t>
  </si>
  <si>
    <t>Desert Extra 1.8EC</t>
  </si>
  <si>
    <t>AP-4125</t>
  </si>
  <si>
    <t>Nubumectin 1.8EC</t>
  </si>
  <si>
    <t>AP-4127</t>
  </si>
  <si>
    <t>Greenectin 1.8EC</t>
  </si>
  <si>
    <t>AP-4128</t>
  </si>
  <si>
    <t>Acar 1.8EC</t>
  </si>
  <si>
    <t>AP-4129</t>
  </si>
  <si>
    <t>Tonu 1.8EC</t>
  </si>
  <si>
    <t>AP-4131</t>
  </si>
  <si>
    <t>Toximite 1.8EC</t>
  </si>
  <si>
    <t>AP-4132</t>
  </si>
  <si>
    <t>Border Plus 1.8EC</t>
  </si>
  <si>
    <t>AP-4150</t>
  </si>
  <si>
    <t>Serfimectin 1.8EC</t>
  </si>
  <si>
    <t>AP-4446</t>
  </si>
  <si>
    <t>Kheya 1.8EC</t>
  </si>
  <si>
    <t>AP-4447</t>
  </si>
  <si>
    <t>Albacin 1.8EC</t>
  </si>
  <si>
    <t>AP-4448</t>
  </si>
  <si>
    <t>Shynee Agro Industries</t>
  </si>
  <si>
    <t>Sultan 1.8EC</t>
  </si>
  <si>
    <t>AP-4450</t>
  </si>
  <si>
    <t>Subarno Traders</t>
  </si>
  <si>
    <t>500 ml</t>
  </si>
  <si>
    <t>Tea | Red spider mite | 500 ml</t>
  </si>
  <si>
    <t>Bestin 1.8EC</t>
  </si>
  <si>
    <t>AP-4451</t>
  </si>
  <si>
    <t>Killpop 1.8EC</t>
  </si>
  <si>
    <t>AP-4452</t>
  </si>
  <si>
    <t>Gherao 1.8EC</t>
  </si>
  <si>
    <t>AP-4453</t>
  </si>
  <si>
    <t>500 ml/ha; 550 ml/ha</t>
  </si>
  <si>
    <t>Tea | Red spider mite | 500 ml/ha
Jute | Yellow mite | 550 ml/ha</t>
  </si>
  <si>
    <t>Makor 1.8EC</t>
  </si>
  <si>
    <t>AP-4454</t>
  </si>
  <si>
    <t>Advanced Agricultural Solution Ltd.</t>
  </si>
  <si>
    <t>Rice, Brinjal</t>
  </si>
  <si>
    <t>1.00 L/ha; 1.2 ml/L of water</t>
  </si>
  <si>
    <t>Rice | BPH | 1.00 L/ha
Brinjal | Red spider mite | 1.2 ml/L of water</t>
  </si>
  <si>
    <t>EG-Mectin 1.8EC</t>
  </si>
  <si>
    <t>AP-4455</t>
  </si>
  <si>
    <t>Abtin 1.8EC</t>
  </si>
  <si>
    <t>AP-4456</t>
  </si>
  <si>
    <t>Red spider mite, Hairy caterpillar</t>
  </si>
  <si>
    <t>Tea | Red spider mite | 500 ml/ha
Jute | Hairy caterpillar | 550 ml/ha</t>
  </si>
  <si>
    <t>Concord 1.8EC</t>
  </si>
  <si>
    <t>AP-4457</t>
  </si>
  <si>
    <t>Agro Private Company</t>
  </si>
  <si>
    <t>Cleanmectin 1.8EC</t>
  </si>
  <si>
    <t>AP-4458</t>
  </si>
  <si>
    <t>1.2 ml/L of water</t>
  </si>
  <si>
    <t>Brinjal | Red spider mite | 1.2 ml/L of water</t>
  </si>
  <si>
    <t>G-Mectin 1.8EC</t>
  </si>
  <si>
    <t>AP-4862</t>
  </si>
  <si>
    <t>Helopeltis, BPH</t>
  </si>
  <si>
    <t>Tea | Helopeltis | 500 ml/ha
Rice | BPH | 1.0 L/ha</t>
  </si>
  <si>
    <t>Vastin 1.8EC</t>
  </si>
  <si>
    <t>AP-4864</t>
  </si>
  <si>
    <t>Tea | Red spider mite | 500 ml/ha
Brinjal | Aphid | 1.2 ml/L of water</t>
  </si>
  <si>
    <t>Churanto 1.8EC</t>
  </si>
  <si>
    <t>AP-4865</t>
  </si>
  <si>
    <t>Jubel 1.8EC</t>
  </si>
  <si>
    <t>AP-4866</t>
  </si>
  <si>
    <t>Sacta 1.8EC</t>
  </si>
  <si>
    <t>AP-4868</t>
  </si>
  <si>
    <t>Tea | Red spider mite | 500 ml/ha
Brinjal | Red spider mite | 1.2 ml/L of water</t>
  </si>
  <si>
    <t>Alatin 1.8EC</t>
  </si>
  <si>
    <t>AP-4870</t>
  </si>
  <si>
    <t>Jute, Rice</t>
  </si>
  <si>
    <t>Yellow mite, BPH</t>
  </si>
  <si>
    <t>1.20 L/ha; 1.0 L/ha</t>
  </si>
  <si>
    <t>Jute | Yellow mite | 1.20 L/ha
Rice | BPH | 1.0 L/ha</t>
  </si>
  <si>
    <t>Abom Super 3EW</t>
  </si>
  <si>
    <t>AP-4871</t>
  </si>
  <si>
    <t>Keyatin 1.8EC</t>
  </si>
  <si>
    <t>AP-4872</t>
  </si>
  <si>
    <t>Tea, Brinjal, Rice</t>
  </si>
  <si>
    <t>500 ml/ha; 1.2 ml/L of water; 1.00 L/ha</t>
  </si>
  <si>
    <t>Tea | Red spider mite | 500 ml/ha
Brinjal | Red spider mite | 1.2 ml/L of water
Rice | BPH | 1.00 L/ha</t>
  </si>
  <si>
    <t>Nevson 5EC</t>
  </si>
  <si>
    <t>AP-4873</t>
  </si>
  <si>
    <t>Cotton | Aphid | 250 ml/ha</t>
  </si>
  <si>
    <t>Delbatin 1.8EC</t>
  </si>
  <si>
    <t>AP-5226</t>
  </si>
  <si>
    <t>L-Mectin 1.8EC</t>
  </si>
  <si>
    <t>AP-5227</t>
  </si>
  <si>
    <t>Croptin 1.8EC</t>
  </si>
  <si>
    <t>AP-5228</t>
  </si>
  <si>
    <t>Saitin 1.8EC</t>
  </si>
  <si>
    <t>AP-5229</t>
  </si>
  <si>
    <t>Vimactin 1.8EC</t>
  </si>
  <si>
    <t>AP-5544</t>
  </si>
  <si>
    <t>Red Spider Mite, BPH</t>
  </si>
  <si>
    <t>1.20 L/ha; 1.00 L/ha</t>
  </si>
  <si>
    <t>Brinjal | Red Spider Mite | 1.20 L/ha
Rice | BPH | 1.00 L/ha</t>
  </si>
  <si>
    <t>Tuktak 1.8EC</t>
  </si>
  <si>
    <t>AP-5545</t>
  </si>
  <si>
    <t>Brinjal | Red Spider Mite | 1.20 L/ha</t>
  </si>
  <si>
    <t>Ricotec 1.8EC</t>
  </si>
  <si>
    <t>AP-5546</t>
  </si>
  <si>
    <t>Uniba 1.8EC</t>
  </si>
  <si>
    <t>AP-5547</t>
  </si>
  <si>
    <t>Union Agro Industries</t>
  </si>
  <si>
    <t>Hispa, Yellow mite</t>
  </si>
  <si>
    <t>1.00 L/ha; 600 ml/ha</t>
  </si>
  <si>
    <t>Rice | Hispa | 1.00 L/ha
Jute | Yellow mite | 600 ml/ha</t>
  </si>
  <si>
    <t>Libectin 1.8EC</t>
  </si>
  <si>
    <t>AP-5548</t>
  </si>
  <si>
    <t>Hispa, BPH</t>
  </si>
  <si>
    <t>Rice | Hispa | 1.00 L/ha
Rice | BPH | 1.00 L/ha</t>
  </si>
  <si>
    <t>Thriler 1.8EC</t>
  </si>
  <si>
    <t>AP-5549</t>
  </si>
  <si>
    <t>Rice | Hispa | 1.00 L/ha</t>
  </si>
  <si>
    <t>Actin 1.8EC</t>
  </si>
  <si>
    <t>AP-5550</t>
  </si>
  <si>
    <t>Acme Pesticides Ltd.</t>
  </si>
  <si>
    <t>Shitol 1.8EC</t>
  </si>
  <si>
    <t>AP-5552</t>
  </si>
  <si>
    <t>AP-5553</t>
  </si>
  <si>
    <t>1.20 ml/ha</t>
  </si>
  <si>
    <t>Brinjal | Red Spider Mite | 1.20 ml/ha</t>
  </si>
  <si>
    <t>Allion 1.8EC</t>
  </si>
  <si>
    <t>AP-5554</t>
  </si>
  <si>
    <t>Astin 1.8EC</t>
  </si>
  <si>
    <t>AP-5690</t>
  </si>
  <si>
    <t>World 1.8EC</t>
  </si>
  <si>
    <t>AP-5691</t>
  </si>
  <si>
    <t>World Trade Link</t>
  </si>
  <si>
    <t>Rice | BPH | 1.00 L/ha
Jute | Yellow mite | 600 ml/ha</t>
  </si>
  <si>
    <t>Actos 1.8EC</t>
  </si>
  <si>
    <t>AP-5692</t>
  </si>
  <si>
    <t>Soil Agro Chemicals Ltd.</t>
  </si>
  <si>
    <t>Ecotin 1.8EC</t>
  </si>
  <si>
    <t>AP-5693</t>
  </si>
  <si>
    <t>Biotin 1.8EC</t>
  </si>
  <si>
    <t>AP-5694</t>
  </si>
  <si>
    <t>Bioscience Agrochem Ltd.</t>
  </si>
  <si>
    <t>Best Albatin 1.8EC</t>
  </si>
  <si>
    <t>AP-5695</t>
  </si>
  <si>
    <t>Best Agro Solutions</t>
  </si>
  <si>
    <t>Himectin 1.8EC</t>
  </si>
  <si>
    <t>AP-5696</t>
  </si>
  <si>
    <t>Hi-Tech Agro Products Ltd.</t>
  </si>
  <si>
    <t>X-Ten 1.8EC</t>
  </si>
  <si>
    <t>AP-5697</t>
  </si>
  <si>
    <t>Jute | Yellow mite | 600 ml/ha</t>
  </si>
  <si>
    <t>Rima 1.8EC</t>
  </si>
  <si>
    <t>AP-5873</t>
  </si>
  <si>
    <t>BPH, Red mite</t>
  </si>
  <si>
    <t>1.0 L/ha; 1.20 ml/L of water</t>
  </si>
  <si>
    <t>Rice | BPH | 1.0 L/ha
Brinjal | Red mite | 1.20 ml/L of water</t>
  </si>
  <si>
    <t>Mapin 1.8EC</t>
  </si>
  <si>
    <t>AP-5874</t>
  </si>
  <si>
    <t>Rice | BPH | 1.0 L/ha</t>
  </si>
  <si>
    <t>Helico 1.8EC</t>
  </si>
  <si>
    <t>AP-5875</t>
  </si>
  <si>
    <t>1.0 L/ha; 600 ml/ha</t>
  </si>
  <si>
    <t>Rice | BPH | 1.0 L/ha
Jute | Yellow mite | 600 ml/ha</t>
  </si>
  <si>
    <t>Lilimite 1.8EC</t>
  </si>
  <si>
    <t>AP-5876</t>
  </si>
  <si>
    <t>1.0 L/ha; 500 m/ha</t>
  </si>
  <si>
    <t>Rice | BPH | 1.0 L/ha
Tea | Red spider mite | 500 m/ha</t>
  </si>
  <si>
    <t>Onemectin 1.8EC</t>
  </si>
  <si>
    <t>AP-5877</t>
  </si>
  <si>
    <t>Dril 3EW</t>
  </si>
  <si>
    <t>AP-5878</t>
  </si>
  <si>
    <t>Zhengbang Agricultural BD Co. Ltd.</t>
  </si>
  <si>
    <t>700 ml/ha</t>
  </si>
  <si>
    <t>Cotton | Ball worm | 700 ml/ha</t>
  </si>
  <si>
    <t>Makton 1.8EC</t>
  </si>
  <si>
    <t>AP-5879</t>
  </si>
  <si>
    <t>Hasan Agri Science</t>
  </si>
  <si>
    <t>AP-5880</t>
  </si>
  <si>
    <t>Croptech Bangladesh Ltd.</t>
  </si>
  <si>
    <t>Abasun 1.8EC</t>
  </si>
  <si>
    <t>AP-5881</t>
  </si>
  <si>
    <t>1.0 L/ha; 1.2 ml/L of water</t>
  </si>
  <si>
    <t>Rice | BPH | 1.0 L/ha
Brinjal | Red mite | 1.2 ml/L of water</t>
  </si>
  <si>
    <t>Roly-Poly 1.8EC</t>
  </si>
  <si>
    <t>AP-5882</t>
  </si>
  <si>
    <t>Abamos 1.8EC</t>
  </si>
  <si>
    <t>AP-5883</t>
  </si>
  <si>
    <t>KB Mite 1.8EC</t>
  </si>
  <si>
    <t>AP-5884</t>
  </si>
  <si>
    <t>Beni 1.8EC</t>
  </si>
  <si>
    <t>AP-5885</t>
  </si>
  <si>
    <t>Baci 1.8EC</t>
  </si>
  <si>
    <t>AP-5886</t>
  </si>
  <si>
    <t>Tuning 1.8EC</t>
  </si>
  <si>
    <t>AP-5887</t>
  </si>
  <si>
    <t>Progress Agro Industries</t>
  </si>
  <si>
    <t>SB-Care 1.8EC</t>
  </si>
  <si>
    <t>AP-5888</t>
  </si>
  <si>
    <t>Rain-Bag 1.8EC</t>
  </si>
  <si>
    <t>AP-5889</t>
  </si>
  <si>
    <t>Rain Agrovate</t>
  </si>
  <si>
    <t>Tata-Aba 1.8EC</t>
  </si>
  <si>
    <t>AP-5890</t>
  </si>
  <si>
    <t>K-Mectin 1.8EC</t>
  </si>
  <si>
    <t>AP-5891</t>
  </si>
  <si>
    <t>S K Agrochemicals Ltd.</t>
  </si>
  <si>
    <t>Abamectin (1%) + acetamiprid (3%)</t>
  </si>
  <si>
    <t>Kohinoor 4EC</t>
  </si>
  <si>
    <t>AP-2951</t>
  </si>
  <si>
    <t>Aphid, Jessid</t>
  </si>
  <si>
    <t>Cotton | Aphid, Jessid | 200 ml/ha</t>
  </si>
  <si>
    <t>Aghun 4EC</t>
  </si>
  <si>
    <t>AP-3259</t>
  </si>
  <si>
    <t>Tea | Red spider mite | 250 ml/ha</t>
  </si>
  <si>
    <t>Ring Tone 4EC</t>
  </si>
  <si>
    <t>AP-3496</t>
  </si>
  <si>
    <t>Country Bean, Tea</t>
  </si>
  <si>
    <t>Aphid, Red spider mite</t>
  </si>
  <si>
    <t>Country Bean | Aphid | 0.5 ml/L of water
Tea | Red spider mite | 500 ml/ha</t>
  </si>
  <si>
    <t>Lido 4EC</t>
  </si>
  <si>
    <t>AP-3862</t>
  </si>
  <si>
    <t>Mitsu 4EC</t>
  </si>
  <si>
    <t>AP-3863</t>
  </si>
  <si>
    <t>Bactin 4EC</t>
  </si>
  <si>
    <t>AP-3864</t>
  </si>
  <si>
    <t>5 ml/L of water</t>
  </si>
  <si>
    <t>Country Bean | Aphid | 5 ml/L of water</t>
  </si>
  <si>
    <t>Acetin 4EC</t>
  </si>
  <si>
    <t>AP-4066</t>
  </si>
  <si>
    <t>Agrivision Bangladesh</t>
  </si>
  <si>
    <t>Abacete 4EC</t>
  </si>
  <si>
    <t>AP-4463</t>
  </si>
  <si>
    <t>SAM Agro chemical</t>
  </si>
  <si>
    <t>Country Bean | Aphid | 0.5 ml/L of water</t>
  </si>
  <si>
    <t>Aalok 4EC</t>
  </si>
  <si>
    <t>AP-4464</t>
  </si>
  <si>
    <t>Rice, Brinjal, Jute</t>
  </si>
  <si>
    <t>BPH, Aphid, Yellow Mite</t>
  </si>
  <si>
    <t>1.00 L/ha; 0.5 ml/L of water; 250 ml/ha</t>
  </si>
  <si>
    <t>Rice | BPH | 1.00 L/ha
Brinjal | Aphid | 0.5 ml/L of water
Jute | Yellow Mite | 250 ml/ha</t>
  </si>
  <si>
    <t>Forway 4EC</t>
  </si>
  <si>
    <t>AP-4918</t>
  </si>
  <si>
    <t>(1.80%) + (15.00%)</t>
  </si>
  <si>
    <t>Keratin 4EC</t>
  </si>
  <si>
    <t>AP-4919</t>
  </si>
  <si>
    <t>Sunabaprid 4EC</t>
  </si>
  <si>
    <t>AP-5230</t>
  </si>
  <si>
    <t>Tea | Red spider mite | 500 ml/ha
Brinjal | Red spider mite | 1 ml/L of water</t>
  </si>
  <si>
    <t>Descopritin 4EC</t>
  </si>
  <si>
    <t>AP-5562</t>
  </si>
  <si>
    <t>Abaprid 4EC</t>
  </si>
  <si>
    <t>AP-5563</t>
  </si>
  <si>
    <t>Impede Plus 16.80EC</t>
  </si>
  <si>
    <t>AP-5565</t>
  </si>
  <si>
    <t>250 ml/</t>
  </si>
  <si>
    <t>Tea | Red spider mite | 250 ml/</t>
  </si>
  <si>
    <t>Carbotin 4EC</t>
  </si>
  <si>
    <t>AP-5715</t>
  </si>
  <si>
    <t>0.3 ml/L of water</t>
  </si>
  <si>
    <t>Brinjal | Aphid | 0.3 ml/L of water</t>
  </si>
  <si>
    <t>Faand 4EC</t>
  </si>
  <si>
    <t>AP-5901</t>
  </si>
  <si>
    <t>Abamectin (1%) + Beta Cypermethrin (2%)</t>
  </si>
  <si>
    <t>Emithrin Plus 3WDG</t>
  </si>
  <si>
    <t>AP-2066</t>
  </si>
  <si>
    <t>1 g/Lof water</t>
  </si>
  <si>
    <t>Tea | Helopeltis | 1 g/Lof water</t>
  </si>
  <si>
    <t>Abaryl 3WDG</t>
  </si>
  <si>
    <t>AP-3507</t>
  </si>
  <si>
    <t>100 gm/ha</t>
  </si>
  <si>
    <t>Cotton | Aphid, Jassid, Bollworm | 100 gm/ha</t>
  </si>
  <si>
    <t>Aabata 3WDG</t>
  </si>
  <si>
    <t>AP-3508</t>
  </si>
  <si>
    <t>Betathrin 3WDG</t>
  </si>
  <si>
    <t>AP-3878</t>
  </si>
  <si>
    <t>Country Bean | Aphid | 1 g/Lof water</t>
  </si>
  <si>
    <t>Fasthrin 3WDG</t>
  </si>
  <si>
    <t>AP-3879</t>
  </si>
  <si>
    <t>Tea | Aphid | 500 gm/ha</t>
  </si>
  <si>
    <t>Vico Plus 3WDG</t>
  </si>
  <si>
    <t>AP-3881</t>
  </si>
  <si>
    <t>0.5 gl/L of water; 1.25 Kg/ha</t>
  </si>
  <si>
    <t>Country Bean | Aphid | 0.5 gl/L of water
Tea | Red spider mite | 1.25 Kg/ha</t>
  </si>
  <si>
    <t>Goldimithrin Plus 3WDG</t>
  </si>
  <si>
    <t>AP-3882</t>
  </si>
  <si>
    <t>Pathrin 3WDG</t>
  </si>
  <si>
    <t>AP-3883</t>
  </si>
  <si>
    <t>Ayesha 3WGD</t>
  </si>
  <si>
    <t>AP-4013</t>
  </si>
  <si>
    <t>Tea | Helopeltis | 1.25 Kg/ha</t>
  </si>
  <si>
    <t>Betatin 3WDG</t>
  </si>
  <si>
    <t>AP-4014</t>
  </si>
  <si>
    <t>Helopeltis, Aphid</t>
  </si>
  <si>
    <t>1.25 Kg/ha; 0.5 gl/L of water</t>
  </si>
  <si>
    <t>Tea | Helopeltis | 1.25 Kg/ha
Potato | Aphid | 0.5 gl/L of water</t>
  </si>
  <si>
    <t>Adam Plus 3WDG</t>
  </si>
  <si>
    <t>AP-4015</t>
  </si>
  <si>
    <t>Achamka 3WDG</t>
  </si>
  <si>
    <t>AP-4016</t>
  </si>
  <si>
    <t>500 gm/ha; 0.5 gl/L of water</t>
  </si>
  <si>
    <t>Tea | Aphid | 500 gm/ha
Brinjal | Aphid | 0.5 gl/L of water</t>
  </si>
  <si>
    <t>Blesun 3WDG</t>
  </si>
  <si>
    <t>AP-4017</t>
  </si>
  <si>
    <t>Adithrin Plus 3WDG</t>
  </si>
  <si>
    <t>AP-4018</t>
  </si>
  <si>
    <t>Brinjal, Cotton</t>
  </si>
  <si>
    <t>Aphid, Aphid, Jassid, Bollworm</t>
  </si>
  <si>
    <t>0.5 gl/L of water; 400 gm/ha</t>
  </si>
  <si>
    <t>Brinjal | Aphid | 0.5 gl/L of water
Cotton | Aphid, Jassid, Bollworm | 400 gm/ha</t>
  </si>
  <si>
    <t>Cassino 3WDG</t>
  </si>
  <si>
    <t>AP-4019</t>
  </si>
  <si>
    <t>Tea | Red Spider Mite | 1.25 Kg/ha</t>
  </si>
  <si>
    <t>Corothrin 3WDG</t>
  </si>
  <si>
    <t>AP-4021</t>
  </si>
  <si>
    <t>Tomato | Aphid | 0.2 g/L of water</t>
  </si>
  <si>
    <t>Renu 3WDG</t>
  </si>
  <si>
    <t>AP-4023</t>
  </si>
  <si>
    <t>Tea, Bean</t>
  </si>
  <si>
    <t>1.25 Kg/ha; 1 g/Lof water</t>
  </si>
  <si>
    <t>Tea | Helopeltis | 1.25 Kg/ha
Bean | Aphid | 1 g/Lof water</t>
  </si>
  <si>
    <t>Amethy 3WDG</t>
  </si>
  <si>
    <t>AP-4024</t>
  </si>
  <si>
    <t>Green Plus 3WDG</t>
  </si>
  <si>
    <t>AP-4025</t>
  </si>
  <si>
    <t>Wintin 3WDG</t>
  </si>
  <si>
    <t>AP-4026</t>
  </si>
  <si>
    <t>Toptin Plus 3WDG</t>
  </si>
  <si>
    <t>AP-4027</t>
  </si>
  <si>
    <t>Ethrin 3EC</t>
  </si>
  <si>
    <t>AP-4028</t>
  </si>
  <si>
    <t>Sunjoy 3WDG</t>
  </si>
  <si>
    <t>AP-4029</t>
  </si>
  <si>
    <t>Ostrin Plus 3WDG</t>
  </si>
  <si>
    <t>AP-4031</t>
  </si>
  <si>
    <t>Ostrich Agro Chemicals Limited</t>
  </si>
  <si>
    <t>Cotton | Aphid, Jassid, Bollworm | 400 gm/ha</t>
  </si>
  <si>
    <t>Venza 3WDG</t>
  </si>
  <si>
    <t>AP-4086</t>
  </si>
  <si>
    <t>Bean, Tea</t>
  </si>
  <si>
    <t>Aphid, Helopeltis</t>
  </si>
  <si>
    <t>0.5 g/L of water; 1.25 Kg/ha</t>
  </si>
  <si>
    <t>Bean | Aphid | 0.5 g/L of water
Tea | Helopeltis | 1.25 Kg/ha</t>
  </si>
  <si>
    <t>Amonia 3WDG</t>
  </si>
  <si>
    <t>AP-4329</t>
  </si>
  <si>
    <t>Aphid, Jassid</t>
  </si>
  <si>
    <t>Cotton | Aphid, Jassid | 400 gm/ha</t>
  </si>
  <si>
    <t>Platina 3WDG</t>
  </si>
  <si>
    <t>AP-4531</t>
  </si>
  <si>
    <t>Channel 3WDG</t>
  </si>
  <si>
    <t>AP-4532</t>
  </si>
  <si>
    <t>Magot 3WDG</t>
  </si>
  <si>
    <t>AP-4533</t>
  </si>
  <si>
    <t xml:space="preserve"> (0.6% + 1.55%)</t>
  </si>
  <si>
    <t>Tufan 3WDG</t>
  </si>
  <si>
    <t>AP-4534</t>
  </si>
  <si>
    <t>Dimithrin Plus 3WDG</t>
  </si>
  <si>
    <t>AP-4535</t>
  </si>
  <si>
    <t>Helopeltis, Hopper</t>
  </si>
  <si>
    <t>Tea | Helopeltis | 1.25 Kg/ha
Mango | Hopper | 1 g/Lof water</t>
  </si>
  <si>
    <t>M-Thrin Plus 3WDG</t>
  </si>
  <si>
    <t>AP-4536</t>
  </si>
  <si>
    <t>SB Marvel 3WDG</t>
  </si>
  <si>
    <t>AP-4930</t>
  </si>
  <si>
    <t>Bean | Aphid | 1 g/Lof water</t>
  </si>
  <si>
    <t>Operation 3WDG</t>
  </si>
  <si>
    <t>AP-4931</t>
  </si>
  <si>
    <t>Tea | Red spider mite | 500 gm/ha</t>
  </si>
  <si>
    <t>Acamite Plus 3WDG</t>
  </si>
  <si>
    <t>AP-4933</t>
  </si>
  <si>
    <t>Ricothrin 3WG</t>
  </si>
  <si>
    <t>AP-4934</t>
  </si>
  <si>
    <t>Binta 2EC</t>
  </si>
  <si>
    <t>AP-4935</t>
  </si>
  <si>
    <t>Lupin Plus 3WDG</t>
  </si>
  <si>
    <t>AP-5231</t>
  </si>
  <si>
    <t>Cyba Plus 3WDG</t>
  </si>
  <si>
    <t>AP-5232</t>
  </si>
  <si>
    <t>250 gm/ha</t>
  </si>
  <si>
    <t>Jute | Hairy Caterpillar | 250 gm/ha</t>
  </si>
  <si>
    <t>Force Cyper 4.5EC</t>
  </si>
  <si>
    <t>AP-5233</t>
  </si>
  <si>
    <t>Cotton | Aphid, Jassid, Bollworm | 500 ml/ha</t>
  </si>
  <si>
    <t>Naturethrin 3WDG</t>
  </si>
  <si>
    <t>AP-5234</t>
  </si>
  <si>
    <t>Tea | Aphid | 250 gm/ha</t>
  </si>
  <si>
    <t>Medithrin 3WDG</t>
  </si>
  <si>
    <t>AP-5555</t>
  </si>
  <si>
    <t>Mango | Hopper | 1 g/Lof water</t>
  </si>
  <si>
    <t>Luxathrin 3WDG</t>
  </si>
  <si>
    <t>AP-5556</t>
  </si>
  <si>
    <t>Luxury Corporation</t>
  </si>
  <si>
    <t>Potato | Aphid | 0.5 g/L of water</t>
  </si>
  <si>
    <t>Achamka Plus 3WDG</t>
  </si>
  <si>
    <t>AP-5557</t>
  </si>
  <si>
    <t>Brinjal | Aphid | 0.5 g/L of water</t>
  </si>
  <si>
    <t>Aim-Tez 3WDG</t>
  </si>
  <si>
    <t>AP-5713</t>
  </si>
  <si>
    <t>Brinjal | Aphid | 1 g/Lof water</t>
  </si>
  <si>
    <t>One Short 3WDG</t>
  </si>
  <si>
    <t>AP-5714</t>
  </si>
  <si>
    <t>Almathrin 3WDG</t>
  </si>
  <si>
    <t>AP-5902</t>
  </si>
  <si>
    <t>Mango | Hopper | 1 g/L of water</t>
  </si>
  <si>
    <t>KG Shurma 3WDG</t>
  </si>
  <si>
    <t>AP-5903</t>
  </si>
  <si>
    <t>Abba Star 3WDG</t>
  </si>
  <si>
    <t>AP-5904</t>
  </si>
  <si>
    <t>Cotton | Ball worm | 2 g/L of water</t>
  </si>
  <si>
    <t>Surjo 3WG</t>
  </si>
  <si>
    <t>AP-5905</t>
  </si>
  <si>
    <t>Mosquito bug</t>
  </si>
  <si>
    <t>Tea | Mosquito bug | 1.25 Kg/ha</t>
  </si>
  <si>
    <t>Tab Thrin 3WDG</t>
  </si>
  <si>
    <t>AP-5906</t>
  </si>
  <si>
    <t>TAB Brands Ltd.</t>
  </si>
  <si>
    <t>Abacyper 3WDG</t>
  </si>
  <si>
    <t>AP-5907</t>
  </si>
  <si>
    <t>Abamectin (2%) + Matrine (1%)</t>
  </si>
  <si>
    <t>Nitex 3WG</t>
  </si>
  <si>
    <t>AP-2612</t>
  </si>
  <si>
    <t>Aphid, Bollworm</t>
  </si>
  <si>
    <t>Cotton | Aphid, Bollworm | 600 ml/ha</t>
  </si>
  <si>
    <t>Abamectin (0.3%) + Propargite (39.7%)</t>
  </si>
  <si>
    <t>Zeromite 40EC</t>
  </si>
  <si>
    <t>AP-3457</t>
  </si>
  <si>
    <t>Tea | Red spider mite | 1.0 L/ha</t>
  </si>
  <si>
    <t>Abazite 40EC</t>
  </si>
  <si>
    <t>AP-3894</t>
  </si>
  <si>
    <t>Hana 40EC</t>
  </si>
  <si>
    <t>AP-4921</t>
  </si>
  <si>
    <t>Tea | Red spider mite | 1.0 L/ha
Rice | BPH | 1.0 L/ha</t>
  </si>
  <si>
    <t>Yeorkarr 25EC</t>
  </si>
  <si>
    <t>AP-6033</t>
  </si>
  <si>
    <t>280 ml/ha</t>
  </si>
  <si>
    <t>Jute | Yellow mite | 280 ml/ha</t>
  </si>
  <si>
    <t>Abamectin (2%) + Imidacloprid (36%) (1% + 9%) (5% + 50%)</t>
  </si>
  <si>
    <t>Lahib 38WDG</t>
  </si>
  <si>
    <t>AP-3845</t>
  </si>
  <si>
    <t>Rice, Country Bean, Tea</t>
  </si>
  <si>
    <t>BPH, Aphid, Helopeltis</t>
  </si>
  <si>
    <t>75 gm/ha; 0.1 g/L of water; 100 gm/ha</t>
  </si>
  <si>
    <t>Rice | BPH | 75 gm/ha
Country Bean | Aphid | 0.1 g/L of water
Tea | Helopeltis | 100 gm/ha</t>
  </si>
  <si>
    <t>Abagin 10EC</t>
  </si>
  <si>
    <t>AP-4571</t>
  </si>
  <si>
    <t>Tea, Cotton</t>
  </si>
  <si>
    <t>Tea | Red spider mite | 500 ml/ha
Cotton | Aphid | 500 ml/ha</t>
  </si>
  <si>
    <t>Abshara 38WDG</t>
  </si>
  <si>
    <t>AP-4572</t>
  </si>
  <si>
    <t>Aphid &amp; Jassid</t>
  </si>
  <si>
    <t>50 gm/ha</t>
  </si>
  <si>
    <t>Chilli | Aphid &amp; Jassid | 50 gm/ha</t>
  </si>
  <si>
    <t>Flare 38WDG</t>
  </si>
  <si>
    <t>AP-5589</t>
  </si>
  <si>
    <t>Yellow Mite, BPH</t>
  </si>
  <si>
    <t>350 gm/ha; 75 gm/ha</t>
  </si>
  <si>
    <t>Jute | Yellow Mite | 350 gm/ha
Rice | BPH | 75 gm/ha</t>
  </si>
  <si>
    <t>Abamid 38WDG</t>
  </si>
  <si>
    <t>AP-5684</t>
  </si>
  <si>
    <t>Aphid, BPH, Red Spider Mite</t>
  </si>
  <si>
    <t>250 gm/ha; 125 gm/ha; 0.5 g/L of water</t>
  </si>
  <si>
    <t>Tea | Aphid | 250 gm/ha
Rice | BPH | 125 gm/ha
Brinjal | Red Spider Mite | 0.5 g/L of water</t>
  </si>
  <si>
    <t>Aba Imi Baba 55WDG</t>
  </si>
  <si>
    <t>AP-5685</t>
  </si>
  <si>
    <t>Bean, Rice</t>
  </si>
  <si>
    <t>Aphid, BPH</t>
  </si>
  <si>
    <t>1 g/10 L of water; 75 gm/ha</t>
  </si>
  <si>
    <t>Bean | Aphid | 1 g/10 L of water
Rice | BPH | 75 gm/ha</t>
  </si>
  <si>
    <t>Bandit 32.5SC</t>
  </si>
  <si>
    <t>AP-5900</t>
  </si>
  <si>
    <t>Brinjal | Red mite | 0.5 ml/L of water</t>
  </si>
  <si>
    <t>Abamectin (1%) + Chlorpyrifos (40%)</t>
  </si>
  <si>
    <t>Forfocus 41EC</t>
  </si>
  <si>
    <t>AP-4552</t>
  </si>
  <si>
    <t>BPH, Hairy caterpillar</t>
  </si>
  <si>
    <t>1.0 L/ha; 750 ml/ha</t>
  </si>
  <si>
    <t>Rice | BPH | 1.0 L/ha
Jute | Hairy caterpillar | 750 ml/ha</t>
  </si>
  <si>
    <t>Abamectin (0.4%) + Beta Cyfluthrin (5.6%)</t>
  </si>
  <si>
    <t>Torsa 6EC</t>
  </si>
  <si>
    <t>AP-4989</t>
  </si>
  <si>
    <t>Tea | Aphid | 250 ml/ha</t>
  </si>
  <si>
    <t>Abamectin (0.20%) + Triazophos (19.80%)</t>
  </si>
  <si>
    <t>Topnoch 20EC</t>
  </si>
  <si>
    <t>AP-6048</t>
  </si>
  <si>
    <t>Xplore Business Limited</t>
  </si>
  <si>
    <t>Abamectin (3%) + Indoxacarb (6%)</t>
  </si>
  <si>
    <t>Laraco 9SC</t>
  </si>
  <si>
    <t>AP-6069</t>
  </si>
  <si>
    <t>Beta Cyfluthrin (9.6%) Imidacloprid (21%) (2.00%+7.00%)</t>
  </si>
  <si>
    <t>Solomon 30 OD</t>
  </si>
  <si>
    <t>AP-6044</t>
  </si>
  <si>
    <t>Tea | Helopeltis | 500 ml/ha</t>
  </si>
  <si>
    <t>Fullmoon 9 OD</t>
  </si>
  <si>
    <t>AP-6153</t>
  </si>
  <si>
    <t>Brinjal | Aphid | 0.5 ml/L of water</t>
  </si>
  <si>
    <t>Abamectin (3%) + Spirodiclofen (27%)</t>
  </si>
  <si>
    <t>Marhaba 30SC</t>
  </si>
  <si>
    <t>AP-5687</t>
  </si>
  <si>
    <t>150 ml/ha</t>
  </si>
  <si>
    <t>Rice | BPH | 150 ml/ha</t>
  </si>
  <si>
    <t>Saka 30SC</t>
  </si>
  <si>
    <t>AP-5912</t>
  </si>
  <si>
    <t>2 ml/Lof water</t>
  </si>
  <si>
    <t>Brinjal | Red mite | 2 ml/Lof water</t>
  </si>
  <si>
    <t>Acephate</t>
  </si>
  <si>
    <t>Asataf 75SP</t>
  </si>
  <si>
    <t>AP-400</t>
  </si>
  <si>
    <t>Cotton, Rice, Bean, Potato, Mango, Tea</t>
  </si>
  <si>
    <t>Aphid, Jassid &amp; Bollworm, BPH, Aphid, Leaf hopper, Helopelties</t>
  </si>
  <si>
    <t>750 gm/ha; 1 g/L of water; 5 g/Lof water; 500 gm/ha</t>
  </si>
  <si>
    <t>Cotton | Aphid, Jassid &amp; Bollworm | 750 gm/ha
Rice | BPH | 750 gm/ha
Bean, Potato | Aphid | 1 g/L of water
Mango | Leaf hopper | 5 g/Lof water
Tea | Helopelties | 500 gm/ha</t>
  </si>
  <si>
    <t>Lancer 75SP</t>
  </si>
  <si>
    <t>AP-475</t>
  </si>
  <si>
    <t>Potato | Aphid | 1 g/Lof water</t>
  </si>
  <si>
    <t>Fortunate 75SP</t>
  </si>
  <si>
    <t>AP-515</t>
  </si>
  <si>
    <t>Rice | BPH | 750 gm/ha</t>
  </si>
  <si>
    <t>Sinophate 75SP</t>
  </si>
  <si>
    <t>AP-534</t>
  </si>
  <si>
    <t>Hispa, Yellow Stemborer</t>
  </si>
  <si>
    <t>750 gm/ha; 1.00 kg/ha</t>
  </si>
  <si>
    <t>Rice | Hispa | 750 gm/ha
Rice | Yellow Stemborer | 1.00 kg/ha</t>
  </si>
  <si>
    <t>Banish 75SP</t>
  </si>
  <si>
    <t>AP-569</t>
  </si>
  <si>
    <t>Rice, Cotton</t>
  </si>
  <si>
    <t>BPH, Hispa, Aphid, Jassid</t>
  </si>
  <si>
    <t>750 gm/ha; 900 gm/ha</t>
  </si>
  <si>
    <t>Rice | BPH, Hispa | 750 gm/ha
Cotton | Aphid, Jassid | 900 gm/ha</t>
  </si>
  <si>
    <t>Challenger 75SP</t>
  </si>
  <si>
    <t>AP-598</t>
  </si>
  <si>
    <t>Hispa, BPH, Helopelties</t>
  </si>
  <si>
    <t>750 gm/ha; 500 gm/ha</t>
  </si>
  <si>
    <t>Rice | Hispa, BPH | 750 gm/ha
Tea | Helopelties | 500 gm/ha</t>
  </si>
  <si>
    <t>Acehero 75SP</t>
  </si>
  <si>
    <t>AP-619</t>
  </si>
  <si>
    <t>Cotton | Aphid, Jassid | 1.00 kg/ha</t>
  </si>
  <si>
    <t>Megaphate 75SP</t>
  </si>
  <si>
    <t>AP-684</t>
  </si>
  <si>
    <t>Jung 75SP</t>
  </si>
  <si>
    <t>AP-743</t>
  </si>
  <si>
    <t>Mango, Bean, Rice</t>
  </si>
  <si>
    <t>Hopper, Aphid, BPH</t>
  </si>
  <si>
    <t>5 g/L of water; 1 g/L of water; 750 gm/ha</t>
  </si>
  <si>
    <t>Mango | Hopper | 5 g/L of water
Bean | Aphid | 1 g/L of water
Rice | BPH | 750 gm/ha</t>
  </si>
  <si>
    <t>Mimphate 75SP</t>
  </si>
  <si>
    <t>AP-831</t>
  </si>
  <si>
    <t>Rice, Mustard</t>
  </si>
  <si>
    <t>BPH, Aphid</t>
  </si>
  <si>
    <t>750 gm/ha; 1 g/L of water</t>
  </si>
  <si>
    <t>Rice | BPH | 750 gm/ha
Mustard | Aphid | 1 g/L of water</t>
  </si>
  <si>
    <t>Haycephate 75SP</t>
  </si>
  <si>
    <t>AP-1072</t>
  </si>
  <si>
    <t>Bean, Rice, Tea</t>
  </si>
  <si>
    <t>Aphid, Hispa, BPH, Helopeltis (Mosquito bug)</t>
  </si>
  <si>
    <t>1 g/L of water; 500 gm/ha; 750 gm/ha</t>
  </si>
  <si>
    <t>Bean | Aphid | 1 g/L of water
Rice | Hispa | 500 gm/ha
Rice | BPH | 750 gm/ha
Tea | Helopeltis (Mosquito bug) | 500 gm/ha</t>
  </si>
  <si>
    <t>Queenphate 75SP</t>
  </si>
  <si>
    <t>AP-1245</t>
  </si>
  <si>
    <t>BPH, Helopelties</t>
  </si>
  <si>
    <t>Rice | BPH | 750 gm/ha
Tea | Helopelties | 500 gm/ha</t>
  </si>
  <si>
    <t>Mapdon 75SP</t>
  </si>
  <si>
    <t>AP-1258</t>
  </si>
  <si>
    <t>Rice, Bean</t>
  </si>
  <si>
    <t>Rice | BPH | 750 gm/ha
Bean | Aphid | 1 g/L of water</t>
  </si>
  <si>
    <t>Pillarthate 75SP</t>
  </si>
  <si>
    <t>AP-1263</t>
  </si>
  <si>
    <t>Bollworm (Earias SPP) (Heliothesis SPP)</t>
  </si>
  <si>
    <t>Cotton | Bollworm (Earias SPP) (Heliothesis SPP) | 750 gm/ha</t>
  </si>
  <si>
    <t>KriPhate 75SP</t>
  </si>
  <si>
    <t>AP-1417</t>
  </si>
  <si>
    <t>Helopelties, BPH</t>
  </si>
  <si>
    <t>500 g/ha; 0.75 kg/ha</t>
  </si>
  <si>
    <t>Tea | Helopelties | 500 g/ha
Rice | BPH | 0.75 kg/ha</t>
  </si>
  <si>
    <t>Acelar 75SP</t>
  </si>
  <si>
    <t>AP-1642</t>
  </si>
  <si>
    <t>Yellow Stemborer</t>
  </si>
  <si>
    <t>1.00 gm/ha</t>
  </si>
  <si>
    <t>Rice | Yellow Stemborer | 1.00 gm/ha</t>
  </si>
  <si>
    <t>Bicoace 75SP</t>
  </si>
  <si>
    <t>AP-1659</t>
  </si>
  <si>
    <t>0.75 kg/ha</t>
  </si>
  <si>
    <t>Rice | BPH | 0.75 kg/ha</t>
  </si>
  <si>
    <t>Reset 75SP</t>
  </si>
  <si>
    <t>AP-1671</t>
  </si>
  <si>
    <t>BPH, Helopeltis (Mosquito bug)</t>
  </si>
  <si>
    <t>0.75 kg/ha; 500 gm/ha</t>
  </si>
  <si>
    <t>Rice | BPH | 0.75 kg/ha
Tea | Helopeltis (Mosquito bug) | 500 gm/ha</t>
  </si>
  <si>
    <t>E-Phate 75 SP</t>
  </si>
  <si>
    <t>AP-2695</t>
  </si>
  <si>
    <t>Vegan Agro Limited</t>
  </si>
  <si>
    <t>Kilphate 75SP</t>
  </si>
  <si>
    <t>AP-2972</t>
  </si>
  <si>
    <t>Tea | Helopeltis | 500 gm/ha</t>
  </si>
  <si>
    <t>Acking 75 SP</t>
  </si>
  <si>
    <t>AP-2973</t>
  </si>
  <si>
    <t>Up Star Agro Limited</t>
  </si>
  <si>
    <t>Macet 75SP</t>
  </si>
  <si>
    <t>AP-3490</t>
  </si>
  <si>
    <t>Aphid, Hopper</t>
  </si>
  <si>
    <t>500 gm/ha; 2.50 g/Lof water</t>
  </si>
  <si>
    <t>Tea | Aphid | 500 gm/ha
Mango | Hopper | 2.50 g/Lof water</t>
  </si>
  <si>
    <t>Rusate 75SP</t>
  </si>
  <si>
    <t>AP-4874</t>
  </si>
  <si>
    <t>Acephate (50%) + Imidaclorprid (1.8%)</t>
  </si>
  <si>
    <t>Acemida 51.8SP</t>
  </si>
  <si>
    <t>AP-1246</t>
  </si>
  <si>
    <t>Rice | BPH | 1.00 kg/ha</t>
  </si>
  <si>
    <t>Jhotpot 51.8SP</t>
  </si>
  <si>
    <t>AP-5250</t>
  </si>
  <si>
    <t>Chilli | Aphid | 1.5 g/L of water</t>
  </si>
  <si>
    <t>Acephate (45%) + Imidaclorprid (25%)</t>
  </si>
  <si>
    <t>Current 70WP</t>
  </si>
  <si>
    <t>AP-1904</t>
  </si>
  <si>
    <t>Bean | Aphid | 1 g/L of water</t>
  </si>
  <si>
    <t>Automida 70WDG</t>
  </si>
  <si>
    <t>AP-3795</t>
  </si>
  <si>
    <t>BPH, Helopeltis</t>
  </si>
  <si>
    <t>Rice | BPH | 1.00 kg/ha
Tea | Helopeltis | 500 gm/ha</t>
  </si>
  <si>
    <t>Azocyclotin (5%) + Acetamiprid (10%)</t>
  </si>
  <si>
    <t>Kit Viper 15WP</t>
  </si>
  <si>
    <t>AP-4564</t>
  </si>
  <si>
    <t>Tea | Helopeltis | 250 gm/ha</t>
  </si>
  <si>
    <t>IRAC 12B</t>
  </si>
  <si>
    <t>Restrin 15WP</t>
  </si>
  <si>
    <t>AP-5699</t>
  </si>
  <si>
    <t>Seapall 15WP</t>
  </si>
  <si>
    <t>AP-5700</t>
  </si>
  <si>
    <t>250 gm/ha; 120 gm</t>
  </si>
  <si>
    <t>Tea | Helopeltis | 250 gm/ha
Rice | BPH | 120 gm</t>
  </si>
  <si>
    <t>Acetamiprid (20%)</t>
  </si>
  <si>
    <t>Platinum 20SP</t>
  </si>
  <si>
    <t>AP-826</t>
  </si>
  <si>
    <t>BPH, Termite</t>
  </si>
  <si>
    <t>0.05 kg/ha; 1.12 kg/ha</t>
  </si>
  <si>
    <t>Rice | BPH | 0.05 kg/ha
Tea | Termite | 1.12 kg/ha</t>
  </si>
  <si>
    <t>Bismark 20SP</t>
  </si>
  <si>
    <t>AP-1052</t>
  </si>
  <si>
    <t>Tea, Rice, Mango, Potato</t>
  </si>
  <si>
    <t>Termite, BPH &amp; Hispa, Hopper, Cutworm</t>
  </si>
  <si>
    <t>500 gm/ha; 125 gm/ha; 1 ml/L of water; 1 g/L of water</t>
  </si>
  <si>
    <t>Tea | Termite | 500 gm/ha
Rice | BPH &amp; Hispa | 125 gm/ha
Mango | Hopper | 1 ml/L of water
Potato | Cutworm | 1 g/L of water</t>
  </si>
  <si>
    <t>Tundra 20SP</t>
  </si>
  <si>
    <t>AP-1128</t>
  </si>
  <si>
    <t>Bean, Cotton, Tea</t>
  </si>
  <si>
    <t>Aphid, Aphid, Jassid, White fly, Helopeltis</t>
  </si>
  <si>
    <t>1 ml/L of water; 100 gm/ha; 250 gm/ha</t>
  </si>
  <si>
    <t>Bean | Aphid | 1 ml/L of water
Cotton | Aphid, Jassid, White fly | 100 gm/ha
Tea | Helopeltis | 250 gm/ha</t>
  </si>
  <si>
    <t>Rasim 20SP</t>
  </si>
  <si>
    <t>AP-1274</t>
  </si>
  <si>
    <t>Termite, Aphid</t>
  </si>
  <si>
    <t>1.12 kg/ha; 1 ml/L of water</t>
  </si>
  <si>
    <t>Tea | Termite | 1.12 kg/ha
Bean | Aphid | 1 ml/L of water
Tea | Termite | 1.12 kg/ha</t>
  </si>
  <si>
    <t>Sulvo 20SP</t>
  </si>
  <si>
    <t>AP-1834</t>
  </si>
  <si>
    <t>Termite, BPH</t>
  </si>
  <si>
    <t>500 ml/ha; 125 g/ha</t>
  </si>
  <si>
    <t>Tea | Termite | 500 ml/ha
Rice | BPH | 125 g/ha</t>
  </si>
  <si>
    <t>Prize 20SP</t>
  </si>
  <si>
    <t>AP-2055</t>
  </si>
  <si>
    <t>0.05 kg/ha</t>
  </si>
  <si>
    <t>Rice | BPH | 0.05 kg/ha</t>
  </si>
  <si>
    <t>Nize 20SP</t>
  </si>
  <si>
    <t>AP-2056</t>
  </si>
  <si>
    <t>Hispa, Aphid</t>
  </si>
  <si>
    <t>0.05 kg/ha; 1 g/L of water</t>
  </si>
  <si>
    <t>Rice | Hispa | 0.05 kg/ha
Bean | Aphid | 1 g/L of water</t>
  </si>
  <si>
    <t>Manik 20SP</t>
  </si>
  <si>
    <t>AP-2057</t>
  </si>
  <si>
    <t>Sinleaf 20SP</t>
  </si>
  <si>
    <t>AP-2306</t>
  </si>
  <si>
    <t>Chandra 20SP</t>
  </si>
  <si>
    <t>AP-2404</t>
  </si>
  <si>
    <t>Bean | Aphid | 0.5 g/L of water</t>
  </si>
  <si>
    <t>Bicomiprid 20SP</t>
  </si>
  <si>
    <t>AP-2696</t>
  </si>
  <si>
    <t>0.125 kg/ha</t>
  </si>
  <si>
    <t>Rice | Hispa | 0.125 kg/ha</t>
  </si>
  <si>
    <t>Jaf 20SP</t>
  </si>
  <si>
    <t>AP-2870</t>
  </si>
  <si>
    <t>Hispa, Hairy caterpillar</t>
  </si>
  <si>
    <t>125 gm/ha; 500 gm/ha</t>
  </si>
  <si>
    <t>Rice | Hispa | 125 gm/ha
Jute | Hairy caterpillar | 500 gm/ha</t>
  </si>
  <si>
    <t>Titaron 20SP</t>
  </si>
  <si>
    <t>AP-2872</t>
  </si>
  <si>
    <t>Aphid, Jassid, White fly</t>
  </si>
  <si>
    <t>Cotton | Aphid, Jassid, White fly | 100 gm/ha</t>
  </si>
  <si>
    <t>Indira 20SP</t>
  </si>
  <si>
    <t>AP-2873</t>
  </si>
  <si>
    <t>350 gm/ha</t>
  </si>
  <si>
    <t>Jute | Hairy caterpillar | 350 gm/ha</t>
  </si>
  <si>
    <t>Bismark Plus 20SP</t>
  </si>
  <si>
    <t>AP-4566</t>
  </si>
  <si>
    <t>Tea | Termite | 500 gm/ha</t>
  </si>
  <si>
    <t>Larceta 20SP</t>
  </si>
  <si>
    <t>AP-4567</t>
  </si>
  <si>
    <t>Flyprid 20SP</t>
  </si>
  <si>
    <t>AP-5246</t>
  </si>
  <si>
    <t>Acetanate 20SP</t>
  </si>
  <si>
    <t>AP-5566</t>
  </si>
  <si>
    <t>1 g/L of water; 125 gm/ha</t>
  </si>
  <si>
    <t>Bean | Aphid | 1 g/L of water
Rice | BPH | 125 gm/ha</t>
  </si>
  <si>
    <t>Uniprid 20SP</t>
  </si>
  <si>
    <t>AP-5782</t>
  </si>
  <si>
    <t>Unitech Crop Care</t>
  </si>
  <si>
    <t>Rice | BPH | 50 gm/ha</t>
  </si>
  <si>
    <t>Arriban 20SP</t>
  </si>
  <si>
    <t>AP-5783</t>
  </si>
  <si>
    <t>Aspor 20SP</t>
  </si>
  <si>
    <t>AP-5784</t>
  </si>
  <si>
    <t>BPH, Hopper</t>
  </si>
  <si>
    <t>50 gm/ha; 1 ml/L of water</t>
  </si>
  <si>
    <t>Rice | BPH | 50 gm/ha
Mango | Hopper | 1 ml/L of water</t>
  </si>
  <si>
    <t>G-Ekka 20SP</t>
  </si>
  <si>
    <t>AP-5785</t>
  </si>
  <si>
    <t>Satin 20SP</t>
  </si>
  <si>
    <t>AP-5917</t>
  </si>
  <si>
    <t>125 gm/ha</t>
  </si>
  <si>
    <t>Rice | BPH | 125 gm/ha</t>
  </si>
  <si>
    <t>Manda 20SP</t>
  </si>
  <si>
    <t>AP-5918</t>
  </si>
  <si>
    <t>Aceto 40WDG</t>
  </si>
  <si>
    <t>AP-5919</t>
  </si>
  <si>
    <t>250 g/ha</t>
  </si>
  <si>
    <t>Jute | Red mite | 250 g/ha</t>
  </si>
  <si>
    <t>Serftamiprid 20SP</t>
  </si>
  <si>
    <t>AP-5920</t>
  </si>
  <si>
    <t>125 g/ha</t>
  </si>
  <si>
    <t>Rice | BPH | 125 g/ha</t>
  </si>
  <si>
    <t>Alert 20SP</t>
  </si>
  <si>
    <t>AP-5921</t>
  </si>
  <si>
    <t>Best Harvest Agro Chemicals</t>
  </si>
  <si>
    <t>YSB</t>
  </si>
  <si>
    <t>500 g/ha</t>
  </si>
  <si>
    <t>Rice | YSB | 500 g/ha</t>
  </si>
  <si>
    <t>Joymala 20SP</t>
  </si>
  <si>
    <t>AP-5922</t>
  </si>
  <si>
    <t>China Agro Care Systems</t>
  </si>
  <si>
    <t>Alpha Cypermethrin</t>
  </si>
  <si>
    <t>Sico Alpha 2.5EC</t>
  </si>
  <si>
    <t>AP-647</t>
  </si>
  <si>
    <t>Hiron Agro Limited</t>
  </si>
  <si>
    <t>Brinjal, Cucurbits, Mango</t>
  </si>
  <si>
    <t>Shoot &amp; fruit borer, Fly, Leaf hopper</t>
  </si>
  <si>
    <t>Brinjal | Shoot &amp; fruit borer | 1 ml/L of water
Cucurbits | Fly | 1 ml/L of water
Mango | Leaf hopper | 1 ml/L of water</t>
  </si>
  <si>
    <t>Axis 10EC</t>
  </si>
  <si>
    <t>AP-675</t>
  </si>
  <si>
    <t>Helopeltis, Jassid</t>
  </si>
  <si>
    <t>Tea | Helopeltis | 500 ml/ha
Brinjal | Jassid | 1 ml/L of water</t>
  </si>
  <si>
    <t>Prabal 10EC</t>
  </si>
  <si>
    <t>AP-1332</t>
  </si>
  <si>
    <t>Mustard | Aphid | 1 ml/L of water</t>
  </si>
  <si>
    <t>Carfu 10EC</t>
  </si>
  <si>
    <t>AP-1407</t>
  </si>
  <si>
    <t>Malik 10EC</t>
  </si>
  <si>
    <t>AP-1764</t>
  </si>
  <si>
    <t>Bollworm</t>
  </si>
  <si>
    <t>Cotton | Bollworm | 600 ml/ha</t>
  </si>
  <si>
    <t>Wincyp 10 EC</t>
  </si>
  <si>
    <t>AP-2722</t>
  </si>
  <si>
    <t>Amitraz</t>
  </si>
  <si>
    <t>Amatic 25EC</t>
  </si>
  <si>
    <t>AP-903</t>
  </si>
  <si>
    <t>Aphid, Jassid, Red Spider Mite</t>
  </si>
  <si>
    <t>600 ml/ha; 1.25 L/ha</t>
  </si>
  <si>
    <t>Cotton | Aphid, Jassid | 600 ml/ha
Tea | Red Spider Mite | 1.25 L/ha</t>
  </si>
  <si>
    <t>IRAC 19</t>
  </si>
  <si>
    <t>Azadirachtin</t>
  </si>
  <si>
    <t>Nimbicidine</t>
  </si>
  <si>
    <t>AP-373</t>
  </si>
  <si>
    <t>Rice, Brinjal, Potato, Tea</t>
  </si>
  <si>
    <t>BPH, YSB &amp; Leaf roller, Shoot &amp; fruit borer, Aphid, Jassid, Red mite</t>
  </si>
  <si>
    <t>2.00 L/ha; 1.00 L/ha</t>
  </si>
  <si>
    <t>Rice | BPH, YSB &amp; Leaf roller | 2.00 L/ha
Brinjal | Shoot &amp; fruit borer | 2.00 L/ha
Potato | Aphid, Jassid | 1.00 L/ha
Tea | Red mite | 2.00 L/ha</t>
  </si>
  <si>
    <t>IRAC UN</t>
  </si>
  <si>
    <t>Beta Cypermethrin</t>
  </si>
  <si>
    <t>Chix 2.5EC</t>
  </si>
  <si>
    <t>AP-1387</t>
  </si>
  <si>
    <t>Thumbkin 4.5EC</t>
  </si>
  <si>
    <t>AP-2705</t>
  </si>
  <si>
    <t>1 ml/L of water; 900 ml/ha</t>
  </si>
  <si>
    <t>Brinjal | Aphid | 1 ml/L of water
- | - | 900 ml/ha</t>
  </si>
  <si>
    <t>Bifenthrin</t>
  </si>
  <si>
    <t>Talstar 2.5EC</t>
  </si>
  <si>
    <t>AP-426</t>
  </si>
  <si>
    <t>Cotton, Tea, Mango, Brinjal</t>
  </si>
  <si>
    <t>Bollworm, Aphid, Jassid, Whitefly, Mosquito bug, Mites, Hopper</t>
  </si>
  <si>
    <t>2.00 L/ha; 0.5 L/ha; 1.00 L/ha; 1 ml/L of water; 2 ml/Lof water</t>
  </si>
  <si>
    <t>Cotton | Bollworm, Aphid, Jassid | -
Cotton | Whitefly | 2.00 L/ha
Tea | Mosquito bug | 0.5 L/ha
Tea | Mites | 1.00 L/ha
Mango | Hopper | 1 ml/L of water
Brinjal | Mites | 2 ml/Lof water</t>
  </si>
  <si>
    <t>Vic 2.5EC</t>
  </si>
  <si>
    <t>AP-1297</t>
  </si>
  <si>
    <t>Sunthrin 2.5EC</t>
  </si>
  <si>
    <t>AP-1277</t>
  </si>
  <si>
    <t>Tea, Cotton, Mango</t>
  </si>
  <si>
    <t>Helopeltis, Bollworm, Hopper</t>
  </si>
  <si>
    <t>500 ml/ha; 600 ml/ha; 1 ml/L of water</t>
  </si>
  <si>
    <t>Tea | Helopeltis | 500 ml/ha
Cotton | Bollworm | 600 ml/ha
Mango | Hopper | 1 ml/L of water</t>
  </si>
  <si>
    <t>Sunstar 2.5EC</t>
  </si>
  <si>
    <t>AP-1837</t>
  </si>
  <si>
    <t>Spark Limited</t>
  </si>
  <si>
    <t>Serput 2.5 EC</t>
  </si>
  <si>
    <t>AP-3478</t>
  </si>
  <si>
    <t>Bonolata 2.5EC</t>
  </si>
  <si>
    <t>AP-5252</t>
  </si>
  <si>
    <t>G-Star 10EC</t>
  </si>
  <si>
    <t>AP-6046</t>
  </si>
  <si>
    <t>Bifenthrin (50%) + Abamectin (6%)</t>
  </si>
  <si>
    <t>NovaStar 56EC</t>
  </si>
  <si>
    <t>AP-3896</t>
  </si>
  <si>
    <t>Tea, Mango, Brinjal</t>
  </si>
  <si>
    <t>Mites, Helopeltis, Hopper, Red mite</t>
  </si>
  <si>
    <t>Tea | Mites, Helopeltis | 2 ml/Lof water
Mango | Hopper | 2 ml/Lof water
Brinjal | Red mite | 2 ml/Lof water</t>
  </si>
  <si>
    <t>Bifenthrin (11.25%) Zeta Cypermethrin (1.75%)</t>
  </si>
  <si>
    <t>Sunbizt 15EC</t>
  </si>
  <si>
    <t>AP-6047</t>
  </si>
  <si>
    <t>Lufenuron (30%) + Bifenthrin (2.5%)</t>
  </si>
  <si>
    <t>Sunorien 32.5EC</t>
  </si>
  <si>
    <t>AP-5543</t>
  </si>
  <si>
    <t>400 ml/ha</t>
  </si>
  <si>
    <t>Jute | Hairy Caterpillar | 400 ml/ha</t>
  </si>
  <si>
    <t>Abamectin (1%) + Hexythiazox (2)</t>
  </si>
  <si>
    <t>Akash 3ME</t>
  </si>
  <si>
    <t>AP-5249</t>
  </si>
  <si>
    <t>500 L/ha</t>
  </si>
  <si>
    <t>Tea | Red Spider Mite | 500 L/ha</t>
  </si>
  <si>
    <t>Buprofezin</t>
  </si>
  <si>
    <t>Sunprozin 40SC</t>
  </si>
  <si>
    <t>AP-1321</t>
  </si>
  <si>
    <t>0.5 ml/Lof water</t>
  </si>
  <si>
    <t>Bean | Aphid | 0.5 ml/Lof water</t>
  </si>
  <si>
    <t>IRAC 16</t>
  </si>
  <si>
    <t>Sunfezin 40WP</t>
  </si>
  <si>
    <t>AP-2311</t>
  </si>
  <si>
    <t>120 gm/ha</t>
  </si>
  <si>
    <t>Cotton | Aphid, Jassid | 120 gm/ha</t>
  </si>
  <si>
    <t>Award 40SC</t>
  </si>
  <si>
    <t>AP-2760</t>
  </si>
  <si>
    <t>Rice | BPH | 250 ml/ha</t>
  </si>
  <si>
    <t>Chentor 40SC</t>
  </si>
  <si>
    <t>AP-3422</t>
  </si>
  <si>
    <t>Tea | Helopeltis | 1.00 L/ha</t>
  </si>
  <si>
    <t>Tacoma 40SC</t>
  </si>
  <si>
    <t>AP-3790</t>
  </si>
  <si>
    <t>400 ml/ha; 250 ml/ha</t>
  </si>
  <si>
    <t>Tea | Aphid | 400 ml/ha
Rice | BPH | 250 ml/ha</t>
  </si>
  <si>
    <t>Essence Hot 40SC</t>
  </si>
  <si>
    <t>AP-5004</t>
  </si>
  <si>
    <t>Bean | Aphid | 0.5 ml/L of water</t>
  </si>
  <si>
    <t>Bolo 25SC</t>
  </si>
  <si>
    <t>AP-5985</t>
  </si>
  <si>
    <t>Rice | BPH | 500 ml/ha</t>
  </si>
  <si>
    <t>Buprofezin (40%) + Emamectin Benzoate (10%)</t>
  </si>
  <si>
    <t>Memozin 50WP</t>
  </si>
  <si>
    <t>AP-5003</t>
  </si>
  <si>
    <t>150 gm/ha</t>
  </si>
  <si>
    <t>Rice | Yellow Stemborer | 150 gm/ha</t>
  </si>
  <si>
    <t>Isoprocarb (20%) + Buprofezin (5%)</t>
  </si>
  <si>
    <t>Lamah 25WP</t>
  </si>
  <si>
    <t>AP-4091</t>
  </si>
  <si>
    <t>BPH, Yellow Stemborer</t>
  </si>
  <si>
    <t>0.5 kg/ha; 500 gm/ha</t>
  </si>
  <si>
    <t>Rice | BPH | 0.5 kg/ha
Jute | Yellow Stemborer | 500 gm/ha</t>
  </si>
  <si>
    <t>IRAC 1A</t>
  </si>
  <si>
    <t>Buprofezin (40%) + Pymetrozine (20%)</t>
  </si>
  <si>
    <t>Torry 60WDG</t>
  </si>
  <si>
    <t>AP-6043</t>
  </si>
  <si>
    <t>R S Square Corporation</t>
  </si>
  <si>
    <t>Rice | BPH | -</t>
  </si>
  <si>
    <t>Isoprocarb (22%) Thiamethaxam (3%)</t>
  </si>
  <si>
    <t>Genecarb 25WP</t>
  </si>
  <si>
    <t>AP-6018</t>
  </si>
  <si>
    <t>0.60 kg/ha</t>
  </si>
  <si>
    <t>Rice | BPH | 0.60 kg/ha</t>
  </si>
  <si>
    <t>Cadusafos</t>
  </si>
  <si>
    <t>Rugby 10G</t>
  </si>
  <si>
    <t>AP-484</t>
  </si>
  <si>
    <t>Tobacco, Sugarcane, Tea</t>
  </si>
  <si>
    <t>Nematodes, Termites, White grubs, Root Stock Borer, Nematode</t>
  </si>
  <si>
    <t>15.00 kg/ha; 20.00 kg/ha; 150 g/m3 soil</t>
  </si>
  <si>
    <t>Tobacco | Nematodes | 15.00 kg/ha
Sugarcane | Termites | 20.00 kg/ha
Sugarcane | White grubs | 15.00 kg/ha
Sugarcane | Root Stock Borer | 20.00 kg/ha
Tea | Nematode | 150 g/m3 soil</t>
  </si>
  <si>
    <t>Apache 5G</t>
  </si>
  <si>
    <t>AP-4537</t>
  </si>
  <si>
    <t>Nematode</t>
  </si>
  <si>
    <t>300 g/m3 soil</t>
  </si>
  <si>
    <t>Tea | Nematode | 300 g/m3 soil</t>
  </si>
  <si>
    <t>Carbaryl</t>
  </si>
  <si>
    <t>Sevin 85SP</t>
  </si>
  <si>
    <t>AP-338</t>
  </si>
  <si>
    <t>Rice, Jute, Vegetables, Mango</t>
  </si>
  <si>
    <t>Leaf roller, Case worm, GLH, Thrips, Hispa &amp; Rice bug, Caterpillar, Ear cutting caterpillar, Hairy caterpillar, weevil, Semilooper, Leaf eating caterpillar, Hoppers</t>
  </si>
  <si>
    <t>1.70 kg/ha; 1 g/L of water</t>
  </si>
  <si>
    <t>Rice | Leaf roller, Case worm, GLH, Thrips, Hispa &amp; Rice bug, Caterpillar, Ear cutting caterpillar | 1.70 kg/ha
Jute | Hairy caterpillar, weevil, Semilooper | 1.70 kg/ha
Vegetables | Leaf eating caterpillar | 1.70 kg/ha
Mango | Hoppers | 1 g/L of water</t>
  </si>
  <si>
    <t>Vitabryl 85WP</t>
  </si>
  <si>
    <t>AP-401</t>
  </si>
  <si>
    <t>Jute, Rice, Mango</t>
  </si>
  <si>
    <t>Hairy caterpillar, BPH, Hopper</t>
  </si>
  <si>
    <t>0.25% a.i./ha; 1.50 kg/ha; 1 g/L of water</t>
  </si>
  <si>
    <t>Jute | Hairy caterpillar | 0.25% a.i./ha
Rice | BPH | 1.50 kg/ha
Mango | Hopper | 1 g/L of water</t>
  </si>
  <si>
    <t>Kalvin 85WP</t>
  </si>
  <si>
    <t>AP-1232</t>
  </si>
  <si>
    <t>Tea, Rice, Jute</t>
  </si>
  <si>
    <t>Helopeltis, BPH, Hairy caterpillar</t>
  </si>
  <si>
    <t>1.00 kg/ha; 1.70 kg/ha; 1.50 kg/ha</t>
  </si>
  <si>
    <t>Tea | Helopeltis | 1.00 kg/ha
Rice | BPH | 1.70 kg/ha
Jute | Hairy caterpillar | 1.50 kg/ha</t>
  </si>
  <si>
    <t>Ravin 85WP</t>
  </si>
  <si>
    <t>AP-1496</t>
  </si>
  <si>
    <t>Hairy caterpillar, BPH</t>
  </si>
  <si>
    <t>500 gm/ha; 1.50 gm/ha</t>
  </si>
  <si>
    <t>Jute | Hairy caterpillar | 500 gm/ha
Rice | BPH | 1.50 gm/ha</t>
  </si>
  <si>
    <t>Coral 85WP</t>
  </si>
  <si>
    <t>AP-1710</t>
  </si>
  <si>
    <t>1.50 kg/ha</t>
  </si>
  <si>
    <t>Rice | BPH | 1.50 kg/ha</t>
  </si>
  <si>
    <t>Pilot 85WP</t>
  </si>
  <si>
    <t>AP-1720</t>
  </si>
  <si>
    <t>Anika Enterprises</t>
  </si>
  <si>
    <t>BPH, Helopeltis, Hairy caterpillar</t>
  </si>
  <si>
    <t>1.50 kg/ha; 1.00 kg/ha; 1.70 kg/ha</t>
  </si>
  <si>
    <t>Rice | BPH | 1.50 kg/ha
Tea | Helopeltis | 1.00 kg/ha
Tea | Hairy caterpillar | 1.70 kg/ha</t>
  </si>
  <si>
    <t>Ryl 85WP</t>
  </si>
  <si>
    <t>AP-2084</t>
  </si>
  <si>
    <t>Jute | - | -
Tea | Helopeltis | 1.00 kg/ha</t>
  </si>
  <si>
    <t>Reflex 85WP</t>
  </si>
  <si>
    <t>AP-2203</t>
  </si>
  <si>
    <t>Jupiter 85WP</t>
  </si>
  <si>
    <t>AP-2204</t>
  </si>
  <si>
    <t>Expose 85WP</t>
  </si>
  <si>
    <t>AP-2205</t>
  </si>
  <si>
    <t>1.34 kg/ha</t>
  </si>
  <si>
    <t>Rice | Hispa | 1.34 kg/ha</t>
  </si>
  <si>
    <t>Gevin 85WP</t>
  </si>
  <si>
    <t>AP-2615</t>
  </si>
  <si>
    <t>Aristoryl 85WP</t>
  </si>
  <si>
    <t>AP-2702</t>
  </si>
  <si>
    <t>Tea | Helopeltis | 1.00 kg/ha</t>
  </si>
  <si>
    <t>b-Carba 85WP</t>
  </si>
  <si>
    <t>AP-2703</t>
  </si>
  <si>
    <t>Kubaryl 85WP</t>
  </si>
  <si>
    <t>AP-2810</t>
  </si>
  <si>
    <t>1.50 kg/ha; 2 g/L of water</t>
  </si>
  <si>
    <t>Rice | BPH | 1.50 kg/ha
Mango | Hopper | 2 g/L of water</t>
  </si>
  <si>
    <t>Acicarb 85WP</t>
  </si>
  <si>
    <t>AP-2900</t>
  </si>
  <si>
    <t>1.50 kg/ha; 1.00 kg/ha</t>
  </si>
  <si>
    <t>Rice | BPH | 1.50 kg/ha
Tea | Termite | 1.00 kg/ha</t>
  </si>
  <si>
    <t>Sarkking 85WP</t>
  </si>
  <si>
    <t>AP-2981</t>
  </si>
  <si>
    <t>Rice, Jute, Mango</t>
  </si>
  <si>
    <t>BPH, Hairy caterpillar, Hopper</t>
  </si>
  <si>
    <t>1.00 kg/ha; 1.70 kg/ha; 2 g/L of water</t>
  </si>
  <si>
    <t>Rice | BPH | 1.00 kg/ha
Jute | Hairy caterpillar | 1.70 kg/ha
Mango | Hopper | 2 g/L of water</t>
  </si>
  <si>
    <t>Salvin 85WP</t>
  </si>
  <si>
    <t>AP-2984</t>
  </si>
  <si>
    <t>Padmaryl 85WP</t>
  </si>
  <si>
    <t>AP-3372</t>
  </si>
  <si>
    <t>Rice | BPH | 1.50 kg/ha
Tea | Helopeltis | 1.00 kg/ha</t>
  </si>
  <si>
    <t>Pai-Ryl 85WP</t>
  </si>
  <si>
    <t>AP-3374</t>
  </si>
  <si>
    <t>1.50 kg/ha; 1.70 kg/ha; 2 g/L of water</t>
  </si>
  <si>
    <t>Rice | BPH | 1.50 kg/ha
Jute | Hairy caterpillar | 1.70 kg/ha
Mango | Hopper | 2 g/L of water</t>
  </si>
  <si>
    <t>Abin 85WP</t>
  </si>
  <si>
    <t>A-3375</t>
  </si>
  <si>
    <t>Rylmos 85WP</t>
  </si>
  <si>
    <t>AP-4952</t>
  </si>
  <si>
    <t>Tea | Helopeltis | 1.0 Kg/ha</t>
  </si>
  <si>
    <t>Seril 85WP</t>
  </si>
  <si>
    <t>AP-3376</t>
  </si>
  <si>
    <t>Agronet Crop Science Ltd.</t>
  </si>
  <si>
    <t>1.50 kg/ha; 1 g/L of water</t>
  </si>
  <si>
    <t>Rice | BPH | 1.50 kg/ha
Mango | Hopper | 1 g/L of water</t>
  </si>
  <si>
    <t>Genevin 85WP</t>
  </si>
  <si>
    <t>AP-3890</t>
  </si>
  <si>
    <t>Farmryl 85WP</t>
  </si>
  <si>
    <t>AP-3892</t>
  </si>
  <si>
    <t>Cinaryl 85WP</t>
  </si>
  <si>
    <t>AP-4068</t>
  </si>
  <si>
    <t>BPH, Bollworm</t>
  </si>
  <si>
    <t>1.50 kg/ha; 1.70 kg/ha</t>
  </si>
  <si>
    <t>Rice | BPH | 1.50 kg/ha
Cotton | Bollworm | 1.70 kg/ha</t>
  </si>
  <si>
    <t>Robin 85WP</t>
  </si>
  <si>
    <t>Sonali Krishi Seba Industries</t>
  </si>
  <si>
    <t>Drone 85WP</t>
  </si>
  <si>
    <t>AP-4071</t>
  </si>
  <si>
    <t>Ebaryl 85WP</t>
  </si>
  <si>
    <t>AP-4573</t>
  </si>
  <si>
    <t>Osbin 85WP</t>
  </si>
  <si>
    <t>AP-5266</t>
  </si>
  <si>
    <t>Hopper, BPH</t>
  </si>
  <si>
    <t>2 g/L of water; 1.50 kg/ha</t>
  </si>
  <si>
    <t>Mango | Hopper | 2 g/L of water
Rice | BPH | 1.50 kg/ha</t>
  </si>
  <si>
    <t>Orogold 85WP</t>
  </si>
  <si>
    <t>AP-5581</t>
  </si>
  <si>
    <t>Jute, Mango, Rice</t>
  </si>
  <si>
    <t>Semilooper, Hopper, BPH</t>
  </si>
  <si>
    <t>1.70 kg/ha; 2 g/L of water; 1.50 kg/ha</t>
  </si>
  <si>
    <t>Jute | Semilooper | 1.70 kg/ha
Mango | Hopper | 2 g/L of water
Rice | BPH | 1.50 kg/ha</t>
  </si>
  <si>
    <t>Evil 85WP</t>
  </si>
  <si>
    <t>AP-5742</t>
  </si>
  <si>
    <t>Newril 85WP</t>
  </si>
  <si>
    <t>AP-5743</t>
  </si>
  <si>
    <t>1.70 kg/ha; 2 g/L of water</t>
  </si>
  <si>
    <t>Jute | Hairy Caterpillar | 1.70 kg/ha
Mango | Hopper | 2 g/L of water</t>
  </si>
  <si>
    <t>Cleanvin 85WP</t>
  </si>
  <si>
    <t>AP-5744</t>
  </si>
  <si>
    <t>Mango | Hopper | 2 g/L of water</t>
  </si>
  <si>
    <t>Clothianidin</t>
  </si>
  <si>
    <t>Stargate 48SC</t>
  </si>
  <si>
    <t>AP-5267</t>
  </si>
  <si>
    <t>Chilli, Bean</t>
  </si>
  <si>
    <t>Thrips, Aphid</t>
  </si>
  <si>
    <t>0.5 ml/L of water; 0.3 ml/L of water</t>
  </si>
  <si>
    <t>Chilli | Thrips | 0.5 ml/L of water
Bean | Aphid | 0.3 ml/L of water</t>
  </si>
  <si>
    <t>Optimus 5G</t>
  </si>
  <si>
    <t>AP-5365</t>
  </si>
  <si>
    <t>28.00 Kg/ha</t>
  </si>
  <si>
    <t>Rice | YSB | 28.00 Kg/ha</t>
  </si>
  <si>
    <t>Carbofuran</t>
  </si>
  <si>
    <t>Carbofuran 3G</t>
  </si>
  <si>
    <t>AP-05</t>
  </si>
  <si>
    <t>BPH, White grub</t>
  </si>
  <si>
    <t>16.80 kg/ha; 66.00 kg/ha</t>
  </si>
  <si>
    <t>Rice | BPH | 16.80 kg/ha
Sugarcane | White grub | 66.00 kg/ha</t>
  </si>
  <si>
    <t>Iridon 3G</t>
  </si>
  <si>
    <t>AP-215</t>
  </si>
  <si>
    <t>Stemborer, BPH</t>
  </si>
  <si>
    <t>16.80 kg/ha</t>
  </si>
  <si>
    <t>Rice | Stemborer, BPH | 16.80 kg/ha</t>
  </si>
  <si>
    <t>Forwafuran 5G</t>
  </si>
  <si>
    <t>AP-232</t>
  </si>
  <si>
    <t>Yellow Stemborer, Top shootborer &amp; Early shootborer</t>
  </si>
  <si>
    <t>10.00 kg/ha; 40.00 kg/ha</t>
  </si>
  <si>
    <t>Rice | Yellow Stemborer | 10.00 kg/ha
Sugarcane | Top shootborer &amp; Early shootborer | 40.00 kg/ha</t>
  </si>
  <si>
    <t>Sunfuran 5G</t>
  </si>
  <si>
    <t>AP-233</t>
  </si>
  <si>
    <t>Shetu Agro Industries Limited</t>
  </si>
  <si>
    <t>Yellow Stemborer, Top shootborer, White grub</t>
  </si>
  <si>
    <t>Rice | Yellow Stemborer | 10.00 kg/ha
Sugarcane | Top shootborer, White grub | 40.00 kg/ha</t>
  </si>
  <si>
    <t>Furataf 5G</t>
  </si>
  <si>
    <t>AP-244</t>
  </si>
  <si>
    <t>Rice, Sugarcane, Tea</t>
  </si>
  <si>
    <t>Stemborer &amp; BPH, White grub, Top &amp; Early shootborer, Nematode</t>
  </si>
  <si>
    <t>10.00 kg/ha; 40.00 kg/ha; 165 g/M3</t>
  </si>
  <si>
    <t>Rice | Stemborer &amp; BPH | 10.00 kg/ha
Sugarcane | White grub, Top &amp; Early shootborer | 40.00 kg/ha
Tea | Nematode | 165 g/M3</t>
  </si>
  <si>
    <t>Cabufudan 3G</t>
  </si>
  <si>
    <t>AP-262</t>
  </si>
  <si>
    <t>Rice | BPH | 16.80 kg/ha</t>
  </si>
  <si>
    <t>Biesteran 5G</t>
  </si>
  <si>
    <t>AP-277</t>
  </si>
  <si>
    <t>Rice, Tea, Sugarcane</t>
  </si>
  <si>
    <t>Yellow Stemborer and BPH, Nematode, Top shoot borer, White grub</t>
  </si>
  <si>
    <t>10.00 kg/ha; 165 g/m3 soil; 40.00 kg/ha</t>
  </si>
  <si>
    <t>Rice | Yellow Stemborer and BPH | 10.00 kg/ha
Tea | Nematode | 165 g/m3 soil
Sugarcane | Top shoot borer, White grub | 40.00 kg/ha</t>
  </si>
  <si>
    <t>Pillarfuran 5G</t>
  </si>
  <si>
    <t>AP-293</t>
  </si>
  <si>
    <t>Yellow Stemborer, White grub, Early Shoot Borer, Nematode</t>
  </si>
  <si>
    <t>Rice | Yellow Stemborer | 10.00 kg/ha
Sugarcane | White grub, Early Shoot Borer | 40.00 kg/ha
Tea | Nematode | 165 g/M3</t>
  </si>
  <si>
    <t>Carbomt 5G</t>
  </si>
  <si>
    <t>AP-302</t>
  </si>
  <si>
    <t>Stemborer &amp; BPH, White grub, Top shoot borer</t>
  </si>
  <si>
    <t>Rice | Stemborer &amp; BPH | 10.00 kg/ha
Sugarcane | White grub | 40.00 kg/ha
Sugarcane | Top shoot borer | 40.00 kg/ha</t>
  </si>
  <si>
    <t>Vitafuran 5G</t>
  </si>
  <si>
    <t>AP-303</t>
  </si>
  <si>
    <t>Yellow Stemborer &amp; BPH, White grub, Nematode</t>
  </si>
  <si>
    <t>10.00 kg/ha; 16.00 kg/ha; 165 g/M3</t>
  </si>
  <si>
    <t>Rice | Yellow Stemborer &amp; BPH | 10.00 kg/ha
Sugarcane | White grub | 16.00 kg/ha
Tea | Nematode | 165 g/M3</t>
  </si>
  <si>
    <t>Agrifuran 5G</t>
  </si>
  <si>
    <t>AP-304</t>
  </si>
  <si>
    <t>BPH, White grub &amp; Early shootborer, Nematode</t>
  </si>
  <si>
    <t>Rice | BPH | 10.00 kg/ha
Sugarcane | White grub &amp; Early shootborer | 40.00 kg/ha
Tea | Nematode | 165 g/M3</t>
  </si>
  <si>
    <t>Brifur 5G</t>
  </si>
  <si>
    <t>AP-324</t>
  </si>
  <si>
    <t>Rice, Sugarcane, Tea, Potato</t>
  </si>
  <si>
    <t>Stemborer, BPH &amp; YSB, Ufra, White grubs, Top &amp; Early shootborer, Nematode, Cutworm</t>
  </si>
  <si>
    <t>10.00 kg/ha; 20.00 kg/ha; 40.00 kg/ha; 165 g/M3</t>
  </si>
  <si>
    <t>Rice | Stemborer, BPH &amp; YSB | 10.00 kg/ha
Rice | Ufra | 20.00 kg/ha
Sugarcane | White grubs, Top &amp; Early shootborer | 40.00 kg/ha
Tea | Nematode | 165 g/M3
Potato | Cutworm | 10.00 kg/ha</t>
  </si>
  <si>
    <t>Amcofuran 3G</t>
  </si>
  <si>
    <t>AP-343</t>
  </si>
  <si>
    <t>Stemborer &amp; BPH</t>
  </si>
  <si>
    <t>Rice | Stemborer &amp; BPH | 16.80 kg/ha</t>
  </si>
  <si>
    <t>Cemifuran 5G</t>
  </si>
  <si>
    <t>AP-441</t>
  </si>
  <si>
    <t>BPH, Ufra, White grub, Early Shoot Borer</t>
  </si>
  <si>
    <t>10.00 kg/ha; 20.00 kg/ha; 40.00 kg/ha</t>
  </si>
  <si>
    <t>Rice | BPH | 10.00 kg/ha
Rice | Ufra | 20.00 kg/ha
Sugarcane | White grub, Early Shoot Borer | 40.00 kg/ha</t>
  </si>
  <si>
    <t>Paradox 5G</t>
  </si>
  <si>
    <t>AP-451</t>
  </si>
  <si>
    <t>Stemborer, BPH, Hispa, Top shoot borer</t>
  </si>
  <si>
    <t>10.00 kg/ha; 2.00 kg ai/ha</t>
  </si>
  <si>
    <t>Rice | Stemborer, BPH, Hispa | 10.00 kg/ha
Sugarcane | Top shoot borer | 2.00 kg ai/ha</t>
  </si>
  <si>
    <t>Limicarb 5G</t>
  </si>
  <si>
    <t>AP-483</t>
  </si>
  <si>
    <t>White grub, Yollow Stemborer</t>
  </si>
  <si>
    <t>40.00 kg/ha; 10.00 kg/ha</t>
  </si>
  <si>
    <t>Sugarcane | White grub | 40.00 kg/ha
Rice | Yollow Stemborer | 10.00 kg/ha</t>
  </si>
  <si>
    <t>Camfuran 5G</t>
  </si>
  <si>
    <t>AP-485</t>
  </si>
  <si>
    <t>Hispa, BPH, YSB, White grub</t>
  </si>
  <si>
    <t>Rice | Hispa, BPH, YSB | 10.00 kg/ha
Sugarcane | White grub | 40.00 kg/ha</t>
  </si>
  <si>
    <t>Corofuran 5G</t>
  </si>
  <si>
    <t>AP-508</t>
  </si>
  <si>
    <t>BPH, Top shoot borer</t>
  </si>
  <si>
    <t>10.00 kg/ha; 2.00 kg/ai/ha</t>
  </si>
  <si>
    <t>Rice | BPH | 10.00 kg/ha
Sugarcane | Top shoot borer | 2.00 kg/ai/ha</t>
  </si>
  <si>
    <t>Sinodan 5G</t>
  </si>
  <si>
    <t>AP-525</t>
  </si>
  <si>
    <t>10.00 kg/ha</t>
  </si>
  <si>
    <t>Rice | Yellow Stemborer | 10.00 kg/ha</t>
  </si>
  <si>
    <t>Hayfuran 5G</t>
  </si>
  <si>
    <t>AP-566</t>
  </si>
  <si>
    <t>Tea, Sugarcane, Rice</t>
  </si>
  <si>
    <t>Nematode, Early &amp; Top shoot borer, White grub, Yellow Stem Borer, BPH</t>
  </si>
  <si>
    <t>165 g/M3; 2.00 kg ai/ha; 10.00 kg/ha</t>
  </si>
  <si>
    <t>Tea | Nematode | 165 g/M3
Sugarcane | Early &amp; Top shoot borer, White grub | 2.00 kg ai/ha
Rice | Yellow Stem Borer, BPH | 10.00 kg/ha</t>
  </si>
  <si>
    <t>Amcofuran 5G</t>
  </si>
  <si>
    <t>AP-592</t>
  </si>
  <si>
    <t>BPH, White grub, Top shootborer</t>
  </si>
  <si>
    <t>Rice | BPH | 10.00 kg/ha
Sugarcane | White grub, Top shootborer | 40.00 kg/ha</t>
  </si>
  <si>
    <t>Unifuran 5G</t>
  </si>
  <si>
    <t>AP-651</t>
  </si>
  <si>
    <t>Rice | BPH | 10.00 kg/ha</t>
  </si>
  <si>
    <t>Sarafuran 5G</t>
  </si>
  <si>
    <t>AP-657</t>
  </si>
  <si>
    <t>Rice | BPH | 10.00 kg/ha
Sugarcane | White grub | 40.00 kg/ha</t>
  </si>
  <si>
    <t>Pillar 5G</t>
  </si>
  <si>
    <t>AP-670</t>
  </si>
  <si>
    <t>Tea, Sugarcane</t>
  </si>
  <si>
    <t>Nematode, White grabs</t>
  </si>
  <si>
    <t>165 g/M3; 40.00 kg/ha</t>
  </si>
  <si>
    <t>Tea | Nematode | 165 g/M3
Sugarcane | White grabs | 40.00 kg/ha</t>
  </si>
  <si>
    <t>Edfuran 5G</t>
  </si>
  <si>
    <t>AP-671</t>
  </si>
  <si>
    <t>Tea, Rice, Sugarcane</t>
  </si>
  <si>
    <t>Nematode, BPH, Hispa, Early Shootborer and White grabs, Ufra</t>
  </si>
  <si>
    <t>165 g/M3; 10.00 kg/ha; 40.00 kg/ha; 20.00 kg/ha</t>
  </si>
  <si>
    <t>Tea | Nematode | 165 g/M3
Rice | BPH, Hispa | 10.00 kg/ha
Sugarcane | Early Shootborer and White grabs | 40.00 kg/ha
Rice | Ufra | 20.00 kg/ha</t>
  </si>
  <si>
    <t>New Furan 5G</t>
  </si>
  <si>
    <t>AP-674</t>
  </si>
  <si>
    <t>Tea, Potato, Rice, Sugarcane</t>
  </si>
  <si>
    <t>Nematode, Cutworm, BPH, Early Shoot borer, White grub</t>
  </si>
  <si>
    <t>165 g/M3; 1.00 kg ai/ha; 10.00 kg/ha; 40.00 kg/ha</t>
  </si>
  <si>
    <t>Tea | Nematode | 165 g/M3
Potato | Cutworm | 1.00 kg ai/ha
Rice | BPH | 10.00 kg/ha
Sugarcane | Early Shoot borer, White grub | 40.00 kg/ha</t>
  </si>
  <si>
    <t>Krishan 5G</t>
  </si>
  <si>
    <t>AP-686</t>
  </si>
  <si>
    <t>Hispa, Early &amp; Top shootborer, White grub</t>
  </si>
  <si>
    <t>Rice | Hispa | 10.00 kg/ha
Sugarcane | Early &amp; Top shootborer, White grub | 40.00 kg/ha</t>
  </si>
  <si>
    <t>Chezer 3G</t>
  </si>
  <si>
    <t>AP-726</t>
  </si>
  <si>
    <t>Yellow Stem Borer</t>
  </si>
  <si>
    <t>Rice | Yellow Stem Borer | 16.80 kg/ha</t>
  </si>
  <si>
    <t>Wenfuran 5G</t>
  </si>
  <si>
    <t>AP-749</t>
  </si>
  <si>
    <t>Rice | BPH, Hispa | 10.00 kg/ha</t>
  </si>
  <si>
    <t>Baifuran 5G</t>
  </si>
  <si>
    <t>AP-750</t>
  </si>
  <si>
    <t>Nematode, BPH, White grub, Top shoot borer</t>
  </si>
  <si>
    <t>165 g/M3; 10.00 kg/ha; 40.00 kg/ha</t>
  </si>
  <si>
    <t>Tea | Nematode | 165 g/M3
Rice | BPH | 10.00 kg/ha
Sugarcane | White grub, Top shoot borer | 40.00 kg/ha</t>
  </si>
  <si>
    <t>Nikidan 3G</t>
  </si>
  <si>
    <t>AP-814</t>
  </si>
  <si>
    <t>Wangdan 3G</t>
  </si>
  <si>
    <t>AP-815</t>
  </si>
  <si>
    <t>BPH, Hispa, Yellow Stemborer</t>
  </si>
  <si>
    <t>Rice | BPH, Hispa, Yellow Stemborer | 16.80 kg/ha</t>
  </si>
  <si>
    <t>Mimfuran 5G</t>
  </si>
  <si>
    <t>AP-818</t>
  </si>
  <si>
    <t>Carbotaf 5G</t>
  </si>
  <si>
    <t>AP-819</t>
  </si>
  <si>
    <t>BPH, White grub &amp; Top shoot borer, Nematode, Yellow Stemborer</t>
  </si>
  <si>
    <t>10.00 kg/ha; 2.0 kg a.i/ha; 165 g/M3</t>
  </si>
  <si>
    <t>Rice | BPH | 10.00 kg/ha
Sugarcane | White grub &amp; Top shoot borer | 2.0 kg a.i/ha
Tea | Nematode | 165 g/M3
Rice | Yellow Stemborer | 10.00 kg/ha</t>
  </si>
  <si>
    <t>Myfuran 3G</t>
  </si>
  <si>
    <t>AP-820</t>
  </si>
  <si>
    <t>Borer 5G</t>
  </si>
  <si>
    <t>AP-821</t>
  </si>
  <si>
    <t>Pardan 5G</t>
  </si>
  <si>
    <t>AP-839</t>
  </si>
  <si>
    <t>Yellow Stemborer, Hispa, White grub</t>
  </si>
  <si>
    <t>Rice | Yellow Stemborer, Hispa | 10.00 kg/ha
Sugarcane | White grub | 40.00 kg/ha</t>
  </si>
  <si>
    <t>Furan 3G</t>
  </si>
  <si>
    <t>AP-1008</t>
  </si>
  <si>
    <t>Top shoot borer, BPH</t>
  </si>
  <si>
    <t>66.66 kg/ha; 16.80 kg/ha</t>
  </si>
  <si>
    <t>Sugarcane | Top shoot borer | 66.66 kg/ha
Rice | BPH | 16.80 kg/ha</t>
  </si>
  <si>
    <t>Arofuran 3G</t>
  </si>
  <si>
    <t>AP-1065</t>
  </si>
  <si>
    <t>White grub, Top shoot borer</t>
  </si>
  <si>
    <t>66.66 kg/ha</t>
  </si>
  <si>
    <t>Sugarcane | White grub | 66.66 kg/ha
Sugarcane | Top shoot borer | 66.66 kg/ha</t>
  </si>
  <si>
    <t>Kildan 3G</t>
  </si>
  <si>
    <t>AP-1067</t>
  </si>
  <si>
    <t>Foster 5G</t>
  </si>
  <si>
    <t>AP-1069</t>
  </si>
  <si>
    <t>Sugarcane, Potato, Rice</t>
  </si>
  <si>
    <t>White grub, Cutworm, Yellow Stemborer</t>
  </si>
  <si>
    <t>Sugarcane | White grub | 40.00 kg/ha
Potato | Cutworm | 10.00 kg/ha
Rice | Yellow Stemborer | 10.00 kg/ha</t>
  </si>
  <si>
    <t>M-Furan 5G</t>
  </si>
  <si>
    <t>AP-1108</t>
  </si>
  <si>
    <t>Hispa, White grub</t>
  </si>
  <si>
    <t>Rice | Hispa | 10.00 kg/ha
Sugarcane | White grub | 40.00 kg/ha</t>
  </si>
  <si>
    <t>Ecofuran 5G</t>
  </si>
  <si>
    <t>AP-1112</t>
  </si>
  <si>
    <t>Sugarcane, Tea, Rice</t>
  </si>
  <si>
    <t>White grub, Top shoot borer, Nematode, BPH</t>
  </si>
  <si>
    <t>40.00 kg/ha; 165 g/M3; 10.00 kg/ha</t>
  </si>
  <si>
    <t>Sugarcane | White grub, Top shoot borer | 40.00 kg/ha
Tea | Nematode | 165 g/M3
Rice | BPH | 10.00 kg/ha</t>
  </si>
  <si>
    <t>Filfuran 5G</t>
  </si>
  <si>
    <t>AP-1191</t>
  </si>
  <si>
    <t>Nematode, BPH</t>
  </si>
  <si>
    <t>165 g/M3; 10.00 kg/ha</t>
  </si>
  <si>
    <t>Tea | Nematode | 165 g/M3
Rice | BPH | 10.00 kg/ha</t>
  </si>
  <si>
    <t>Carbodhan 5G</t>
  </si>
  <si>
    <t>AP-1192</t>
  </si>
  <si>
    <t>Nematode, BPH, YSB, Top shoot borer</t>
  </si>
  <si>
    <t>Tea | Nematode | 165 g/M3
Rice | BPH, YSB | 10.00 kg/ha
Sugarcane | Top shoot borer | 40.00 kg/ha</t>
  </si>
  <si>
    <t>Shikari 5G</t>
  </si>
  <si>
    <t>AP-1193</t>
  </si>
  <si>
    <t>Nematode, BPH, Top shoot borer</t>
  </si>
  <si>
    <t>Tea | Nematode | 165 g/M3
Rice | BPH | 10.00 kg/ha
Sugarcane | Top shoot borer | 40.00 kg/ha</t>
  </si>
  <si>
    <t>Touchfuran 5G</t>
  </si>
  <si>
    <t>AP-1223</t>
  </si>
  <si>
    <t>Trifuran 5G</t>
  </si>
  <si>
    <t>AP-1261</t>
  </si>
  <si>
    <t>165 g/M3</t>
  </si>
  <si>
    <t>Tea | Nematode | 165 g/M3</t>
  </si>
  <si>
    <t>Dunfuran 5G</t>
  </si>
  <si>
    <t>AP-1411</t>
  </si>
  <si>
    <t>Ravfuran 5G</t>
  </si>
  <si>
    <t>AP-1412</t>
  </si>
  <si>
    <t>Nematode, Top Shoot Borer, White grub</t>
  </si>
  <si>
    <t>Tea | Nematode | 165 g/M3
Sugarcane | Top Shoot Borer, White grub | 40.00 kg/ha</t>
  </si>
  <si>
    <t>Helifuran 5G</t>
  </si>
  <si>
    <t>AP-1420</t>
  </si>
  <si>
    <t>Raidfuran 5G</t>
  </si>
  <si>
    <t>AP-1465</t>
  </si>
  <si>
    <t>Top shoot borer</t>
  </si>
  <si>
    <t>40.00 kg/ha</t>
  </si>
  <si>
    <t>Sugarcane | Top shoot borer | 40.00 kg/ha</t>
  </si>
  <si>
    <t>Dfuran 5G</t>
  </si>
  <si>
    <t>AP-1470</t>
  </si>
  <si>
    <t>Rexidan 3G</t>
  </si>
  <si>
    <t>AP-1476</t>
  </si>
  <si>
    <t>Greenfuran 5G</t>
  </si>
  <si>
    <t>AP-1477</t>
  </si>
  <si>
    <t>Amafuran 5G</t>
  </si>
  <si>
    <t>AP-1512</t>
  </si>
  <si>
    <t>Nematode, Top Shoot Borer, YSB</t>
  </si>
  <si>
    <t>165 g/M3; 40.00 kg/ha; 10.00 kg/ha</t>
  </si>
  <si>
    <t>Tea | Nematode | 165 g/M3
Sugarcane | Top Shoot Borer | 40.00 kg/ha
Rice | YSB | 10.00 kg/ha</t>
  </si>
  <si>
    <t>Ricodan 5G</t>
  </si>
  <si>
    <t>AP-1513</t>
  </si>
  <si>
    <t>Nematode, White grub</t>
  </si>
  <si>
    <t>Tea | Nematode | 165 g/M3
Sugarcane | White grub | 40.00 kg/ha</t>
  </si>
  <si>
    <t>Padmafuran 5G</t>
  </si>
  <si>
    <t>AP-1514</t>
  </si>
  <si>
    <t>Aristofuran 3G</t>
  </si>
  <si>
    <t>AP-1516</t>
  </si>
  <si>
    <t>275 g/M3</t>
  </si>
  <si>
    <t>Tea | Nematode | 275 g/M3</t>
  </si>
  <si>
    <t>Autotaf 3G</t>
  </si>
  <si>
    <t>AP-1517</t>
  </si>
  <si>
    <t>Nematode, BPH, Yellow Stemborer</t>
  </si>
  <si>
    <t>275 g/M3; 16.80 kg/ha</t>
  </si>
  <si>
    <t>Tea | Nematode | 275 g/M3
Rice | BPH | 16.80 kg/ha
Rice | Yellow Stemborer | 16.80 kg/ha</t>
  </si>
  <si>
    <t>Rekafuran 3G</t>
  </si>
  <si>
    <t>AP-1518</t>
  </si>
  <si>
    <t>Runner 5G</t>
  </si>
  <si>
    <t>AP-1519</t>
  </si>
  <si>
    <t>Nematode, Top shoot borer</t>
  </si>
  <si>
    <t>Tea | Nematode | 165 g/M3
Sugarcane | Top shoot borer | 40.00 kg/ha</t>
  </si>
  <si>
    <t>Carbodana 3G</t>
  </si>
  <si>
    <t>AP-1537</t>
  </si>
  <si>
    <t>Seafuran 3G</t>
  </si>
  <si>
    <t>AP-1538</t>
  </si>
  <si>
    <t>BPH, Hispa, Top shoot borer &amp; White grub</t>
  </si>
  <si>
    <t>16.80 kg/ha; 40.00 kg/ha</t>
  </si>
  <si>
    <t>Rice | BPH, Hispa | 16.80 kg/ha
Sugarcane | Top shoot borer &amp; White grub | 40.00 kg/ha</t>
  </si>
  <si>
    <t>Bicodan 3G</t>
  </si>
  <si>
    <t>AP-1540</t>
  </si>
  <si>
    <t>Greenfuran 3G</t>
  </si>
  <si>
    <t>AP-1541</t>
  </si>
  <si>
    <t>Furasafe 5G</t>
  </si>
  <si>
    <t>AP-1542</t>
  </si>
  <si>
    <t>BPH, Nematode</t>
  </si>
  <si>
    <t>10.00 kg/ha; 165 g/M3</t>
  </si>
  <si>
    <t>Rice | BPH | 10.00 kg/ha
Tea | Nematode | 165 g/M3</t>
  </si>
  <si>
    <t>Shukfuran 5G</t>
  </si>
  <si>
    <t>AP-5576</t>
  </si>
  <si>
    <t>Shukria Agro Chemicals</t>
  </si>
  <si>
    <t>Potato | Cutworm | 10.00 kg/ha</t>
  </si>
  <si>
    <t>Furanate 5G</t>
  </si>
  <si>
    <t>AP-5577</t>
  </si>
  <si>
    <t>Serf-Furan 5G</t>
  </si>
  <si>
    <t>AP-5738</t>
  </si>
  <si>
    <t>Fana 5G</t>
  </si>
  <si>
    <t>AP-1548</t>
  </si>
  <si>
    <t>Goldafuran 5G</t>
  </si>
  <si>
    <t>AP-1554</t>
  </si>
  <si>
    <t>BPH, Nematode, White grub</t>
  </si>
  <si>
    <t>10.00 kg/ha; 165 g/M3; 40.00 kg/ha</t>
  </si>
  <si>
    <t>Rice | BPH | 10.00 kg/ha
Tea | Nematode | 165 g/M3
Sugarcane | White grub | 40.00 kg/ha</t>
  </si>
  <si>
    <t>Z Furan 5G</t>
  </si>
  <si>
    <t>AP-1558</t>
  </si>
  <si>
    <t>Mapfuran 5G</t>
  </si>
  <si>
    <t>AP-1584</t>
  </si>
  <si>
    <t>Rice | Hispa | 10.00 kg/ha</t>
  </si>
  <si>
    <t>Rbofuran 5G</t>
  </si>
  <si>
    <t>AP-1640</t>
  </si>
  <si>
    <t>Baifuran 3G</t>
  </si>
  <si>
    <t>AP-1657</t>
  </si>
  <si>
    <t>16.80 kg/ha; 275 g/M3</t>
  </si>
  <si>
    <t>Rice | BPH | 16.80 kg/ha
Tea | Nematode | 275 g/M3</t>
  </si>
  <si>
    <t>Genefuran 5G</t>
  </si>
  <si>
    <t>AP-1719</t>
  </si>
  <si>
    <t>Yellow Stemborer, Nematode</t>
  </si>
  <si>
    <t>Rice | Yellow Stemborer | 10.00 kg/ha
Tea | Nematode | 165 g/M3</t>
  </si>
  <si>
    <t>Patriot 5G</t>
  </si>
  <si>
    <t>AP-1733</t>
  </si>
  <si>
    <t>Rice | BPH | 10.00 kg/ha
Rice | Yellow Stemborer | 10.00 kg/ha</t>
  </si>
  <si>
    <t>Tatafuran 3G</t>
  </si>
  <si>
    <t>AP-1745</t>
  </si>
  <si>
    <t>Rice | Yellow Stemborer | 16.80 kg/ha</t>
  </si>
  <si>
    <t>Bicofuran 5G</t>
  </si>
  <si>
    <t>AP-1748</t>
  </si>
  <si>
    <t>Hispa, Nematode</t>
  </si>
  <si>
    <t>10.00 kg/ha; 165 g/M3/</t>
  </si>
  <si>
    <t>Rice | Hispa | 10.00 kg/ha
Tea | Nematode | 165 g/M3/</t>
  </si>
  <si>
    <t>Mega 5G</t>
  </si>
  <si>
    <t>AP-1749</t>
  </si>
  <si>
    <t>Emifuran 5G</t>
  </si>
  <si>
    <t>AP-1771</t>
  </si>
  <si>
    <t>Ufra</t>
  </si>
  <si>
    <t>20.00 kg/ha</t>
  </si>
  <si>
    <t>Rice | Ufra | 20.00 kg/ha</t>
  </si>
  <si>
    <t>Carboran 5G</t>
  </si>
  <si>
    <t>AP-1803</t>
  </si>
  <si>
    <t>Hiradan 5G</t>
  </si>
  <si>
    <t>AP-1804</t>
  </si>
  <si>
    <t>Deltafuran 5G</t>
  </si>
  <si>
    <t>AP-1810</t>
  </si>
  <si>
    <t>Dreamfuran 5G</t>
  </si>
  <si>
    <t>AP-1812</t>
  </si>
  <si>
    <t>Siamfuran 5G</t>
  </si>
  <si>
    <t>AP-1814</t>
  </si>
  <si>
    <t>Rekafuran 5G</t>
  </si>
  <si>
    <t>AP-1815</t>
  </si>
  <si>
    <t>Lafuran 5G</t>
  </si>
  <si>
    <t>AP-1816</t>
  </si>
  <si>
    <t>Furamate 5G</t>
  </si>
  <si>
    <t>AP-1817</t>
  </si>
  <si>
    <t>Seavafuran 5G</t>
  </si>
  <si>
    <t>AP-1818</t>
  </si>
  <si>
    <t>Sharfuran 5G</t>
  </si>
  <si>
    <t>AP-1895</t>
  </si>
  <si>
    <t>Cutworm, BPH</t>
  </si>
  <si>
    <t>Potato | Cutworm | 10.00 kg/ha
Rice | BPH | 10.00 kg/ha</t>
  </si>
  <si>
    <t>Dekofuran 5G</t>
  </si>
  <si>
    <t>AP-1935</t>
  </si>
  <si>
    <t>Trifuran 3G</t>
  </si>
  <si>
    <t>AP-2009</t>
  </si>
  <si>
    <t>Anafuran 5G</t>
  </si>
  <si>
    <t>AP-2010</t>
  </si>
  <si>
    <t>Raifuran 3G</t>
  </si>
  <si>
    <t>AP-2011</t>
  </si>
  <si>
    <t>Top Shoot Borer</t>
  </si>
  <si>
    <t>Sugarcane | Top Shoot Borer | 66.66 kg/ha</t>
  </si>
  <si>
    <t>Rajteer 5G</t>
  </si>
  <si>
    <t>AP-2012</t>
  </si>
  <si>
    <t>Bongshee Moharaj &amp; Agro Technology</t>
  </si>
  <si>
    <t>Bi fur 5G</t>
  </si>
  <si>
    <t>AP-2013</t>
  </si>
  <si>
    <t>Aungkur 5G</t>
  </si>
  <si>
    <t>AP-2016</t>
  </si>
  <si>
    <t>Welldone 3G</t>
  </si>
  <si>
    <t>AP-2017</t>
  </si>
  <si>
    <t>R-Furan 5G</t>
  </si>
  <si>
    <t>AP-2018</t>
  </si>
  <si>
    <t>Rootstar 5G</t>
  </si>
  <si>
    <t>AP-2213</t>
  </si>
  <si>
    <t>Mascodan 5G</t>
  </si>
  <si>
    <t>AP-2214</t>
  </si>
  <si>
    <t>Marydhan 5G</t>
  </si>
  <si>
    <t>AP-2217</t>
  </si>
  <si>
    <t>Sugarcane | Top Shoot Borer | 40.00 kg/ha</t>
  </si>
  <si>
    <t>Viewfuran 5G</t>
  </si>
  <si>
    <t>AP-2218</t>
  </si>
  <si>
    <t>Panza 3G</t>
  </si>
  <si>
    <t>AP-2221</t>
  </si>
  <si>
    <t>Enofuran 5G</t>
  </si>
  <si>
    <t>AP-2227</t>
  </si>
  <si>
    <t>Abfuran 3G</t>
  </si>
  <si>
    <t>AP-2223</t>
  </si>
  <si>
    <t>Joar Plus 5G</t>
  </si>
  <si>
    <t>AP-2224</t>
  </si>
  <si>
    <t>Nematode, Cutworm</t>
  </si>
  <si>
    <t>165 g/M3; 18.00 kg/ha</t>
  </si>
  <si>
    <t>Tea | Nematode | 165 g/M3
Potato | Cutworm | 18.00 kg/ha</t>
  </si>
  <si>
    <t>Lava 5G</t>
  </si>
  <si>
    <t>AP-2225</t>
  </si>
  <si>
    <t>Nurfuran 5G</t>
  </si>
  <si>
    <t>AP-2375</t>
  </si>
  <si>
    <t>18.00 kg/ha; 10.00 kg/ha</t>
  </si>
  <si>
    <t>Potato | Cutworm | 18.00 kg/ha
Rice | BPH | 10.00 kg/ha</t>
  </si>
  <si>
    <t>Housefuran 5G</t>
  </si>
  <si>
    <t>AP-2376</t>
  </si>
  <si>
    <t>Ekota Agro Products</t>
  </si>
  <si>
    <t>18.00 kg/ha</t>
  </si>
  <si>
    <t>Potato | Cutworm | 18.00 kg/ha</t>
  </si>
  <si>
    <t>Paradan 5G</t>
  </si>
  <si>
    <t>AP-2378</t>
  </si>
  <si>
    <t>Kingfuran 5G</t>
  </si>
  <si>
    <t>AP-2379</t>
  </si>
  <si>
    <t>Multifuran 5G</t>
  </si>
  <si>
    <t>AP-2381</t>
  </si>
  <si>
    <t>Advanced Lifecare Bangladesh Ltd.</t>
  </si>
  <si>
    <t>Deltafuran 3G</t>
  </si>
  <si>
    <t>AP-2614</t>
  </si>
  <si>
    <t>Qurafuran 5G</t>
  </si>
  <si>
    <t>AP-2635</t>
  </si>
  <si>
    <t>Quality Pest Control</t>
  </si>
  <si>
    <t>YSB, White Grub</t>
  </si>
  <si>
    <t>Rice | YSB | 10.00 kg/ha
Sugarcane | White Grub | 40.00 kg/ha</t>
  </si>
  <si>
    <t>Nazidan 5G</t>
  </si>
  <si>
    <t>AP-2636</t>
  </si>
  <si>
    <t>Rice | YSB | 10.00 kg/ha</t>
  </si>
  <si>
    <t>Nicodan 5G</t>
  </si>
  <si>
    <t>AP-2638</t>
  </si>
  <si>
    <t>White grub &amp; Top shoot borer</t>
  </si>
  <si>
    <t>Sugarcane | White grub &amp; Top shoot borer | 40.00 kg/ha</t>
  </si>
  <si>
    <t>Bigfuran 5G</t>
  </si>
  <si>
    <t>AP-2643</t>
  </si>
  <si>
    <t>Freshfuran 5G</t>
  </si>
  <si>
    <t>AP-2644</t>
  </si>
  <si>
    <t>Seedfuran 5G</t>
  </si>
  <si>
    <t>AP-2646</t>
  </si>
  <si>
    <t>Gorjon 5G</t>
  </si>
  <si>
    <t>AP-2648</t>
  </si>
  <si>
    <t>White Grub</t>
  </si>
  <si>
    <t>Sugarcane | White Grub | 40.00 kg/ha</t>
  </si>
  <si>
    <t>b-Furan 5G</t>
  </si>
  <si>
    <t>AP-2649</t>
  </si>
  <si>
    <t>Rayfuran 5G</t>
  </si>
  <si>
    <t>AP-2650</t>
  </si>
  <si>
    <t>Korotoa Agro Marketing Co.</t>
  </si>
  <si>
    <t>Candari 5G</t>
  </si>
  <si>
    <t>AP-2653</t>
  </si>
  <si>
    <t>Hazi Abdul Hakim Sowdagor</t>
  </si>
  <si>
    <t>K-Furan 5G</t>
  </si>
  <si>
    <t>AP-2655</t>
  </si>
  <si>
    <t>Duranta 5G</t>
  </si>
  <si>
    <t>AP-2657</t>
  </si>
  <si>
    <t>Duranta Agri Science Ltd</t>
  </si>
  <si>
    <t>Pinfor 5G</t>
  </si>
  <si>
    <t>AP-2875</t>
  </si>
  <si>
    <t>Mimcarb 3G</t>
  </si>
  <si>
    <t>AP-2876</t>
  </si>
  <si>
    <t>Winran 5G</t>
  </si>
  <si>
    <t>AP-2877</t>
  </si>
  <si>
    <t>Fidan 5G</t>
  </si>
  <si>
    <t>AP-2880</t>
  </si>
  <si>
    <t>Polok 3G</t>
  </si>
  <si>
    <t>AP-2881</t>
  </si>
  <si>
    <t>Rice | YSB | 16.80 kg/ha</t>
  </si>
  <si>
    <t>Napfuran 3G</t>
  </si>
  <si>
    <t>AP-2883</t>
  </si>
  <si>
    <t>25.00 kg/ha</t>
  </si>
  <si>
    <t>Potato | Cutworm | 25.00 kg/ha</t>
  </si>
  <si>
    <t>Dalas 5G</t>
  </si>
  <si>
    <t>AP-2884</t>
  </si>
  <si>
    <t>Calfuran 5G</t>
  </si>
  <si>
    <t>AP-2885</t>
  </si>
  <si>
    <t>M S Agro Chemicals Company Ltd.</t>
  </si>
  <si>
    <t>Gilfuran 5G</t>
  </si>
  <si>
    <t>AP-2887</t>
  </si>
  <si>
    <t>Maxfuran 5G</t>
  </si>
  <si>
    <t>AP-2888</t>
  </si>
  <si>
    <t>Nalfuran 5G</t>
  </si>
  <si>
    <t>AP-2891</t>
  </si>
  <si>
    <t>Seavafuran 3G</t>
  </si>
  <si>
    <t>AP-2892</t>
  </si>
  <si>
    <t>ICI Furan 5G</t>
  </si>
  <si>
    <t>AP-2893</t>
  </si>
  <si>
    <t>Biszeen 5G</t>
  </si>
  <si>
    <t>AP-2894</t>
  </si>
  <si>
    <t>YSB, Nematode</t>
  </si>
  <si>
    <t>Rice | YSB | 10.00 kg/ha
Tea | Nematode | 165 g/M3</t>
  </si>
  <si>
    <t>Fasalfuran 5G</t>
  </si>
  <si>
    <t>AP-2896</t>
  </si>
  <si>
    <t>BPH, Top Shoot Borer, Nematode</t>
  </si>
  <si>
    <t>Rice | BPH | 10.00 kg/ha
Sugarcane | Top Shoot Borer | 40.00 kg/ha
Tea | Nematode | 165 g/M3</t>
  </si>
  <si>
    <t>MS Furan 3G</t>
  </si>
  <si>
    <t>AP-2897</t>
  </si>
  <si>
    <t>18.80 kg/ha</t>
  </si>
  <si>
    <t>Rice | YSB | 18.80 kg/ha</t>
  </si>
  <si>
    <t>Thaifuran 5G</t>
  </si>
  <si>
    <t>AP-2899</t>
  </si>
  <si>
    <t>Top Shoot Borer, White grub, Hispa</t>
  </si>
  <si>
    <t>Sugarcane | Top Shoot Borer, White grub | 40.00 kg/ha
Rice | Hispa | 10.00 kg/ha</t>
  </si>
  <si>
    <t>Tillage 5G</t>
  </si>
  <si>
    <t>AP-2911</t>
  </si>
  <si>
    <t>White grub, BPH</t>
  </si>
  <si>
    <t>Sugarcane | White grub | 40.00 kg/ha
Rice | BPH | 10.00 kg/ha</t>
  </si>
  <si>
    <t>B-Furan 5G</t>
  </si>
  <si>
    <t>AP-2912</t>
  </si>
  <si>
    <t>White grub</t>
  </si>
  <si>
    <t>Sugarcane | White grub | 40.00 kg/ha</t>
  </si>
  <si>
    <t>Chemofuran 5G</t>
  </si>
  <si>
    <t>AP-2914</t>
  </si>
  <si>
    <t>Potato | Cutworm | 18.80 kg/ha</t>
  </si>
  <si>
    <t>Basicfuran 3G</t>
  </si>
  <si>
    <t>AP-2966</t>
  </si>
  <si>
    <t>EG-Dana 5G</t>
  </si>
  <si>
    <t>AP-3265</t>
  </si>
  <si>
    <t>SB-Furan 5G</t>
  </si>
  <si>
    <t>AP-3268</t>
  </si>
  <si>
    <t>M-Furan 3G</t>
  </si>
  <si>
    <t>AP-3269</t>
  </si>
  <si>
    <t>Skyfuran 5G</t>
  </si>
  <si>
    <t>AP-3271</t>
  </si>
  <si>
    <t>Herofuran 5G</t>
  </si>
  <si>
    <t>AP-3272</t>
  </si>
  <si>
    <t>Delcofuran 5G</t>
  </si>
  <si>
    <t>AP-3273</t>
  </si>
  <si>
    <t>Greatfuran 5G</t>
  </si>
  <si>
    <t>AP-3274</t>
  </si>
  <si>
    <t>Adbhafuran 5G</t>
  </si>
  <si>
    <t>AP-3275</t>
  </si>
  <si>
    <t>Dinafuran 5G</t>
  </si>
  <si>
    <t>AP-3278</t>
  </si>
  <si>
    <t>Aqua 5G</t>
  </si>
  <si>
    <t>AP-3279</t>
  </si>
  <si>
    <t>Nazidan 3G</t>
  </si>
  <si>
    <t>AP-3281</t>
  </si>
  <si>
    <t>Promofuran 5G</t>
  </si>
  <si>
    <t>AP-3282</t>
  </si>
  <si>
    <t>Promote Agro Limited</t>
  </si>
  <si>
    <t>Payfuran 5G</t>
  </si>
  <si>
    <t>AP-3283</t>
  </si>
  <si>
    <t>Runfuran 5G</t>
  </si>
  <si>
    <t>AP-3696</t>
  </si>
  <si>
    <t>Masterfuran 5G</t>
  </si>
  <si>
    <t>AP-3697</t>
  </si>
  <si>
    <t>Bestfuran 5G</t>
  </si>
  <si>
    <t>AP-3698</t>
  </si>
  <si>
    <t>Uday Seradhan 5G</t>
  </si>
  <si>
    <t>AP-3699</t>
  </si>
  <si>
    <t>Udayan Agrovet Development Co.</t>
  </si>
  <si>
    <t>Al-Furan 5G</t>
  </si>
  <si>
    <t>AP-3702</t>
  </si>
  <si>
    <t>Ratina Agro Chemicals</t>
  </si>
  <si>
    <t>Raidan 5G</t>
  </si>
  <si>
    <t>AP-3703</t>
  </si>
  <si>
    <t>Perkfuran 5G</t>
  </si>
  <si>
    <t>AP-3704</t>
  </si>
  <si>
    <t>Perk Agro International</t>
  </si>
  <si>
    <t>Shadhin 5G</t>
  </si>
  <si>
    <t>AP-3705</t>
  </si>
  <si>
    <t>Perfuran 5G</t>
  </si>
  <si>
    <t>AP-3706</t>
  </si>
  <si>
    <t>Limfuran 5G</t>
  </si>
  <si>
    <t>AP-3707</t>
  </si>
  <si>
    <t>Furarus 5G</t>
  </si>
  <si>
    <t>AP-3817</t>
  </si>
  <si>
    <t>Pro-Dan 5G</t>
  </si>
  <si>
    <t>AP-4035</t>
  </si>
  <si>
    <t>Pratasha Internation</t>
  </si>
  <si>
    <t>Mohafuran 5G</t>
  </si>
  <si>
    <t>AP-4038</t>
  </si>
  <si>
    <t>Mohananda Crop Care Ltd.</t>
  </si>
  <si>
    <t>Autofuran 5G</t>
  </si>
  <si>
    <t>AP-2568</t>
  </si>
  <si>
    <t>Utsafuran 5G</t>
  </si>
  <si>
    <t>AP-4039</t>
  </si>
  <si>
    <t>Descodan 5G</t>
  </si>
  <si>
    <t>AP-5949</t>
  </si>
  <si>
    <t>10.0 Kg/ha</t>
  </si>
  <si>
    <t>Rice | BPH | 10.0 Kg/ha</t>
  </si>
  <si>
    <t>Carbosulfan</t>
  </si>
  <si>
    <t>Marshal 20EC</t>
  </si>
  <si>
    <t>AP-91</t>
  </si>
  <si>
    <t>Rice, Cotton, Brinjal</t>
  </si>
  <si>
    <t>Hispa, Mealy bug, Stemborer, BPH, GH, WBPH &amp; Case worm, Bollworm, Aphid &amp; Jassid, Shoot &amp; Fruit borer</t>
  </si>
  <si>
    <t>1.12 L/ha; 1.50 L/ha; 1.00 L/ha</t>
  </si>
  <si>
    <t>Rice | Hispa, Mealy bug | 1.12 L/ha
Rice | Stemborer | 1.50 L/ha
Rice | BPH, GH, WBPH &amp; Case worm | 1.00 L/ha
Cotton | Bollworm, Aphid &amp; Jassid | 1.50 L/ha
Brinjal | Shoot &amp; Fruit borer | 1.50 L/ha</t>
  </si>
  <si>
    <t>Sunsulfan 20EC</t>
  </si>
  <si>
    <t>AP-380</t>
  </si>
  <si>
    <t>1.12 L/ha</t>
  </si>
  <si>
    <t>Rice | Hispa | 1.12 L/ha</t>
  </si>
  <si>
    <t>Amcosul 20 EC</t>
  </si>
  <si>
    <t>AP-431</t>
  </si>
  <si>
    <t>Atherton Imbros Company Limited</t>
  </si>
  <si>
    <t>Hispa, BPH, Yellow Stemborer, Bollworm</t>
  </si>
  <si>
    <t>1.12 L/ha; 1.00 L/ha; 1.50 L/ha</t>
  </si>
  <si>
    <t>Rice | Hispa | 1.12 L/ha
Rice | BPH | 1.00 L/ha
Rice | Yellow Stemborer | 1.50 L/ha
Cotton | Bollworm | 1.50 L/ha</t>
  </si>
  <si>
    <t>Advantage 20SC</t>
  </si>
  <si>
    <t>AP-432</t>
  </si>
  <si>
    <t>Hispa, BPH, Yellow Stemborer, Bollwarm</t>
  </si>
  <si>
    <t>Rice | Hispa | 1.12 L/ha
Rice | BPH | 1.00 L/ha
Rice | Yellow Stemborer | 1.50 L/ha
Cotton | Bollwarm | 1.50 L/ha</t>
  </si>
  <si>
    <t>Sicosulfan 20EC</t>
  </si>
  <si>
    <t>AP-455</t>
  </si>
  <si>
    <t>Hispa, BPH, Stemborer</t>
  </si>
  <si>
    <t>Rice | Hispa | 1.12 L/ha
Rice | BPH | 1.00 L/ha
Rice | Stemborer | 1.50 L/ha</t>
  </si>
  <si>
    <t>General 20EC</t>
  </si>
  <si>
    <t>AP-462</t>
  </si>
  <si>
    <t>Rice, Cotton, Bean</t>
  </si>
  <si>
    <t>Yellow Stemborer, Aphid</t>
  </si>
  <si>
    <t>1.50 L/ha; 1.00 L/ha; 1 ml/L of water</t>
  </si>
  <si>
    <t>Rice | Yellow Stemborer | 1.50 L/ha
Cotton | Aphid | 1.00 L/ha
Bean | Aphid | 1 ml/L of water</t>
  </si>
  <si>
    <t>Benefit 20EC</t>
  </si>
  <si>
    <t>AP-621</t>
  </si>
  <si>
    <t>Cotton, Rice</t>
  </si>
  <si>
    <t>Aphid, Jassid, BPH</t>
  </si>
  <si>
    <t>1.20 ml/ha; 1.00 L/ha</t>
  </si>
  <si>
    <t>Cotton | Aphid, Jassid | 1.20 ml/ha
Rice | BPH | 1.00 L/ha</t>
  </si>
  <si>
    <t>Haysulfan 20EC</t>
  </si>
  <si>
    <t>AP-668</t>
  </si>
  <si>
    <t>Rice | BPH | 1.00 L/ha
Bean | Aphid | 1 ml/L of water</t>
  </si>
  <si>
    <t>Mimsulfan 20EC</t>
  </si>
  <si>
    <t>AP-830</t>
  </si>
  <si>
    <t>1.00 L/ha; 1.12 L/ha</t>
  </si>
  <si>
    <t>Rice | BPH | 1.00 L/ha
Rice | Hispa | 1.12 L/ha</t>
  </si>
  <si>
    <t>Delcy 20EC</t>
  </si>
  <si>
    <t>AP-837</t>
  </si>
  <si>
    <t>BPH, Hispa, Aphid</t>
  </si>
  <si>
    <t>Rice | BPH | 1.00 L/ha
Rice | Hispa | 1.00 L/ha
Bean | Aphid | 1 ml/L of water</t>
  </si>
  <si>
    <t>Corosulfan 6G</t>
  </si>
  <si>
    <t>AP-840</t>
  </si>
  <si>
    <t>Yellow Stemborer, White grubs</t>
  </si>
  <si>
    <t>10.00 kg/ha; 33.33 kg/ha</t>
  </si>
  <si>
    <t>Rice | Yellow Stemborer | 10.00 kg/ha
Sugarcane | White grubs | 33.33 kg/ha</t>
  </si>
  <si>
    <t>Fire 20EC</t>
  </si>
  <si>
    <t>AP-1097</t>
  </si>
  <si>
    <t>Bean | Aphid | 1 ml/L of water</t>
  </si>
  <si>
    <t>Cado 20EC</t>
  </si>
  <si>
    <t>AP-1130</t>
  </si>
  <si>
    <t>Potato | Aphid | 1 ml/L of water</t>
  </si>
  <si>
    <t>Orosulfan 20EC</t>
  </si>
  <si>
    <t>AP-1148</t>
  </si>
  <si>
    <t>Rice | BPH &amp; Hispa | 1.12 L/ha</t>
  </si>
  <si>
    <t>Sizafan 20EC</t>
  </si>
  <si>
    <t>AP-1152</t>
  </si>
  <si>
    <t>Rice | BPH &amp; Hispa | 1.00 L/ha</t>
  </si>
  <si>
    <t>Radial 20EC</t>
  </si>
  <si>
    <t>AP-1190</t>
  </si>
  <si>
    <t>Tea | Red Spider Mite | 1.50 L/ha</t>
  </si>
  <si>
    <t>Vifan 20 EC</t>
  </si>
  <si>
    <t>AP-1480</t>
  </si>
  <si>
    <t>Baisulfan 20EC</t>
  </si>
  <si>
    <t>AP-1487</t>
  </si>
  <si>
    <t>Rice | Yellow Stemborer | 1.50 L/ha</t>
  </si>
  <si>
    <t>Ecosulfan 20EC</t>
  </si>
  <si>
    <t>AP-1544</t>
  </si>
  <si>
    <t>Ricosulfan 20EC</t>
  </si>
  <si>
    <t>AP-1555</t>
  </si>
  <si>
    <t>Bicosulphan 20EC</t>
  </si>
  <si>
    <t>AP-1712</t>
  </si>
  <si>
    <t>Fido 20EC</t>
  </si>
  <si>
    <t>AP-2228</t>
  </si>
  <si>
    <t>Rupa 20EC</t>
  </si>
  <si>
    <t>AP-2682</t>
  </si>
  <si>
    <t>Carbosulfan (10%) + Cypermethrin (10%) (5%)</t>
  </si>
  <si>
    <t>Perfectsulfan 20 EC</t>
  </si>
  <si>
    <t>AP-2874</t>
  </si>
  <si>
    <t>Keen 15EC</t>
  </si>
  <si>
    <t>AP-3876</t>
  </si>
  <si>
    <t>Country Bean | Aphid | 1.50 ml/L of water</t>
  </si>
  <si>
    <t>Cartap</t>
  </si>
  <si>
    <t>Suntap 50SP</t>
  </si>
  <si>
    <t>AP-217</t>
  </si>
  <si>
    <t>Yellow Stemborer,, BPH, Green leaf hopper, Hispa, Shoot &amp; Fruit borer</t>
  </si>
  <si>
    <t>1.40 kg/ha; 1.20 kg/ha; 800 gm/ha; 2.40 g/L of water</t>
  </si>
  <si>
    <t>Rice | Yellow Stemborer, | 1.40 kg/ha
Rice | BPH, Green leaf hopper | 1.20 kg/ha
Rice | Hispa | 800 gm/ha
Brinjal | Shoot &amp; Fruit borer | 2.40 g/L of water</t>
  </si>
  <si>
    <t>IRAC 14</t>
  </si>
  <si>
    <t>Forwatap 50SP</t>
  </si>
  <si>
    <t>AP-378</t>
  </si>
  <si>
    <t>800 gm/ha</t>
  </si>
  <si>
    <t>Rice | Hispa | 800 gm/ha</t>
  </si>
  <si>
    <t>Katap 50SP</t>
  </si>
  <si>
    <t>AP-421</t>
  </si>
  <si>
    <t>Stemborer, Hispa</t>
  </si>
  <si>
    <t>1.40 kg/ha; 800 gm/ha</t>
  </si>
  <si>
    <t>Rice | Stemborer | 1.40 kg/ha
Rice | Hispa | 800 gm/ha</t>
  </si>
  <si>
    <t>Cartap 50SP</t>
  </si>
  <si>
    <t>AP-422</t>
  </si>
  <si>
    <t>Hispa, BPH, YSB</t>
  </si>
  <si>
    <t>800 gm/ha; 1.20 kg/ha; 1.40 kg/ha</t>
  </si>
  <si>
    <t>Rice | Hispa | 800 gm/ha
Rice | BPH | 1.20 kg/ha
Rice | YSB | 1.40 kg/ha</t>
  </si>
  <si>
    <t>Cidan 4G</t>
  </si>
  <si>
    <t>AP-424</t>
  </si>
  <si>
    <t>13.50 kg/ha</t>
  </si>
  <si>
    <t>Rice | Yellow Stemborer | 13.50 kg/ha</t>
  </si>
  <si>
    <t>Rider 50SP</t>
  </si>
  <si>
    <t>AP-456</t>
  </si>
  <si>
    <t>Stemborer</t>
  </si>
  <si>
    <t>1.40 kg/ha</t>
  </si>
  <si>
    <t>Rice | Stemborer | 1.40 kg/ha</t>
  </si>
  <si>
    <t>Cikotap 50 P</t>
  </si>
  <si>
    <t>AP-457</t>
  </si>
  <si>
    <t>Stemborer, BPH, Hispa, Ballworm</t>
  </si>
  <si>
    <t>1.40 kg/ha; 1.20 kg/ha; 800 gm/ha; 1.00 kg/ha</t>
  </si>
  <si>
    <t>Rice | Stemborer | 1.40 kg/ha
Rice | BPH | 1.20 kg/ha
Rice | Hispa | 800 gm/ha
Cotton | Ballworm | 1.00 kg/ha</t>
  </si>
  <si>
    <t>Sundan 4GR</t>
  </si>
  <si>
    <t>AP-463</t>
  </si>
  <si>
    <t>BPH, Hispa, Stemborer</t>
  </si>
  <si>
    <t>13.50 kg/ha; 75.00 kg/ha</t>
  </si>
  <si>
    <t>Rice | BPH, Hispa | 13.50 kg/ha
Sugarcane | Stemborer | 75.00 kg/ha</t>
  </si>
  <si>
    <t>Ferdan 50SP</t>
  </si>
  <si>
    <t>AP-588</t>
  </si>
  <si>
    <t>Yellow Stemborer, Bollworm</t>
  </si>
  <si>
    <t>1.40 kg/ha; 400 gm/ha</t>
  </si>
  <si>
    <t>Rice | Yellow Stemborer | 1.40 kg/ha
Cotton | Bollworm | 400 gm/ha</t>
  </si>
  <si>
    <t>Sinotap 50SP</t>
  </si>
  <si>
    <t>AP-595</t>
  </si>
  <si>
    <t>BPH, Hispa, Shoot &amp; Fruit borer</t>
  </si>
  <si>
    <t>1.20 kg/ha; 2.4 g/L of water</t>
  </si>
  <si>
    <t>Rice | BPH, Hispa | 1.20 kg/ha
Brinjal | Shoot &amp; Fruit borer | 2.4 g/L of water</t>
  </si>
  <si>
    <t>Tenup 50SP</t>
  </si>
  <si>
    <t>AP-607</t>
  </si>
  <si>
    <t>Rice, Potato</t>
  </si>
  <si>
    <t>Hispa, BPH, Cutworm</t>
  </si>
  <si>
    <t>800 gm/ha; 1.50 kg/ha</t>
  </si>
  <si>
    <t>Rice | Hispa, BPH | 800 gm/ha
Potato | Cutworm | 1.50 kg/ha</t>
  </si>
  <si>
    <t>Hero 50SP</t>
  </si>
  <si>
    <t>AP-650</t>
  </si>
  <si>
    <t>1.20 kg/ha</t>
  </si>
  <si>
    <t>Rice | BPH | 1.20 kg/ha</t>
  </si>
  <si>
    <t>Rexitap 50SP</t>
  </si>
  <si>
    <t>AP-652</t>
  </si>
  <si>
    <t>Megatap 50WP</t>
  </si>
  <si>
    <t>AP-653</t>
  </si>
  <si>
    <t>1.20 kg/ha; 1.20 g/Lof water</t>
  </si>
  <si>
    <t>Rice | BPH | 1.20 kg/ha
Brinjal | Aphid | 1.20 g/Lof water</t>
  </si>
  <si>
    <t>Care 50SP</t>
  </si>
  <si>
    <t>AP-654</t>
  </si>
  <si>
    <t>Rice, Potato, Brinjal</t>
  </si>
  <si>
    <t>BPH, Hispa, Cutworm, Shoot &amp; Fruit borer</t>
  </si>
  <si>
    <t>1.20 kg/ha; 800 gm/ha; 1.50 kg/ha; 2.40 g/L of water</t>
  </si>
  <si>
    <t>Rice | BPH | 1.20 kg/ha
Rice | Hispa | 800 gm/ha
Potato | Cutworm | 1.50 kg/ha
Brinjal | Shoot &amp; Fruit borer | 2.40 g/L of water</t>
  </si>
  <si>
    <t>Victor 50SP</t>
  </si>
  <si>
    <t>AP-679</t>
  </si>
  <si>
    <t>Wendan 4G</t>
  </si>
  <si>
    <t>AP-687</t>
  </si>
  <si>
    <t>Hispa, Stemborer</t>
  </si>
  <si>
    <t>13.50 kg/ha; 3.00 kg ai/ha</t>
  </si>
  <si>
    <t>Rice | Hispa | 13.50 kg/ha
Sugarcane | Stemborer | 3.00 kg ai/ha</t>
  </si>
  <si>
    <t>Wentap 50SP</t>
  </si>
  <si>
    <t>AP-768</t>
  </si>
  <si>
    <t>800 gm/ha; 1.20 kg/ha</t>
  </si>
  <si>
    <t>Rice | Hispa | 800 gm/ha
Rice | BPH | 1.20 kg/ha</t>
  </si>
  <si>
    <t>Baitap 50SP</t>
  </si>
  <si>
    <t>AP-769</t>
  </si>
  <si>
    <t>Shoot &amp; Fruit borer, BPH</t>
  </si>
  <si>
    <t>1.20 kg/ha; 1.40 kg/ha</t>
  </si>
  <si>
    <t>Brinjal | Shoot &amp; Fruit borer | 1.20 kg/ha
Rice | BPH | 1.40 kg/ha</t>
  </si>
  <si>
    <t>Mimtap 50SP</t>
  </si>
  <si>
    <t>AP-770</t>
  </si>
  <si>
    <t>Riversun 4G</t>
  </si>
  <si>
    <t>AP-771</t>
  </si>
  <si>
    <t>Arotap 50SP</t>
  </si>
  <si>
    <t>AP-812</t>
  </si>
  <si>
    <t>Haytap 50SP</t>
  </si>
  <si>
    <t>AP-833</t>
  </si>
  <si>
    <t>BPH, Hispa, Yellow Stemborer, Shoot &amp; Fruit borer</t>
  </si>
  <si>
    <t>1.20 kg/ha; 800 gm/ha; 1.40 kg/ha; 2.40 g/L of water</t>
  </si>
  <si>
    <t>Rice | BPH | 1.20 kg/ha
Rice | Hispa | 800 gm/ha
Rice | Yellow Stemborer | 1.40 kg/ha
Brinjal | Shoot &amp; Fruit borer | 2.40 g/L of water</t>
  </si>
  <si>
    <t>Filtap 50SP</t>
  </si>
  <si>
    <t>AP-834</t>
  </si>
  <si>
    <t>1.20 gm/ha; 800 gm/ha; 2.40 g/L of water</t>
  </si>
  <si>
    <t>Rice | BPH | 1.20 gm/ha
Rice | Hispa | 800 gm/ha
Brinjal | Shoot &amp; Fruit borer | 2.40 g/L of water</t>
  </si>
  <si>
    <t>Seatap 50SP</t>
  </si>
  <si>
    <t>AP-867</t>
  </si>
  <si>
    <t>1.20 g/L of water; 1.20 kg/ha</t>
  </si>
  <si>
    <t>Brinjal | Aphid | 1.20 g/L of water
Rice | BPH | 1.20 kg/ha</t>
  </si>
  <si>
    <t>Alpha Tap 50SP</t>
  </si>
  <si>
    <t>AP-920</t>
  </si>
  <si>
    <t>Aphid, Hispa</t>
  </si>
  <si>
    <t>1.20 g/Lof water; 800 gm/ha</t>
  </si>
  <si>
    <t>Chilli | Aphid | 1.20 g/Lof water
Rice | Hispa | 800 gm/ha</t>
  </si>
  <si>
    <t>Active 4G</t>
  </si>
  <si>
    <t>AP-962</t>
  </si>
  <si>
    <t>3.00 kg ai/ha</t>
  </si>
  <si>
    <t>Sugarcane | Stemborer | 3.00 kg ai/ha</t>
  </si>
  <si>
    <t>Rtap 50SP</t>
  </si>
  <si>
    <t>AP-964</t>
  </si>
  <si>
    <t>Shoot &amp; Fruit borer</t>
  </si>
  <si>
    <t>2.40 g/L of water</t>
  </si>
  <si>
    <t>Brinjal | Shoot &amp; Fruit borer | 2.40 g/L of water</t>
  </si>
  <si>
    <t>Kadan 50SP</t>
  </si>
  <si>
    <t>AP-1003</t>
  </si>
  <si>
    <t>1.20 kg/ha; 800 gm/ha</t>
  </si>
  <si>
    <t>Rice | BPH | 1.20 kg/ha
Rice | Hispa | 800 gm/ha</t>
  </si>
  <si>
    <t>Goldtap 50SP</t>
  </si>
  <si>
    <t>AP-1010</t>
  </si>
  <si>
    <t>Moontap 50SP</t>
  </si>
  <si>
    <t>AP-1011</t>
  </si>
  <si>
    <t>Jose 50SP</t>
  </si>
  <si>
    <t>AP-1029</t>
  </si>
  <si>
    <t>Rice | Yellow Stemborer | 1.40 kg/ha</t>
  </si>
  <si>
    <t>Filfil 50SP</t>
  </si>
  <si>
    <t>AP-1071</t>
  </si>
  <si>
    <t>King Tap 50SP</t>
  </si>
  <si>
    <t>AP-1089</t>
  </si>
  <si>
    <t>Aphid, BPH &amp; Hispa</t>
  </si>
  <si>
    <t>1 g/L of water; 1.20 kg &amp; 800 g</t>
  </si>
  <si>
    <t>Brinjal | Aphid | 1 g/L of water
Rice | BPH &amp; Hispa | 1.20 kg &amp; 800 g</t>
  </si>
  <si>
    <t>Ratan 50SP</t>
  </si>
  <si>
    <t>AP-1100</t>
  </si>
  <si>
    <t>Shoot &amp; Fruit borer, BPH &amp; Hispa</t>
  </si>
  <si>
    <t>2.40 g/L of water; 1.40 kg/ha</t>
  </si>
  <si>
    <t>Brinjal | Shoot &amp; Fruit borer | 2.40 g/L of water
Rice | BPH &amp; Hispa | 1.40 kg/ha</t>
  </si>
  <si>
    <t>Bravo 50SP</t>
  </si>
  <si>
    <t>AP-1105</t>
  </si>
  <si>
    <t>Mono Padan 50SP</t>
  </si>
  <si>
    <t>AP-1122</t>
  </si>
  <si>
    <t>Harvest 50SP</t>
  </si>
  <si>
    <t>AP-1135</t>
  </si>
  <si>
    <t>Brinjal | Aphid | 1 g/L of water</t>
  </si>
  <si>
    <t>Apex 50SP</t>
  </si>
  <si>
    <t>AP-1203</t>
  </si>
  <si>
    <t>1.20 kg/ha; 1 g/L of water</t>
  </si>
  <si>
    <t>Rice | BPH | 1.20 kg/ha
Brinjal | Aphid | 1 g/L of water</t>
  </si>
  <si>
    <t>Agrotap 50SP</t>
  </si>
  <si>
    <t>AP-1204</t>
  </si>
  <si>
    <t>Bletap 50SP</t>
  </si>
  <si>
    <t>AP-1208</t>
  </si>
  <si>
    <t>Yellow Stem borer, Aphid</t>
  </si>
  <si>
    <t>1.40 kg/ha; 1 g/L of water</t>
  </si>
  <si>
    <t>Rice | Yellow Stem borer | 1.40 kg/ha
Bean | Aphid | 1 g/L of water</t>
  </si>
  <si>
    <t>Dtap 50SP</t>
  </si>
  <si>
    <t>AP-1209</t>
  </si>
  <si>
    <t>1.40 kg/ha; 1g/L of water</t>
  </si>
  <si>
    <t>Rice | Yellow Stem borer | 1.40 kg/ha
Bean | Aphid | 1g/L of water</t>
  </si>
  <si>
    <t>Tazri 50SP</t>
  </si>
  <si>
    <t>AP-1210</t>
  </si>
  <si>
    <t>Yellow Stem borer</t>
  </si>
  <si>
    <t>Rice | Yellow Stem borer | 1.40 kg/ha</t>
  </si>
  <si>
    <t>Shut Up 50SP</t>
  </si>
  <si>
    <t>AP-1213</t>
  </si>
  <si>
    <t>Bolder 50 SP</t>
  </si>
  <si>
    <t>AP-1216</t>
  </si>
  <si>
    <t>1.20 kg &amp; 800 g</t>
  </si>
  <si>
    <t>Rice | BPH &amp; Hispa | 1.20 kg &amp; 800 g</t>
  </si>
  <si>
    <t>Rekatap 50SP</t>
  </si>
  <si>
    <t>AP-1252</t>
  </si>
  <si>
    <t>Rice | BPH | 1.20 kg/ha
Tea | Termite | 1.40 kg/ha</t>
  </si>
  <si>
    <t>Rantap 50SP</t>
  </si>
  <si>
    <t>AP-1262</t>
  </si>
  <si>
    <t>Bollworm, Hispa</t>
  </si>
  <si>
    <t>400 gm/ha; 13.50 kg/ha</t>
  </si>
  <si>
    <t>Cotton | Bollworm | 400 gm/ha
Rice | Hispa | 13.50 kg/ha</t>
  </si>
  <si>
    <t>Fitap 50SP</t>
  </si>
  <si>
    <t>AP-1272</t>
  </si>
  <si>
    <t>Padmatap 50SP</t>
  </si>
  <si>
    <t>AP-1306</t>
  </si>
  <si>
    <t>CP-Tap 50SP</t>
  </si>
  <si>
    <t>AP-1326</t>
  </si>
  <si>
    <t>1 g/L of water; 1.20 kg/ha</t>
  </si>
  <si>
    <t>Brinjal | Aphid | 1 g/L of water
Rice | BPH | 1.20 kg/ha</t>
  </si>
  <si>
    <t>Protector 4GR</t>
  </si>
  <si>
    <t>AP-1464</t>
  </si>
  <si>
    <t>Rice | BPH | 13.50 kg/ha</t>
  </si>
  <si>
    <t>Real 4GR</t>
  </si>
  <si>
    <t>AP-1481</t>
  </si>
  <si>
    <t>Rice | Hispa | 13.50 kg/ha
Sugarcane | Stemborer | 75.00 kg/ha</t>
  </si>
  <si>
    <t>Amatap 50SP</t>
  </si>
  <si>
    <t>AP-1485</t>
  </si>
  <si>
    <t>Ecotap 50SP</t>
  </si>
  <si>
    <t>AP-1489</t>
  </si>
  <si>
    <t>Rice | Yellow Stem borer | 1.40 kg/ha
Brinjal | Aphid | 1 g/L of water</t>
  </si>
  <si>
    <t>Meritap 50SP</t>
  </si>
  <si>
    <t>AP-1490</t>
  </si>
  <si>
    <t>Diotap 50 SP</t>
  </si>
  <si>
    <t>AP-1493</t>
  </si>
  <si>
    <t>1.24 g/L of water</t>
  </si>
  <si>
    <t>Brinjal | Shoot &amp; Fruit borer | 1.24 g/L of water</t>
  </si>
  <si>
    <t>Aristotap 50 SP</t>
  </si>
  <si>
    <t>AP-1534</t>
  </si>
  <si>
    <t>Aristocart Agro Services</t>
  </si>
  <si>
    <t>Hinotap 50SP</t>
  </si>
  <si>
    <t>AP-1536</t>
  </si>
  <si>
    <t>Onetap 50SP</t>
  </si>
  <si>
    <t>AP-1549</t>
  </si>
  <si>
    <t>Rice, Brinjal, Tea</t>
  </si>
  <si>
    <t>1.20 kg/ha; 1 g/L of water; 500 gm/ha</t>
  </si>
  <si>
    <t>Rice | BPH | 1.20 kg/ha
Brinjal | Aphid | 1 g/L of water
Tea | Helopeltis | 500 gm/ha</t>
  </si>
  <si>
    <t>Tytap 50SP</t>
  </si>
  <si>
    <t>AP-1550</t>
  </si>
  <si>
    <t>Rantap 4G</t>
  </si>
  <si>
    <t>AP-1597</t>
  </si>
  <si>
    <t>Rice | Hispa | 13.50 kg/ha</t>
  </si>
  <si>
    <t>Smartap 50SP</t>
  </si>
  <si>
    <t>AP-1609</t>
  </si>
  <si>
    <t>Polotap 50SP</t>
  </si>
  <si>
    <t>AP-1622</t>
  </si>
  <si>
    <t>Venus 50SP</t>
  </si>
  <si>
    <t>AP-1664</t>
  </si>
  <si>
    <t>Ratan 4GR</t>
  </si>
  <si>
    <t>AP-1743</t>
  </si>
  <si>
    <t>City Tap 50 SP</t>
  </si>
  <si>
    <t>AP-1744</t>
  </si>
  <si>
    <t>I-Tap 50SP</t>
  </si>
  <si>
    <t>AP-1752</t>
  </si>
  <si>
    <t>Rajtap 50SP</t>
  </si>
  <si>
    <t>AP-1756</t>
  </si>
  <si>
    <t>Nature &amp; Care Agro products Ltd.</t>
  </si>
  <si>
    <t>Fruit Borer, Yellow Stemborer</t>
  </si>
  <si>
    <t>2 g/L of water; 1.40 kg/ha</t>
  </si>
  <si>
    <t>Tomato | Fruit Borer | 2 g/L of water
Rice | Yellow Stemborer | 1.40 kg/ha</t>
  </si>
  <si>
    <t>Shahitap 50SP</t>
  </si>
  <si>
    <t>AP-1938</t>
  </si>
  <si>
    <t>Siamtap 50SP</t>
  </si>
  <si>
    <t>AP-1998</t>
  </si>
  <si>
    <t>Rycar 50SP</t>
  </si>
  <si>
    <t>AP-1999</t>
  </si>
  <si>
    <t>1.20 kg/ha; 1.00 kg/ha</t>
  </si>
  <si>
    <t>Rice | BPH | 1.20 kg/ha
Cotton | Bollworm | 1.00 kg/ha</t>
  </si>
  <si>
    <t>Genetap 50SP</t>
  </si>
  <si>
    <t>AP-2002</t>
  </si>
  <si>
    <t>Ricotap 50SP</t>
  </si>
  <si>
    <t>AP-2004</t>
  </si>
  <si>
    <t>Hossatap 50SP</t>
  </si>
  <si>
    <t>AP-2005</t>
  </si>
  <si>
    <t>Sonotap 50SP</t>
  </si>
  <si>
    <t>AP-2007</t>
  </si>
  <si>
    <t>Rice | Hispa | 1.20 kg/ha</t>
  </si>
  <si>
    <t>Cart 50SP</t>
  </si>
  <si>
    <t>AP-2008</t>
  </si>
  <si>
    <t>Rice | YSB | 1.40 kg/ha</t>
  </si>
  <si>
    <t>Vigour 80 SP</t>
  </si>
  <si>
    <t>AP-2190</t>
  </si>
  <si>
    <t>1.40 kg</t>
  </si>
  <si>
    <t>Rice | YSB | 1.40 kg</t>
  </si>
  <si>
    <t>Extap 50SP</t>
  </si>
  <si>
    <t>AP-2208</t>
  </si>
  <si>
    <t>Paratap 50SP</t>
  </si>
  <si>
    <t>AP-2210</t>
  </si>
  <si>
    <t>0.80 kg/ha</t>
  </si>
  <si>
    <t>Rice | Hispa | 0.80 kg/ha</t>
  </si>
  <si>
    <t>Unitap 50 SP</t>
  </si>
  <si>
    <t>AP-2329</t>
  </si>
  <si>
    <t>Freshtap 50SP</t>
  </si>
  <si>
    <t>AP-2330</t>
  </si>
  <si>
    <t>Mahitap 50SP</t>
  </si>
  <si>
    <t>AP-2331</t>
  </si>
  <si>
    <t>Chamok 50SP</t>
  </si>
  <si>
    <t>AP-2669</t>
  </si>
  <si>
    <t>Orotap 50SP</t>
  </si>
  <si>
    <t>AP-2673</t>
  </si>
  <si>
    <t>S-Tap 50 SP</t>
  </si>
  <si>
    <t>AP-2674</t>
  </si>
  <si>
    <t>Cotton | Bollworm | 1.00 kg/ha</t>
  </si>
  <si>
    <t>Dhonotap 50SP</t>
  </si>
  <si>
    <t>AP-2675</t>
  </si>
  <si>
    <t>Besttap 50 SP</t>
  </si>
  <si>
    <t>AP-2676</t>
  </si>
  <si>
    <t>Rajtap 50 SP</t>
  </si>
  <si>
    <t>AP-2819</t>
  </si>
  <si>
    <t>Modern Agro Care</t>
  </si>
  <si>
    <t>Tapwin 50 SP</t>
  </si>
  <si>
    <t>AP-2836</t>
  </si>
  <si>
    <t>Care Plus 50SP</t>
  </si>
  <si>
    <t>AP-2840</t>
  </si>
  <si>
    <t>Sharitap 50SP</t>
  </si>
  <si>
    <t>AP-2841</t>
  </si>
  <si>
    <t>Sharib Trade Sangtha Pvt. Ltd.</t>
  </si>
  <si>
    <t>Qtap 50SP</t>
  </si>
  <si>
    <t>AP-2842</t>
  </si>
  <si>
    <t>Neo-Tap 50SP</t>
  </si>
  <si>
    <t>AP-2822</t>
  </si>
  <si>
    <t>12.0 kg/ha</t>
  </si>
  <si>
    <t>Rice | YSB | 12.0 kg/ha</t>
  </si>
  <si>
    <t>Fasal Tap 50SP</t>
  </si>
  <si>
    <t>AP-3382</t>
  </si>
  <si>
    <t>Rice | BPH | 12.0 kg/ha</t>
  </si>
  <si>
    <t>Ecotap Plus 85SP</t>
  </si>
  <si>
    <t>AP-3383</t>
  </si>
  <si>
    <t>Baitap Plus 85SP</t>
  </si>
  <si>
    <t>AP-3384</t>
  </si>
  <si>
    <t>Rider Plus 85SP</t>
  </si>
  <si>
    <t>AP-3385</t>
  </si>
  <si>
    <t>B-Tap 50SP</t>
  </si>
  <si>
    <t>AP-3387</t>
  </si>
  <si>
    <t>Rajib Agro Chemicals Limited</t>
  </si>
  <si>
    <t>Tea | Termite | 1.40 kg/ha</t>
  </si>
  <si>
    <t>Moontap 4G</t>
  </si>
  <si>
    <t>AP-3389</t>
  </si>
  <si>
    <t>Adbhatap 50SP</t>
  </si>
  <si>
    <t>AP-3728</t>
  </si>
  <si>
    <t>Bhatap 50SP</t>
  </si>
  <si>
    <t>AP-3730</t>
  </si>
  <si>
    <t>Holotap 50 SP</t>
  </si>
  <si>
    <t>AP-3732</t>
  </si>
  <si>
    <t>Holozone</t>
  </si>
  <si>
    <t>1.20 kg/ha; 2 g/L of water</t>
  </si>
  <si>
    <t>Rice | BPH | 1.20 kg/ha
Brinjal | Aphid | 2 g/L of water</t>
  </si>
  <si>
    <t>Nokotap 6G</t>
  </si>
  <si>
    <t>AP-3734</t>
  </si>
  <si>
    <t>YSB, Stemborer</t>
  </si>
  <si>
    <t>10.00 kg/ha; 50.00 kg/ha</t>
  </si>
  <si>
    <t>Rice | YSB | 10.00 kg/ha
Sugarcane | Stemborer | 50.00 kg/ha</t>
  </si>
  <si>
    <t>Forcart 50SP</t>
  </si>
  <si>
    <t>AP-4136</t>
  </si>
  <si>
    <t>Farmtap 50SP</t>
  </si>
  <si>
    <t>AP-4497</t>
  </si>
  <si>
    <t>Acetamiprid (3%) + Cartap (92%)</t>
  </si>
  <si>
    <t>Dufen 75SG</t>
  </si>
  <si>
    <t>AP-4498</t>
  </si>
  <si>
    <t>Dhanuka Agri Solutions Pvt. Ltd</t>
  </si>
  <si>
    <t>0.8 kg/ha</t>
  </si>
  <si>
    <t>Rice | BPH | 0.8 kg/ha</t>
  </si>
  <si>
    <t>Cartaprid 95SP</t>
  </si>
  <si>
    <t>AP-3063</t>
  </si>
  <si>
    <t>Cotton | Aphid, Jessid | 50 gm/ha</t>
  </si>
  <si>
    <t>Imicart 70SP</t>
  </si>
  <si>
    <t>AP-3366</t>
  </si>
  <si>
    <t>Batir 95WP</t>
  </si>
  <si>
    <t>AP-3793</t>
  </si>
  <si>
    <t>Rice | YSB | 150 gm/ha</t>
  </si>
  <si>
    <t>Aciprid Plus 95SP</t>
  </si>
  <si>
    <t>AP-4140</t>
  </si>
  <si>
    <t>150 gm/ha; 0.5 g/L of water</t>
  </si>
  <si>
    <t>Rice | BPH | 150 gm/ha
Brinjal | Aphid | 0.5 g/L of water</t>
  </si>
  <si>
    <t>Fairprid 95SP</t>
  </si>
  <si>
    <t>AP-4983</t>
  </si>
  <si>
    <t>Fair Agrochemicals Servies Ltd.</t>
  </si>
  <si>
    <t>Cotton | Aphid, Jessid | 100 gm/ha</t>
  </si>
  <si>
    <t>Caprid 95SP</t>
  </si>
  <si>
    <t>AP-4984</t>
  </si>
  <si>
    <t>Cotton | Bollworm | 150 gm/ha</t>
  </si>
  <si>
    <t>Tatrid 95SP</t>
  </si>
  <si>
    <t>AP-4985</t>
  </si>
  <si>
    <t>Tea | Aphid | 100 gm/ha</t>
  </si>
  <si>
    <t>Keyaton 95SP</t>
  </si>
  <si>
    <t>AP-4986</t>
  </si>
  <si>
    <t>Rice | BPH | 150 gm/ha</t>
  </si>
  <si>
    <t>M-Prid 95SP</t>
  </si>
  <si>
    <t>AP-5254</t>
  </si>
  <si>
    <t>1 g/10 L of water</t>
  </si>
  <si>
    <t>Cotton | Aphid, Jassid | 1 g/10 L of water</t>
  </si>
  <si>
    <t>Niltap 95SP</t>
  </si>
  <si>
    <t>AP-4141</t>
  </si>
  <si>
    <t>Bean | Aphid | 0.25 g/L of water</t>
  </si>
  <si>
    <t>Aceprid 95SP</t>
  </si>
  <si>
    <t>AP-4427</t>
  </si>
  <si>
    <t>Country Bean | Aphid | 0.25 g/L of water</t>
  </si>
  <si>
    <t>Mine 95SP</t>
  </si>
  <si>
    <t>AP-4428</t>
  </si>
  <si>
    <t>150 gm/ha; 100 gm/ha</t>
  </si>
  <si>
    <t>Rice | BPH | 150 gm/ha
Tea | Aphid | 100 gm/ha</t>
  </si>
  <si>
    <t>Acecar 95SP</t>
  </si>
  <si>
    <t>AP-4429</t>
  </si>
  <si>
    <t>Rider Plus Extra 95SP</t>
  </si>
  <si>
    <t>AP-4430</t>
  </si>
  <si>
    <t>Baitap Plus Extra 95SP</t>
  </si>
  <si>
    <t>AP-4431</t>
  </si>
  <si>
    <t>Ecotap Plus Extra 95SP</t>
  </si>
  <si>
    <t>AP-4432</t>
  </si>
  <si>
    <t>Red 95SP</t>
  </si>
  <si>
    <t>AP-4433</t>
  </si>
  <si>
    <t>Powerprid 95SP</t>
  </si>
  <si>
    <t>AP-5923</t>
  </si>
  <si>
    <t>150 g/ha; 225 g/ha</t>
  </si>
  <si>
    <t>Rice | BPH | 150 g/ha
Jute | Yellow mite | 225 g/ha</t>
  </si>
  <si>
    <t>Primitap 95SP</t>
  </si>
  <si>
    <t>AP-5924</t>
  </si>
  <si>
    <t>Naptaprid 95SP</t>
  </si>
  <si>
    <t>AP-5925</t>
  </si>
  <si>
    <t>Nap Agro Chemicals</t>
  </si>
  <si>
    <t>150 g/ha</t>
  </si>
  <si>
    <t>Rice | BPH | 150 g/ha</t>
  </si>
  <si>
    <t>Fatal 95SP</t>
  </si>
  <si>
    <t>AP-5926</t>
  </si>
  <si>
    <t>BPH, Hairy Caterpillar</t>
  </si>
  <si>
    <t>Rice | BPH | 150 g/ha
Jute | Hairy Caterpillar | 225 g/ha</t>
  </si>
  <si>
    <t>Acetamiprid 20% + Emamectin Benzoate 5% (60+10)</t>
  </si>
  <si>
    <t>Venom 25WDG</t>
  </si>
  <si>
    <t>AP-4072</t>
  </si>
  <si>
    <t>Camson 70WDG</t>
  </si>
  <si>
    <t>AP-5567</t>
  </si>
  <si>
    <t>80 gm/ha</t>
  </si>
  <si>
    <t>Cotton | Bollworm | 80 gm/ha</t>
  </si>
  <si>
    <t>Tamprid 25WDG</t>
  </si>
  <si>
    <t>AP-5745</t>
  </si>
  <si>
    <t>Jute | Hairy Caterpillar | 500 gm/ha</t>
  </si>
  <si>
    <t>Acetamiprid (50%) + Buprofezin (25%)</t>
  </si>
  <si>
    <t>Parker 75WG</t>
  </si>
  <si>
    <t>AP-6154</t>
  </si>
  <si>
    <t>Basic Agrovet Ltd.</t>
  </si>
  <si>
    <t>30 g/ha</t>
  </si>
  <si>
    <t>Jute | Yellow mite | 30 g/ha</t>
  </si>
  <si>
    <t>Acetamiprid (16%) + Imidacloprid (4%)</t>
  </si>
  <si>
    <t>Glory 20SP</t>
  </si>
  <si>
    <t>AP-4582</t>
  </si>
  <si>
    <t>Acetamiprid (20%) + Imidacloprid (50%)</t>
  </si>
  <si>
    <t>Ricomid Plus 70WDG</t>
  </si>
  <si>
    <t>AP-5243</t>
  </si>
  <si>
    <t>500 gm/ha; 25.70 gm/ha</t>
  </si>
  <si>
    <t>Tea | Aphid | 500 gm/ha
Rice | BPH | 25.70 gm/ha</t>
  </si>
  <si>
    <t xml:space="preserve"> (60% + 10%)</t>
  </si>
  <si>
    <t>Nilama 70WDG</t>
  </si>
  <si>
    <t>AP-5244</t>
  </si>
  <si>
    <t>Cotton, Jute</t>
  </si>
  <si>
    <t>Aphid, Jassids, Hairy Caterpillar, Aphid, Jassid</t>
  </si>
  <si>
    <t>125 gm/ha; 100 gm/ha</t>
  </si>
  <si>
    <t>Cotton | Aphid, Jassids | 125 gm/ha
Jute | Hairy Caterpillar | 100 gm/ha
Cotton | Aphid, Jassid | 125 gm/ha</t>
  </si>
  <si>
    <t>Fame 70WDG</t>
  </si>
  <si>
    <t>AP-5245</t>
  </si>
  <si>
    <t>Hairy Caterpillar, BPH</t>
  </si>
  <si>
    <t>100 gm/ha; 50 gm/ha</t>
  </si>
  <si>
    <t>Jute | Hairy Caterpillar | 100 gm/ha
Rice | BPH | 50 gm/ha</t>
  </si>
  <si>
    <t>Cartap (47.5%) + Fipronil (2.5%)</t>
  </si>
  <si>
    <t>Suntap Plus 50WP</t>
  </si>
  <si>
    <t>AP-4499</t>
  </si>
  <si>
    <t>0.75 gm/ha</t>
  </si>
  <si>
    <t>Rice | YSB | 0.75 gm/ha</t>
  </si>
  <si>
    <t>Chlorfenapyr</t>
  </si>
  <si>
    <t>Intrepid 10SC</t>
  </si>
  <si>
    <t>AP-2700</t>
  </si>
  <si>
    <t>Brinjal, Chilli, Tea</t>
  </si>
  <si>
    <t>Red mite, Thirps, Red Spider Mite and Thips</t>
  </si>
  <si>
    <t>1 g/L of water; 1.00 L/ha</t>
  </si>
  <si>
    <t>Brinjal | Red mite | 1 g/L of water
Chilli | Thirps | 1 g/L of water
Tea | Red Spider Mite and Thips | 1.00 L/ha</t>
  </si>
  <si>
    <t>IRAC 13</t>
  </si>
  <si>
    <t>Chlorfenapyr (10%) Emamectin Benzoate (2.00)</t>
  </si>
  <si>
    <t>Dimension 12SC</t>
  </si>
  <si>
    <t>AP-6002</t>
  </si>
  <si>
    <t>Yelow mite</t>
  </si>
  <si>
    <t>Jute | Yelow mite | 500 ml/ha</t>
  </si>
  <si>
    <t>Chlorfenapyr (10%) + Fipronil (10%)</t>
  </si>
  <si>
    <t>Puni 20WDG</t>
  </si>
  <si>
    <t>AP-5789</t>
  </si>
  <si>
    <t>BPH, Weevil</t>
  </si>
  <si>
    <t>10.00 kg/ha; 225 g/ha</t>
  </si>
  <si>
    <t>Rice | BPH | 10.00 kg/ha
Jute | Weevil | 225 g/ha</t>
  </si>
  <si>
    <t>Chlorpyrifos</t>
  </si>
  <si>
    <t>Dursban 20EC</t>
  </si>
  <si>
    <t>AP-93</t>
  </si>
  <si>
    <t>Rice, Tea, Potato, Cotton, Sugarcane</t>
  </si>
  <si>
    <t>BPH, Hispa, SB, LR, GH &amp; Rice bug, Termite, Cutworm, Boll worm, Aphid, Jassid</t>
  </si>
  <si>
    <t>1.00 L/ha; 7.50 L/ha; 700 ml/ha; 11.25 L/ha</t>
  </si>
  <si>
    <t>Rice | BPH, Hispa, SB, LR, GH &amp; Rice bug | 1.00 L/ha
Tea | Termite | 1.00 L/ha
Potato | Cutworm | 7.50 L/ha
Cotton | Boll worm, Aphid, Jassid | 700 ml/ha
Sugarcane | Termite | 11.25 L/ha</t>
  </si>
  <si>
    <t>Chlorban 20EC</t>
  </si>
  <si>
    <t>AP-346</t>
  </si>
  <si>
    <t>Yellow Stemborer &amp; BPH, Termite</t>
  </si>
  <si>
    <t>1.00 L/ha; 10.00 L/ha</t>
  </si>
  <si>
    <t>Rice | Yellow Stemborer &amp; BPH | 1.00 L/ha
Tea | Termite | 10.00 L/ha</t>
  </si>
  <si>
    <t>Chlorpyriphos 20EC</t>
  </si>
  <si>
    <t>AP-382</t>
  </si>
  <si>
    <t>Rice, Tea, Cotton, Potato, Sugarcane</t>
  </si>
  <si>
    <t>Hispa, Termite, Boll worm, Aphid, Jassid, Cutworm</t>
  </si>
  <si>
    <t>1.00 L/ha; 10.00 L/ha; 7.50 L/ha; 11.25 L/ha</t>
  </si>
  <si>
    <t>Rice | Hispa | 1.00 L/ha
Tea | Termite | 10.00 L/ha
Cotton | Boll worm, Aphid, Jassid | 1.00 L/ha
Potato | Cutworm | 7.50 L/ha
Sugarcane | Termite | 11.25 L/ha</t>
  </si>
  <si>
    <t>Shimba 20EC</t>
  </si>
  <si>
    <t>AP-435</t>
  </si>
  <si>
    <t>Rice, Tea, Potato, Cotton</t>
  </si>
  <si>
    <t>Hispa &amp; BPH, Termite, Cutworm, Bollworm, Aphid, Jassid</t>
  </si>
  <si>
    <t>1.00 L/ha; 10.00 L/ha; 7.50 L/ha; 700/800 ml/ha</t>
  </si>
  <si>
    <t>Rice | Hispa &amp; BPH | 1.00 L/ha
Tea | Termite | 10.00 L/ha
Potato | Cutworm | 7.50 L/ha
Cotton | Bollworm, Aphid, Jassid | 700/800 ml/ha</t>
  </si>
  <si>
    <t>Cyren 50WP</t>
  </si>
  <si>
    <t>AP-436</t>
  </si>
  <si>
    <t>3.50 kg/ha; 4.50 kg/ha</t>
  </si>
  <si>
    <t>Tea | Termite | 3.50 kg/ha
Sugarcane | Termite | 4.50 kg/ha</t>
  </si>
  <si>
    <t>Luxan Chlorpyrifos 20EC</t>
  </si>
  <si>
    <t>AP-344</t>
  </si>
  <si>
    <t>Cutworm, Hispa, BPH</t>
  </si>
  <si>
    <t>7.50 L/ha; 1.00 L/ha</t>
  </si>
  <si>
    <t>Potato | Cutworm | 7.50 L/ha
Rice | Hispa, BPH | 1.00 L/ha</t>
  </si>
  <si>
    <t>Chlorocid 20EC</t>
  </si>
  <si>
    <t>AP-466</t>
  </si>
  <si>
    <t>Termite, Stemborer, BPH, GLH, LR</t>
  </si>
  <si>
    <t>10.00 L/ha; 11.25 L/ha; 1.00 L/ha</t>
  </si>
  <si>
    <t>Tea | Termite | 10.00 L/ha
Sugarcane | Termite | 11.25 L/ha
Rice | Stemborer, BPH, GLH, LR | 1.00 L/ha</t>
  </si>
  <si>
    <t>Cyren 20EC</t>
  </si>
  <si>
    <t>AP-477</t>
  </si>
  <si>
    <t>Potato, Sugarcane</t>
  </si>
  <si>
    <t>Catwarm, Termite</t>
  </si>
  <si>
    <t>7.50 L/ha; 11.25 L/ha</t>
  </si>
  <si>
    <t>Potato | Catwarm | 7.50 L/ha
Sugarcane | Termite | 11.25 L/ha</t>
  </si>
  <si>
    <t>Helix 20EC</t>
  </si>
  <si>
    <t>AP-478</t>
  </si>
  <si>
    <t>Potato, Rice, Cotton</t>
  </si>
  <si>
    <t>Cutworm, Hispa, Ballworm</t>
  </si>
  <si>
    <t>7.50 L/ha; 1.00 L/ha; 700 ml/ha</t>
  </si>
  <si>
    <t>Potato | Cutworm | 7.50 L/ha
Rice | Hispa | 1.00 L/ha
Cotton | Ballworm | 700 ml/ha</t>
  </si>
  <si>
    <t>Pychlorex 20EC</t>
  </si>
  <si>
    <t>AP-479</t>
  </si>
  <si>
    <t>Termite, Cutworm</t>
  </si>
  <si>
    <t>10.00 L/ha; 7.50 L/ha</t>
  </si>
  <si>
    <t>Tea | Termite | 10.00 L/ha
Potato | Cutworm | 7.50 L/ha</t>
  </si>
  <si>
    <t>Chlopyrifos 20EC</t>
  </si>
  <si>
    <t>AP-500</t>
  </si>
  <si>
    <t>Hispa, BPH, Termite</t>
  </si>
  <si>
    <t>1.25 L/ha; 1.00 L/ha; 10.00 L/ha</t>
  </si>
  <si>
    <t>Rice | Hispa | 1.25 L/ha
Rice | BPH | 1.00 L/ha
Tea | Termite | 10.00 L/ha</t>
  </si>
  <si>
    <t>Kilfos 20EC</t>
  </si>
  <si>
    <t>AP-503</t>
  </si>
  <si>
    <t>Cutworm, Hispa</t>
  </si>
  <si>
    <t>Potato | Cutworm | 7.50 L/ha
Rice | Hispa | 1.00 L/ha</t>
  </si>
  <si>
    <t>Pyriban 15G</t>
  </si>
  <si>
    <t>AP-516</t>
  </si>
  <si>
    <t>Potato, Sugarcane, Tea</t>
  </si>
  <si>
    <t>Early Shoot Borer, White grabs, Root Stock Borer, Termite</t>
  </si>
  <si>
    <t>2.00 kg ai/ha; 15.00 kg/ha; 2.25 kg/ai/ha</t>
  </si>
  <si>
    <t>Potato | Early Shoot Borer | 2.00 kg ai/ha
Sugarcane | White grabs | 15.00 kg/ha
Sugarcane | Root Stock Borer | 2.25 kg/ai/ha
Tea | Termite | 15.00 kg/ha</t>
  </si>
  <si>
    <t>Sunban 20 EC</t>
  </si>
  <si>
    <t>AP-565</t>
  </si>
  <si>
    <t>10.00 L/ha</t>
  </si>
  <si>
    <t>Tea | Termite | 10.00 L/ha</t>
  </si>
  <si>
    <t>Sicoban 20EC</t>
  </si>
  <si>
    <t>AP-567</t>
  </si>
  <si>
    <t>Rice, Sugarcane, Potato</t>
  </si>
  <si>
    <t>Stemborer, Hispa, Termite, Cutworm</t>
  </si>
  <si>
    <t>1.00 L/ha; 11.25 L/ha; 7.50 L/ha</t>
  </si>
  <si>
    <t>Rice | Stemborer, Hispa | 1.00 L/ha
Sugarcane | Termite | 11.25 L/ha
Potato | Cutworm | 7.50 L/ha</t>
  </si>
  <si>
    <t>Rexiban 20EC</t>
  </si>
  <si>
    <t>AP-568</t>
  </si>
  <si>
    <t>Hispa, Yellow Stemborer, Early Shootborer, Termite</t>
  </si>
  <si>
    <t>1.00 L/ha; 11.25 L/ha; 10.00 L/ha</t>
  </si>
  <si>
    <t>Rice | Hispa | 1.00 L/ha
Rice | Yellow Stemborer | 1.00 L/ha
Sugarcane | Early Shootborer | 11.25 L/ha
Tea | Termite | 10.00 L/ha</t>
  </si>
  <si>
    <t>Hitachlor 25 WP</t>
  </si>
  <si>
    <t>AP-582</t>
  </si>
  <si>
    <t>8.00 kg/ha; 11.25 L/ha</t>
  </si>
  <si>
    <t>Tea | Termite | 8.00 kg/ha
Sugarcane | Termite | 11.25 L/ha</t>
  </si>
  <si>
    <t>Saraphos 20EC</t>
  </si>
  <si>
    <t>AP-597</t>
  </si>
  <si>
    <t>Rice, Tea, Potato</t>
  </si>
  <si>
    <t>BPH, Termite, Cutworm</t>
  </si>
  <si>
    <t>1.00 L/ha; 10.00 L/ha; 7.50 L/ha</t>
  </si>
  <si>
    <t>Rice | BPH | 1.00 L/ha
Tea | Termite | 10.00 L/ha
Potato | Cutworm | 7.50 L/ha</t>
  </si>
  <si>
    <t>Tricel 20EC</t>
  </si>
  <si>
    <t>AP-617</t>
  </si>
  <si>
    <t>Tea, Sugarcane, Potato</t>
  </si>
  <si>
    <t>10.00 L/ha; 11.25 L/ha; 7.50 L/ha</t>
  </si>
  <si>
    <t>Tea | Termite | 10.00 L/ha
Sugarcane | Termite | 11.25 L/ha
Potato | Cutworm | 7.50 L/ha</t>
  </si>
  <si>
    <t>Monitor 20EC</t>
  </si>
  <si>
    <t>AP-618</t>
  </si>
  <si>
    <t>10.00 L/ha; 1.00 L/ha</t>
  </si>
  <si>
    <t>Tea | Termite | 10.00 L/ha
Rice | BPH | 1.00 L/ha</t>
  </si>
  <si>
    <t>Morter 48EC</t>
  </si>
  <si>
    <t>AP-620</t>
  </si>
  <si>
    <t>Cotton, Longyear bean, Rice, Potato, Tea</t>
  </si>
  <si>
    <t>Bollworm, Aphid, Hispa, Cutworm, Termite</t>
  </si>
  <si>
    <t>600 ml/ha; 1 ml/L of water; 1.00 L/ha; 3.45 L/ha; 4.69 L/ha</t>
  </si>
  <si>
    <t>Cotton | Bollworm | 600 ml/ha
Longyear bean | Aphid | 1 ml/L of water
Rice | Hispa | 1.00 L/ha
Potato | Cutworm | 3.45 L/ha
Tea | Termite | 4.69 L/ha</t>
  </si>
  <si>
    <t>Marine 20EC</t>
  </si>
  <si>
    <t>AP-680</t>
  </si>
  <si>
    <t>BPH, Cutworm</t>
  </si>
  <si>
    <t>1.00 L/ha; 7.50 L/ha</t>
  </si>
  <si>
    <t>Rice | BPH | 1.00 L/ha
Potato | Cutworm | 7.50 L/ha</t>
  </si>
  <si>
    <t>Nokoban 15G</t>
  </si>
  <si>
    <t>AP-759</t>
  </si>
  <si>
    <t>Cutworm, Early Shootborer,White grub,Termite, Root Stock Borer</t>
  </si>
  <si>
    <t>10.00 kg/ha; 15.00 kg/ha</t>
  </si>
  <si>
    <t>Potato | Cutworm | 10.00 kg/ha
Sugarcane | Early Shootborer,White grub,Termite | 15.00 kg/ha
Sugarcane | Root Stock Borer | 15.00 kg/ha</t>
  </si>
  <si>
    <t>Agphos 20EC</t>
  </si>
  <si>
    <t>AP-760</t>
  </si>
  <si>
    <t>Potato, Rice, Tea</t>
  </si>
  <si>
    <t>Cutworm, BPH, Termite</t>
  </si>
  <si>
    <t>7.50 L/ha; 1.00 L/ha; 10.00 L/ha</t>
  </si>
  <si>
    <t>Potato | Cutworm | 7.50 L/ha
Rice | BPH | 1.00 L/ha
Tea | Termite | 10.00 L/ha</t>
  </si>
  <si>
    <t>Action 20EC</t>
  </si>
  <si>
    <t>AP-761</t>
  </si>
  <si>
    <t>Potato | Cutworm | 7.50 L/ha
Rice | BPH | 1.00 L/ha</t>
  </si>
  <si>
    <t>Megaban 20EC</t>
  </si>
  <si>
    <t>AP-762</t>
  </si>
  <si>
    <t>Parafos 20EC</t>
  </si>
  <si>
    <t>AP-763</t>
  </si>
  <si>
    <t>7.50 L/ha</t>
  </si>
  <si>
    <t>Potato | Cutworm | 7.50 L/ha</t>
  </si>
  <si>
    <t>Fossil 20EC</t>
  </si>
  <si>
    <t>AP-765</t>
  </si>
  <si>
    <t>Wenphos 20EC</t>
  </si>
  <si>
    <t>AP-766</t>
  </si>
  <si>
    <t>Expert 20EC</t>
  </si>
  <si>
    <t>AP-876</t>
  </si>
  <si>
    <t>Wenchloro 15G</t>
  </si>
  <si>
    <t>AP-878</t>
  </si>
  <si>
    <t>15.00 kg/ha</t>
  </si>
  <si>
    <t>Tea | Termite | 15.00 kg/ha</t>
  </si>
  <si>
    <t>Neptune 48EC</t>
  </si>
  <si>
    <t>AP-938</t>
  </si>
  <si>
    <t>Tea, Rice, Potato, Cotton</t>
  </si>
  <si>
    <t>Termite, BPH, Hispa, Cutworm, Aphid, Jassid &amp; Whitefly</t>
  </si>
  <si>
    <t>4.00 L/ha; 500 ml/ha; 3 ml/L of water; 600 ml/ha</t>
  </si>
  <si>
    <t>Tea | Termite | 4.00 L/ha
Rice | BPH, Hispa | 500 ml/ha
Potato | Cutworm | 3 ml/L of water
Cotton | Aphid, Jassid &amp; Whitefly | 600 ml/ha</t>
  </si>
  <si>
    <t>Agriban 20EC</t>
  </si>
  <si>
    <t>AP-1001</t>
  </si>
  <si>
    <t>Mimban 20EC</t>
  </si>
  <si>
    <t>AP-1004</t>
  </si>
  <si>
    <t>Allout 20EC</t>
  </si>
  <si>
    <t>AP-1012</t>
  </si>
  <si>
    <t>BPH &amp; Hispa, Cutworm</t>
  </si>
  <si>
    <t>Rice | BPH &amp; Hispa | 1.00 L/ha
Potato | Cutworm | 7.50 L/ha</t>
  </si>
  <si>
    <t>Arokill 20EC</t>
  </si>
  <si>
    <t>AP-1014</t>
  </si>
  <si>
    <t>Hispa, Cutworm</t>
  </si>
  <si>
    <t>Rice | Hispa | 1.00 L/ha
Potato | Cutworm | 7.50 L/ha</t>
  </si>
  <si>
    <t>Arofos 48EC</t>
  </si>
  <si>
    <t>AP-1063</t>
  </si>
  <si>
    <t>500 ml/ha; 3 ml/Lof water</t>
  </si>
  <si>
    <t>Rice | BPH &amp; Hispa | 500 ml/ha
Potato | Cutworm | 3 ml/Lof water</t>
  </si>
  <si>
    <t>Bicophos 20EC</t>
  </si>
  <si>
    <t>AP-1077</t>
  </si>
  <si>
    <t>Linker 20EC</t>
  </si>
  <si>
    <t>AP-1081</t>
  </si>
  <si>
    <t>Cheta 48EC</t>
  </si>
  <si>
    <t>AP-1083</t>
  </si>
  <si>
    <t>Rice, Potato, Cotton</t>
  </si>
  <si>
    <t>BPH &amp; Hispa, Cutworm, Bollworm</t>
  </si>
  <si>
    <t>500 ml/ha; 3 ml/Lof water; 600 ml/ha</t>
  </si>
  <si>
    <t>Rice | BPH &amp; Hispa | 500 ml/ha
Potato | Cutworm | 3 ml/Lof water
Cotton | Bollworm | 600 ml/ha</t>
  </si>
  <si>
    <t>Petrofos 20EC</t>
  </si>
  <si>
    <t>AP-1090</t>
  </si>
  <si>
    <t>Kensban 20EC</t>
  </si>
  <si>
    <t>AP-1104</t>
  </si>
  <si>
    <t>Rice | BPH | 1.00 L/ha
Potato | Cutworm | 1.00 L/ha</t>
  </si>
  <si>
    <t>Ranger 20EC</t>
  </si>
  <si>
    <t>AP-1124</t>
  </si>
  <si>
    <t>Potato, Rice, Sugarcane</t>
  </si>
  <si>
    <t>Cutworm, BPH &amp; Hispa, Termite</t>
  </si>
  <si>
    <t>7.50 L/ha; 1.00 L/ha; 11.25 L/ha</t>
  </si>
  <si>
    <t>Potato | Cutworm | 7.50 L/ha
Rice | BPH &amp; Hispa | 1.00 L/ha
Sugarcane | Termite | 11.25 L/ha</t>
  </si>
  <si>
    <t>Greater 48EC</t>
  </si>
  <si>
    <t>AP-1127</t>
  </si>
  <si>
    <t>Cutworm, Termite</t>
  </si>
  <si>
    <t>3 ml/L of water; 4.69 L/ha</t>
  </si>
  <si>
    <t>Potato | Cutworm | 3 ml/L of water
Sugarcane | Termite | 4.69 L/ha</t>
  </si>
  <si>
    <t>Hemlock 20EC</t>
  </si>
  <si>
    <t>AP-1145</t>
  </si>
  <si>
    <t>7.50 L/ha; 11.25 L/ha; 10.00 L/ha</t>
  </si>
  <si>
    <t>Potato | Cutworm | 7.50 L/ha
Sugarcane | Termite | 11.25 L/ha
Tea | Termite | 10.00 L/ha</t>
  </si>
  <si>
    <t>Vitaban 48EC</t>
  </si>
  <si>
    <t>AP-1149</t>
  </si>
  <si>
    <t>Rice, Potato, Sugarcane, Tea</t>
  </si>
  <si>
    <t>BPH &amp; Hispa, Cutworm, Termite</t>
  </si>
  <si>
    <t>500 ml/ha; 3 ml/Lof water; 4.69 L/ha; 4.00 L/ha</t>
  </si>
  <si>
    <t>Rice | BPH &amp; Hispa | 500 ml/ha
Potato | Cutworm | 3 ml/Lof water
Sugarcane | Termite | 4.69 L/ha
Tea | Termite | 4.00 L/ha</t>
  </si>
  <si>
    <t>Chlorocel 48EC</t>
  </si>
  <si>
    <t>AP-1181</t>
  </si>
  <si>
    <t>BPH &amp; Hispa, Termite, Cutworm</t>
  </si>
  <si>
    <t>500 ml/ha; 4.00 L/ha; 3 ml/L of water</t>
  </si>
  <si>
    <t>Rice | BPH &amp; Hispa | 500 ml/ha
Tea | Termite | 4.00 L/ha
Potato | Cutworm | 3 ml/L of water</t>
  </si>
  <si>
    <t>Terminal 48 EC</t>
  </si>
  <si>
    <t>AP-1211</t>
  </si>
  <si>
    <t>Rice, Tea, Bean</t>
  </si>
  <si>
    <t>Yellow Stemborer, Termite, Aphid</t>
  </si>
  <si>
    <t>500 ml/ha; 4.00 L/ha; 1 ml/L of water</t>
  </si>
  <si>
    <t>Rice | Yellow Stemborer | 500 ml/ha
Tea | Termite | 4.00 L/ha
Bean | Aphid | 1 ml/L of water</t>
  </si>
  <si>
    <t>Action Gold 48EC</t>
  </si>
  <si>
    <t>AP-1230</t>
  </si>
  <si>
    <t>Gola 48EC</t>
  </si>
  <si>
    <t>AP-1271</t>
  </si>
  <si>
    <t>Tea, Rice, Potato</t>
  </si>
  <si>
    <t>Termite, Hispa, Cutworm</t>
  </si>
  <si>
    <t>4.00 L/ha; 500 ml/ha; 3 ml/Lof water</t>
  </si>
  <si>
    <t>Tea | Termite | 4.00 L/ha
Rice | Hispa | 500 ml/ha
Potato | Cutworm | 3 ml/Lof water</t>
  </si>
  <si>
    <t>Rifos 20EC</t>
  </si>
  <si>
    <t>AP-1273</t>
  </si>
  <si>
    <t>Kingphos 48EC</t>
  </si>
  <si>
    <t>AP-1289</t>
  </si>
  <si>
    <t>Tea, Bean, Rice</t>
  </si>
  <si>
    <t>Termite, Aphid, BPH</t>
  </si>
  <si>
    <t>4.00 L/ha; 1 ml/L of water; 500 ml/ha</t>
  </si>
  <si>
    <t>Tea | Termite | 4.00 L/ha
Bean | Aphid | 1 ml/L of water
Rice | BPH | 500 ml/ha</t>
  </si>
  <si>
    <t>Aristofos 20EC</t>
  </si>
  <si>
    <t>AP-1290</t>
  </si>
  <si>
    <t>Modart 48EC</t>
  </si>
  <si>
    <t>AP-1302</t>
  </si>
  <si>
    <t>0.5 L/ha</t>
  </si>
  <si>
    <t>Rice | Hispa | 0.5 L/ha</t>
  </si>
  <si>
    <t>Firefos 48EC</t>
  </si>
  <si>
    <t>AP-1303</t>
  </si>
  <si>
    <t>Thrive 48EC</t>
  </si>
  <si>
    <t>AP-1305</t>
  </si>
  <si>
    <t>Rice, Bean, Potato</t>
  </si>
  <si>
    <t>Hispa, Aphid, Cutworm</t>
  </si>
  <si>
    <t>0.5 L/ha; 1 ml/L of water; 3 ml/L of water</t>
  </si>
  <si>
    <t>Rice | Hispa | 0.5 L/ha
Bean | Aphid | 1 ml/L of water
Potato | Cutworm | 3 ml/L of water</t>
  </si>
  <si>
    <t>L-Phos 48EC</t>
  </si>
  <si>
    <t>AP-1318</t>
  </si>
  <si>
    <t>Kasir 48EC</t>
  </si>
  <si>
    <t>AP-1319</t>
  </si>
  <si>
    <t>Striker 48EC</t>
  </si>
  <si>
    <t>AP-1461</t>
  </si>
  <si>
    <t>Hispa, Termite</t>
  </si>
  <si>
    <t>0.5 L/ha; 10.00 L/ha</t>
  </si>
  <si>
    <t>Rice | Hispa | 0.5 L/ha
Tea | Termite | 10.00 L/ha</t>
  </si>
  <si>
    <t>Follicle 20 EC</t>
  </si>
  <si>
    <t>AP-1468</t>
  </si>
  <si>
    <t>Rice | BPH | 1.00 L/ha
Tea | Termite | 10.00 L/ha</t>
  </si>
  <si>
    <t>Heliphos 48EC</t>
  </si>
  <si>
    <t>AP-1475</t>
  </si>
  <si>
    <t>Rice | BPH | 0.5 L/ha
Tea | Termite | 10.00 L/ha</t>
  </si>
  <si>
    <t>Sesban 48EC</t>
  </si>
  <si>
    <t>AP-1494</t>
  </si>
  <si>
    <t>Cosmic 20EC</t>
  </si>
  <si>
    <t>AP-1504</t>
  </si>
  <si>
    <t>Diamond 20EC</t>
  </si>
  <si>
    <t>AP-1505</t>
  </si>
  <si>
    <t>Lid 20EC</t>
  </si>
  <si>
    <t>AP-1506</t>
  </si>
  <si>
    <t>Severe 50EC</t>
  </si>
  <si>
    <t>AP-1528</t>
  </si>
  <si>
    <t>0.4 L/ha\; 4.0 L/ha; 3 g/L of water</t>
  </si>
  <si>
    <t>Rice | BPH | 0.4 L/ha\
Tea | Termite | 4.0 L/ha
Potato | Cutworm | 3 g/L of water</t>
  </si>
  <si>
    <t>Heraban 20EC</t>
  </si>
  <si>
    <t>AP-1532</t>
  </si>
  <si>
    <t>Hossain Enterprise C C Ltd.</t>
  </si>
  <si>
    <t>Superphos 48EC</t>
  </si>
  <si>
    <t>AP-1551</t>
  </si>
  <si>
    <t>0.5 L/ha; 4.00 L/ha; 3 ml/L of water</t>
  </si>
  <si>
    <t>Rice | BPH | 0.5 L/ha
Tea | Termite | 4.00 L/ha
Potato | Cutworm | 3 ml/L of water</t>
  </si>
  <si>
    <t>Deltafos 48EC</t>
  </si>
  <si>
    <t>AP-1601</t>
  </si>
  <si>
    <t>0.5 L/ha; 4.00 L/ha</t>
  </si>
  <si>
    <t>Rice | Hispa | 0.5 L/ha
Tea | Termite | 4.00 L/ha</t>
  </si>
  <si>
    <t>Iproban 48EC</t>
  </si>
  <si>
    <t>AP-1607</t>
  </si>
  <si>
    <t>Rice | BPH, Hispa | 0.5 L/ha</t>
  </si>
  <si>
    <t>Tomak 48EC</t>
  </si>
  <si>
    <t>AP-1627</t>
  </si>
  <si>
    <t>Ashaban 48EC</t>
  </si>
  <si>
    <t>AP-1629</t>
  </si>
  <si>
    <t>Cartar 48EC</t>
  </si>
  <si>
    <t>AP-1645</t>
  </si>
  <si>
    <t>Evacon 48EC</t>
  </si>
  <si>
    <t>AP-1646</t>
  </si>
  <si>
    <t>Chemefos 20 EC</t>
  </si>
  <si>
    <t>AP-1661</t>
  </si>
  <si>
    <t>Colour 20EC</t>
  </si>
  <si>
    <t>AP-1662</t>
  </si>
  <si>
    <t>Guard 48EC</t>
  </si>
  <si>
    <t>AP-1667</t>
  </si>
  <si>
    <t>Rice | BPH | 0.5 L/ha
Tea | Termite | 4.00 L/ha</t>
  </si>
  <si>
    <t>M.S. Chlorpyrifos 20EC</t>
  </si>
  <si>
    <t>AP-1670</t>
  </si>
  <si>
    <t>Pioneer 48EC</t>
  </si>
  <si>
    <t>AP-1715</t>
  </si>
  <si>
    <t>Ribbon 48EC</t>
  </si>
  <si>
    <t>AP-1716</t>
  </si>
  <si>
    <t>Raymond 48EC</t>
  </si>
  <si>
    <t>AP-1717</t>
  </si>
  <si>
    <t>Newphos 48EC</t>
  </si>
  <si>
    <t>AP-1729</t>
  </si>
  <si>
    <t>Rice | BPH | 0.5 L/ha</t>
  </si>
  <si>
    <t>Tyfos 48EC</t>
  </si>
  <si>
    <t>AP-1632</t>
  </si>
  <si>
    <t>Freshcofos 20EC</t>
  </si>
  <si>
    <t>AP-1821</t>
  </si>
  <si>
    <t>Reign 48EC</t>
  </si>
  <si>
    <t>AP-1822</t>
  </si>
  <si>
    <t>4.00 L/ha</t>
  </si>
  <si>
    <t>Tea | Termite | 4.00 L/ha</t>
  </si>
  <si>
    <t>Master Plus 48EC</t>
  </si>
  <si>
    <t>AP-1824</t>
  </si>
  <si>
    <t>Plantphos 48EC</t>
  </si>
  <si>
    <t>AP-1893</t>
  </si>
  <si>
    <t>Genephos 48EC</t>
  </si>
  <si>
    <t>AP-1963</t>
  </si>
  <si>
    <t>4.00 L/ha; 0.5 L/ha</t>
  </si>
  <si>
    <t>Tea | Termite | 4.00 L/ha
Rice | BPH | 0.5 L/ha</t>
  </si>
  <si>
    <t>Starban 48EC</t>
  </si>
  <si>
    <t>AP-1965</t>
  </si>
  <si>
    <t>Regun 48EC</t>
  </si>
  <si>
    <t>AP-1967</t>
  </si>
  <si>
    <t>Bollworm, Termite</t>
  </si>
  <si>
    <t>600 ml/ha; 4.00 L/ha</t>
  </si>
  <si>
    <t>Cotton | Bollworm | 600 ml/ha
Tea | Termite | 4.00 L/ha</t>
  </si>
  <si>
    <t>Doller 480EC</t>
  </si>
  <si>
    <t>AP-1968</t>
  </si>
  <si>
    <t>Rice, Cabbage</t>
  </si>
  <si>
    <t>BPM, Aphid</t>
  </si>
  <si>
    <t>0.5 L/ha; 1 ml/L of water</t>
  </si>
  <si>
    <t>Rice | BPM | 0.5 L/ha
Cabbage | Aphid | 1 ml/L of water</t>
  </si>
  <si>
    <t>Rizal 48EC</t>
  </si>
  <si>
    <t>AP-1969</t>
  </si>
  <si>
    <t>Aphid, Termite</t>
  </si>
  <si>
    <t>1 ml/L of water; 4.00 L/ha</t>
  </si>
  <si>
    <t>Bean | Aphid | 1 ml/L of water
Tea | Termite | 4.00 L/ha</t>
  </si>
  <si>
    <t>Glorious 48EC</t>
  </si>
  <si>
    <t>AP-1970</t>
  </si>
  <si>
    <t>D-Chlor 48EC</t>
  </si>
  <si>
    <t>AP-1975</t>
  </si>
  <si>
    <t>Knocker 48EC</t>
  </si>
  <si>
    <t>AP-1976</t>
  </si>
  <si>
    <t>Mahifos 20EC</t>
  </si>
  <si>
    <t>AP-1977</t>
  </si>
  <si>
    <t>Marwel 48EC</t>
  </si>
  <si>
    <t>AP-1978</t>
  </si>
  <si>
    <t>Beater 50EC</t>
  </si>
  <si>
    <t>AP-1979</t>
  </si>
  <si>
    <t>0.4 L/ha\</t>
  </si>
  <si>
    <t>Rice | Hispa | 0.4 L/ha\</t>
  </si>
  <si>
    <t>Lalita 20EC</t>
  </si>
  <si>
    <t>AP-2071</t>
  </si>
  <si>
    <t>7.50 ml/L of water; 10.00 L/ha</t>
  </si>
  <si>
    <t>Potato | Cutworm | 7.50 ml/L of water
Tea | Termite | 10.00 L/ha</t>
  </si>
  <si>
    <t>Cactus 48 EC</t>
  </si>
  <si>
    <t>AP-2193</t>
  </si>
  <si>
    <t>Tazaphos 48 EC</t>
  </si>
  <si>
    <t>AP-2196</t>
  </si>
  <si>
    <t>R. K. Agro Products</t>
  </si>
  <si>
    <t>4.0 L/ha</t>
  </si>
  <si>
    <t>Tea | Termite | 4.0 L/ha</t>
  </si>
  <si>
    <t>Metrophos 48EC</t>
  </si>
  <si>
    <t>AP-2197</t>
  </si>
  <si>
    <t>Siamphos 48EC</t>
  </si>
  <si>
    <t>AP-2198</t>
  </si>
  <si>
    <t>Laphos 20EC</t>
  </si>
  <si>
    <t>AP-2351</t>
  </si>
  <si>
    <t>1.00 L/ha; 4.00 L/ha</t>
  </si>
  <si>
    <t>Rice | BPH | 1.00 L/ha
Tea | Termite | 4.00 L/ha</t>
  </si>
  <si>
    <t>Redport 48EC</t>
  </si>
  <si>
    <t>AP-2353</t>
  </si>
  <si>
    <t>Field Star 50EC</t>
  </si>
  <si>
    <t>AP-2601</t>
  </si>
  <si>
    <t>Safifos 48EC</t>
  </si>
  <si>
    <t>AP-2613</t>
  </si>
  <si>
    <t>Random 48EC</t>
  </si>
  <si>
    <t>AP-2620</t>
  </si>
  <si>
    <t>Aniter 48EC</t>
  </si>
  <si>
    <t>AP-2622</t>
  </si>
  <si>
    <t>0.5 L/ha; 4.69 L/ha</t>
  </si>
  <si>
    <t>Rice | BPH | 0.5 L/ha
Sugarcane | Termite | 4.69 L/ha</t>
  </si>
  <si>
    <t>Nazban 48 EC</t>
  </si>
  <si>
    <t>AP-2623</t>
  </si>
  <si>
    <t>Korotoa Agro Marketing Company</t>
  </si>
  <si>
    <t>Rice, Bean, Tea</t>
  </si>
  <si>
    <t>BPH, Aphid, Termite</t>
  </si>
  <si>
    <t>0.5 L/ha; 1 ml/L of water; 4.0 L/ha</t>
  </si>
  <si>
    <t>Rice | BPH | 0.5 L/ha
Bean | Aphid | 1 ml/L of water
Tea | Termite | 4.0 L/ha</t>
  </si>
  <si>
    <t>CLC Plus 500EC</t>
  </si>
  <si>
    <t>AP-2624</t>
  </si>
  <si>
    <t>0.40 L/ha</t>
  </si>
  <si>
    <t>Rice | Hispa | 0.40 L/ha</t>
  </si>
  <si>
    <t>Salute 48EC</t>
  </si>
  <si>
    <t>AP-2627</t>
  </si>
  <si>
    <t>Rubafos 48EC</t>
  </si>
  <si>
    <t>AP-2629</t>
  </si>
  <si>
    <t>Mumphos 48 EC</t>
  </si>
  <si>
    <t>AP-2632</t>
  </si>
  <si>
    <t>Bhuiyan Corporation</t>
  </si>
  <si>
    <t>Centerkill 48 EC</t>
  </si>
  <si>
    <t>AP-2847</t>
  </si>
  <si>
    <t>Traf 48EC</t>
  </si>
  <si>
    <t>AP-2849</t>
  </si>
  <si>
    <t>Calta 48EC</t>
  </si>
  <si>
    <t>AP-2851</t>
  </si>
  <si>
    <t>Kisho 48EC</t>
  </si>
  <si>
    <t>AP-2852</t>
  </si>
  <si>
    <t>Fasalfos 48EC</t>
  </si>
  <si>
    <t>AP-2854</t>
  </si>
  <si>
    <t>Hispa, Termite, Cutworm</t>
  </si>
  <si>
    <t>Rice | Hispa | 0.5 L/ha
Tea | Termite | 4.00 L/ha
Potato | Cutworm | 3 ml/L of water</t>
  </si>
  <si>
    <t>King Gold 48 EC</t>
  </si>
  <si>
    <t>AP-2856</t>
  </si>
  <si>
    <t>Jute | Hairy Caterpillar | 1 ml/L of water</t>
  </si>
  <si>
    <t>Gyriban 48 EC</t>
  </si>
  <si>
    <t>AP-2858</t>
  </si>
  <si>
    <t>General Pesticide Company</t>
  </si>
  <si>
    <t>Potato | Cutworm | 2 ml/L of water</t>
  </si>
  <si>
    <t>Chlostar 48EC</t>
  </si>
  <si>
    <t>AP-2859</t>
  </si>
  <si>
    <t>Mediphos 48EC</t>
  </si>
  <si>
    <t>AP-2861</t>
  </si>
  <si>
    <t>Gola Plus 48EC</t>
  </si>
  <si>
    <t>AP-2862</t>
  </si>
  <si>
    <t>Petra 48EC</t>
  </si>
  <si>
    <t>AP-2864</t>
  </si>
  <si>
    <t>Raicy 48EC</t>
  </si>
  <si>
    <t>AP-2867</t>
  </si>
  <si>
    <t>Comple 48EC</t>
  </si>
  <si>
    <t>AP-2869</t>
  </si>
  <si>
    <t>Jute, Rice, Potato</t>
  </si>
  <si>
    <t>Hairy Caterpillar, BPH, Cutworm</t>
  </si>
  <si>
    <t>500 ml/ha; 0.5 L/ha; 3 ml/L of water</t>
  </si>
  <si>
    <t>Jute | Hairy Caterpillar | 500 ml/ha
Rice | BPH | 0.5 L/ha
Potato | Cutworm | 3 ml/L of water</t>
  </si>
  <si>
    <t>Tune 50EC</t>
  </si>
  <si>
    <t>AP-3258</t>
  </si>
  <si>
    <t>Termiban 48EC</t>
  </si>
  <si>
    <t>AP-3286</t>
  </si>
  <si>
    <t>Digit 48EC</t>
  </si>
  <si>
    <t>AP-3287</t>
  </si>
  <si>
    <t>Lirifos 48EC</t>
  </si>
  <si>
    <t>AP-3289</t>
  </si>
  <si>
    <t>Diamate 20EC</t>
  </si>
  <si>
    <t>AP-3290</t>
  </si>
  <si>
    <t>Winfos 48 EC</t>
  </si>
  <si>
    <t>AP-3291</t>
  </si>
  <si>
    <t>Rice | YSB | 0.5 L/ha</t>
  </si>
  <si>
    <t>B-Phos 48 EC</t>
  </si>
  <si>
    <t>AP-3293</t>
  </si>
  <si>
    <t>Bangladesh Agro Science Ltd</t>
  </si>
  <si>
    <t>Bean | Aphid | 1 ml/L of water
Rice | BPH | 500 ml/ha</t>
  </si>
  <si>
    <t>Zenphos 48EC</t>
  </si>
  <si>
    <t>AP-3294</t>
  </si>
  <si>
    <t>Bisco 48EC</t>
  </si>
  <si>
    <t>AP-3296</t>
  </si>
  <si>
    <t>Bandhan 48EC</t>
  </si>
  <si>
    <t>AP-3303</t>
  </si>
  <si>
    <t>SB-Phos 48EC</t>
  </si>
  <si>
    <t>AP-3304</t>
  </si>
  <si>
    <t>Miclephos 48 EC</t>
  </si>
  <si>
    <t>AP-3305</t>
  </si>
  <si>
    <t>GR-Fos 48EC</t>
  </si>
  <si>
    <t>AP-3306</t>
  </si>
  <si>
    <t>Perkfos 48EC</t>
  </si>
  <si>
    <t>AP-3307</t>
  </si>
  <si>
    <t>Pro-fos 48 EC</t>
  </si>
  <si>
    <t>AP-3308</t>
  </si>
  <si>
    <t>2-Phos 20EC</t>
  </si>
  <si>
    <t>AP-3309</t>
  </si>
  <si>
    <t>Ruphos 48EC</t>
  </si>
  <si>
    <t>AP-3775</t>
  </si>
  <si>
    <t>0.5 L/ha; 3 ml/L of water</t>
  </si>
  <si>
    <t>Rice | BPH | 0.5 L/ha
Potato | Cutworm | 3 ml/L of water</t>
  </si>
  <si>
    <t>Oropyrifos 48EC</t>
  </si>
  <si>
    <t>AP-3778</t>
  </si>
  <si>
    <t>Asphos 48EC</t>
  </si>
  <si>
    <t>AP-3782</t>
  </si>
  <si>
    <t>A S Enterprise</t>
  </si>
  <si>
    <t>Rice, Country bean</t>
  </si>
  <si>
    <t>Rice | BPH | 0.5 L/ha
Country bean | Aphid | 1 ml/L of water</t>
  </si>
  <si>
    <t>Aidfos 48EC</t>
  </si>
  <si>
    <t>AP-4042</t>
  </si>
  <si>
    <t>Tanpura 15G</t>
  </si>
  <si>
    <t>AP-4043</t>
  </si>
  <si>
    <t>YSB, Root Stock Borer</t>
  </si>
  <si>
    <t>Rice | YSB | 10.00 kg/ha
Sugarcane | Root Stock Borer | 15.00 kg/ha</t>
  </si>
  <si>
    <t>Everfos 48EC</t>
  </si>
  <si>
    <t>AP-4044</t>
  </si>
  <si>
    <t>Agphos 48EC</t>
  </si>
  <si>
    <t>AP-4045</t>
  </si>
  <si>
    <t>Mamun Agro Products Ltd</t>
  </si>
  <si>
    <t>Bestfos 48EC</t>
  </si>
  <si>
    <t>AP-4046</t>
  </si>
  <si>
    <t>Best Harvet Agro Chemicals</t>
  </si>
  <si>
    <t>Dispel 48EC</t>
  </si>
  <si>
    <t>AP-4047</t>
  </si>
  <si>
    <t>Dascofos 48EC</t>
  </si>
  <si>
    <t>AP-4048</t>
  </si>
  <si>
    <t>Limfos 48EC</t>
  </si>
  <si>
    <t>AP-4480</t>
  </si>
  <si>
    <t>Hossafos 48EC</t>
  </si>
  <si>
    <t>AP-4484</t>
  </si>
  <si>
    <t>Wellphos 48EC</t>
  </si>
  <si>
    <t>AP-4887</t>
  </si>
  <si>
    <t>Refute 48EC</t>
  </si>
  <si>
    <t>AP-5255</t>
  </si>
  <si>
    <t>Hiramon 48EC</t>
  </si>
  <si>
    <t>AP-5538</t>
  </si>
  <si>
    <t>Sunshine 50WP</t>
  </si>
  <si>
    <t>AP-5739</t>
  </si>
  <si>
    <t>2.00 Kg/ha</t>
  </si>
  <si>
    <t>Potato | Cutworm | 2.00 Kg/ha</t>
  </si>
  <si>
    <t>Chlorpyrifos (50%) + Cypermathrin (5%)</t>
  </si>
  <si>
    <t>Nitro 505EC</t>
  </si>
  <si>
    <t>AP-1138</t>
  </si>
  <si>
    <t>Potato, Cotton, Tea, Sugerbeet</t>
  </si>
  <si>
    <t>Aphid, Aphid, Jassid, White fly, Termite, Caterpillar (Spodoptera Iirura fab)</t>
  </si>
  <si>
    <t>1 ml/L of water; 600 ml/ha; 4.0 L/ha; 4.50 L/ha</t>
  </si>
  <si>
    <t>Potato | Aphid | 1 ml/L of water
Cotton | Aphid, Jassid, White fly | 600 ml/ha
Tea | Termite | 4.0 L/ha
Sugerbeet | Caterpillar (Spodoptera Iirura fab) | 4.50 L/ha</t>
  </si>
  <si>
    <t>Bipolar 55EC</t>
  </si>
  <si>
    <t>AP-1051</t>
  </si>
  <si>
    <t>Tea, Bean, Potato</t>
  </si>
  <si>
    <t>Termite, Aphid, Cutworm</t>
  </si>
  <si>
    <t>4.00 L/ha; 0.5 ml/L of water; 2 ml/L of water</t>
  </si>
  <si>
    <t>Tea | Termite | 4.00 L/ha
Bean | Aphid | 0.5 ml/L of water
Potato | Cutworm | 2 ml/L of water
Tea | Termite | 4.00 L/ha</t>
  </si>
  <si>
    <t>Subside 505EC</t>
  </si>
  <si>
    <t>AP-1296</t>
  </si>
  <si>
    <t>Sarter 55EC</t>
  </si>
  <si>
    <t>AP-1322</t>
  </si>
  <si>
    <t>Aphid, Jassid, Ballworm</t>
  </si>
  <si>
    <t>Cotton | Aphid, Jassid, Ballworm | 600 ml/ha</t>
  </si>
  <si>
    <t>Hydro 505EC</t>
  </si>
  <si>
    <t>AP-1342</t>
  </si>
  <si>
    <t>Potato, Cotton</t>
  </si>
  <si>
    <t>Cutworm, Aphid, Jassid</t>
  </si>
  <si>
    <t>2 ml/L of water; 200 ml/ha</t>
  </si>
  <si>
    <t>Potato | Cutworm | 2 ml/L of water
Cotton | Aphid, Jassid | 200 ml/ha</t>
  </si>
  <si>
    <t>Saraphos Plus 55EC</t>
  </si>
  <si>
    <t>AP-1507</t>
  </si>
  <si>
    <t>4.00 L/ha; 1 ml/L of water</t>
  </si>
  <si>
    <t>Tea | Termite | 4.00 L/ha
Potato | Aphid | 1 ml/L of water</t>
  </si>
  <si>
    <t>Solar 55EC</t>
  </si>
  <si>
    <t>AP-1768</t>
  </si>
  <si>
    <t>Country Bean | Aphid | 1 ml/L of water</t>
  </si>
  <si>
    <t>Mixture 55EC</t>
  </si>
  <si>
    <t>AP-1828</t>
  </si>
  <si>
    <t>Reliance 55EC</t>
  </si>
  <si>
    <t>AP-1831</t>
  </si>
  <si>
    <t>Geo Ban 55EC</t>
  </si>
  <si>
    <t>AP-1832</t>
  </si>
  <si>
    <t>Tea | Helopeltis | 4.00 L/ha</t>
  </si>
  <si>
    <t>Mission 55EC</t>
  </si>
  <si>
    <t>AP-1833</t>
  </si>
  <si>
    <t>Selection 55EC</t>
  </si>
  <si>
    <t>AP-1897</t>
  </si>
  <si>
    <t>2 ml/L of water; 4.00 L/ha</t>
  </si>
  <si>
    <t>Bean | Aphid | 2 ml/L of water
Tea | Termite | 4.00 L/ha</t>
  </si>
  <si>
    <t>Rexister 55EC</t>
  </si>
  <si>
    <t>AP-1916</t>
  </si>
  <si>
    <t>Polone 55EC</t>
  </si>
  <si>
    <t>AP-1921</t>
  </si>
  <si>
    <t>Rekamil 505EC</t>
  </si>
  <si>
    <t>AP-1981</t>
  </si>
  <si>
    <t>Tata 505EC</t>
  </si>
  <si>
    <t>AP-1982</t>
  </si>
  <si>
    <t>Asitro 505 EC</t>
  </si>
  <si>
    <t>AP-1983</t>
  </si>
  <si>
    <t>Irad 55EC</t>
  </si>
  <si>
    <t>AP-1984</t>
  </si>
  <si>
    <t>Cotton | Aphid, Jassid, Bollworm | 600 ml/ha</t>
  </si>
  <si>
    <t>AC Mix 55EC</t>
  </si>
  <si>
    <t>AP-1985</t>
  </si>
  <si>
    <t>4.00 L/ha; 2 ml/L of water</t>
  </si>
  <si>
    <t>Tea | Termite | 4.00 L/ha
Bean | Aphid | 2 ml/L of water
Potato | Cutworm | 2 ml/L of water</t>
  </si>
  <si>
    <t>Shine 55EC</t>
  </si>
  <si>
    <t>AP-1986</t>
  </si>
  <si>
    <t>Bean | Aphid | 2 ml/L of water</t>
  </si>
  <si>
    <t>Cordon Plus 505EC</t>
  </si>
  <si>
    <t>AP-1987</t>
  </si>
  <si>
    <t>Doel 505EC</t>
  </si>
  <si>
    <t>AP-1988</t>
  </si>
  <si>
    <t>Bicojoy 55EC</t>
  </si>
  <si>
    <t>AP-1989</t>
  </si>
  <si>
    <t>Dare 55EC</t>
  </si>
  <si>
    <t>AP-1990</t>
  </si>
  <si>
    <t>Potato | Cutworm | 2 ml/L of water
Tea | Termite | 4.00 L/ha</t>
  </si>
  <si>
    <t>Chumbok 55EC</t>
  </si>
  <si>
    <t>AP-1991</t>
  </si>
  <si>
    <t>Tomato | Aphid | 1 ml/L of water
Tea | Termite | 4.00 L/ha</t>
  </si>
  <si>
    <t>Lucus 505EC</t>
  </si>
  <si>
    <t>AP-1992</t>
  </si>
  <si>
    <t>Croplife Agrochemicals Ltd.</t>
  </si>
  <si>
    <t>Cabbage</t>
  </si>
  <si>
    <t>Cabbage | Aphid | 1 ml/L of water</t>
  </si>
  <si>
    <t>Cythrin Plus 55EC</t>
  </si>
  <si>
    <t>AP-2293</t>
  </si>
  <si>
    <t>Termite, Hopper</t>
  </si>
  <si>
    <t>Tea | Termite | 4.00 L/ha
Mango | Hopper | 1 ml/L of water</t>
  </si>
  <si>
    <t>Greendal 55EC</t>
  </si>
  <si>
    <t>AP-2294</t>
  </si>
  <si>
    <t>Keel 505 EC</t>
  </si>
  <si>
    <t>AP-2295</t>
  </si>
  <si>
    <t>Setara 55EC</t>
  </si>
  <si>
    <t>AP-2296</t>
  </si>
  <si>
    <t>Kenvos 55EC</t>
  </si>
  <si>
    <t>AP-2297</t>
  </si>
  <si>
    <t>Chlorsim 55EC</t>
  </si>
  <si>
    <t>AP-2356</t>
  </si>
  <si>
    <t>Sonalimix 55EC</t>
  </si>
  <si>
    <t>AP-2357</t>
  </si>
  <si>
    <t>Superior 505EC</t>
  </si>
  <si>
    <t>AP-2358</t>
  </si>
  <si>
    <t>Octopus 55EC</t>
  </si>
  <si>
    <t>AP-2359</t>
  </si>
  <si>
    <t>Cydeor 505EC</t>
  </si>
  <si>
    <t>AP-2360</t>
  </si>
  <si>
    <t>Agent 505EC</t>
  </si>
  <si>
    <t>AP-2361</t>
  </si>
  <si>
    <t>Lumin 55EC</t>
  </si>
  <si>
    <t>AP-2365</t>
  </si>
  <si>
    <t>Mariton 505EC</t>
  </si>
  <si>
    <t>AP-2367</t>
  </si>
  <si>
    <t>Cyclobond 55EC</t>
  </si>
  <si>
    <t>AP-2369</t>
  </si>
  <si>
    <t>Connate 505 EC</t>
  </si>
  <si>
    <t>AP-2370</t>
  </si>
  <si>
    <t>Rajgurd 55EC</t>
  </si>
  <si>
    <t>AP-2371</t>
  </si>
  <si>
    <t>Zenith 505 EC</t>
  </si>
  <si>
    <t>AP-2372</t>
  </si>
  <si>
    <t>Aphid, Jassid, White fly, Termite</t>
  </si>
  <si>
    <t>Cotton | Aphid, Jassid, White fly | 600 ml/ha
Tea | Termite | 4.00 L/ha</t>
  </si>
  <si>
    <t>Border 55EC</t>
  </si>
  <si>
    <t>AP-2373</t>
  </si>
  <si>
    <t>Cotton | Aphid, Jassid | 600 ml/ha</t>
  </si>
  <si>
    <t>Spine 505EC</t>
  </si>
  <si>
    <t>AP-2374</t>
  </si>
  <si>
    <t>Hopper, Termite</t>
  </si>
  <si>
    <t>Mango | Hopper | 1 ml/L of water
Tea | Termite | 4.00 L/ha</t>
  </si>
  <si>
    <t>Super Tir 55EC</t>
  </si>
  <si>
    <t>AP-2616</t>
  </si>
  <si>
    <t>Maskat 505EC</t>
  </si>
  <si>
    <t>AP-2723</t>
  </si>
  <si>
    <t>Anik 55EC</t>
  </si>
  <si>
    <t>AP-2724</t>
  </si>
  <si>
    <t>Synergy 505EC</t>
  </si>
  <si>
    <t>AP-2725</t>
  </si>
  <si>
    <t>Sahee 505EC</t>
  </si>
  <si>
    <t>AP-2726</t>
  </si>
  <si>
    <t>Turbine 505EC</t>
  </si>
  <si>
    <t>AP-2727</t>
  </si>
  <si>
    <t>Zoloplus 55EC</t>
  </si>
  <si>
    <t>AP-2728</t>
  </si>
  <si>
    <t>Glomix 505EC</t>
  </si>
  <si>
    <t>AP-2729</t>
  </si>
  <si>
    <t>Glory Agropest</t>
  </si>
  <si>
    <t>Aphid, Jassid, Thrips</t>
  </si>
  <si>
    <t>Cotton | Aphid, Jassid, Thrips | 1.00 L/ha</t>
  </si>
  <si>
    <t>Sonali 505 EC</t>
  </si>
  <si>
    <t>AP-2730</t>
  </si>
  <si>
    <t>Chlorthrin 55EC</t>
  </si>
  <si>
    <t>AP-2731</t>
  </si>
  <si>
    <t>Prezom 55EC</t>
  </si>
  <si>
    <t>AP-2732</t>
  </si>
  <si>
    <t>Durbar 55 EC</t>
  </si>
  <si>
    <t>AP-2733</t>
  </si>
  <si>
    <t>Duranta Agri Science Limited</t>
  </si>
  <si>
    <t>Combined 55 EC</t>
  </si>
  <si>
    <t>AP-2734</t>
  </si>
  <si>
    <t>Sanitol 55EC</t>
  </si>
  <si>
    <t>AP-2736</t>
  </si>
  <si>
    <t>Delcomix 55EC</t>
  </si>
  <si>
    <t>AP-2737</t>
  </si>
  <si>
    <t>Cotton | Aphid | 600 ml/ha</t>
  </si>
  <si>
    <t>Cycle 505EC</t>
  </si>
  <si>
    <t>AP-2738</t>
  </si>
  <si>
    <t>Sixer 55EC</t>
  </si>
  <si>
    <t>AP-2815</t>
  </si>
  <si>
    <t>Niret 505EC</t>
  </si>
  <si>
    <t>AP-2817</t>
  </si>
  <si>
    <t>Dawen 505 EC</t>
  </si>
  <si>
    <t>AP-3005</t>
  </si>
  <si>
    <t>Farm Agro Limited</t>
  </si>
  <si>
    <t>Cotton | Bollworm | 200 ml/ha</t>
  </si>
  <si>
    <t>Aristromil 55EC</t>
  </si>
  <si>
    <t>AP-3006</t>
  </si>
  <si>
    <t>Alco 550EC</t>
  </si>
  <si>
    <t>AP-3007</t>
  </si>
  <si>
    <t>Adfos Super 550EC</t>
  </si>
  <si>
    <t>AP-3008</t>
  </si>
  <si>
    <t>Team 55EC</t>
  </si>
  <si>
    <t>AP-3009</t>
  </si>
  <si>
    <t>Arothrin Puls 55EC</t>
  </si>
  <si>
    <t>AP-3010</t>
  </si>
  <si>
    <t>Shimanto 550EC</t>
  </si>
  <si>
    <t>AP-3011</t>
  </si>
  <si>
    <t>Mary Gold Agro Science Potato</t>
  </si>
  <si>
    <t>- | Aphid | 1 ml/L of water</t>
  </si>
  <si>
    <t>Sico 505EC</t>
  </si>
  <si>
    <t>AP-3014</t>
  </si>
  <si>
    <t>Nafi Agro Chemicals</t>
  </si>
  <si>
    <t>Chlorcyrin 550EC</t>
  </si>
  <si>
    <t>AP-3016</t>
  </si>
  <si>
    <t>Aphid, Jessid, Whitefly, Termite</t>
  </si>
  <si>
    <t>Cotton | Aphid, Jessid, Whitefly | 600 ml/ha
Tea | Termite | 4.00 L/ha</t>
  </si>
  <si>
    <t>Kilsun 55EC</t>
  </si>
  <si>
    <t>AP-3017</t>
  </si>
  <si>
    <t>Cyperfos 55EC</t>
  </si>
  <si>
    <t>AP-3018</t>
  </si>
  <si>
    <t>Brinjal, Tea, Potato</t>
  </si>
  <si>
    <t>Aphid, Termite, Cutworm</t>
  </si>
  <si>
    <t>1 ml/Litre of water; 4.00 L/ha; 2 ml/L of water</t>
  </si>
  <si>
    <t>Brinjal | Aphid | 1 ml/Litre of water
Tea | Termite | 4.00 L/ha
Potato | Cutworm | 2 ml/L of water</t>
  </si>
  <si>
    <t>Barrage 55 EC</t>
  </si>
  <si>
    <t>AP-3119</t>
  </si>
  <si>
    <t>Retina Agro Chemicals</t>
  </si>
  <si>
    <t>Blemix 55EC</t>
  </si>
  <si>
    <t>AP-3459</t>
  </si>
  <si>
    <t>Bold Out 55EC</t>
  </si>
  <si>
    <t>AP-3461</t>
  </si>
  <si>
    <t>4.0 Litre/ha</t>
  </si>
  <si>
    <t>Tea | Termite | 4.0 Litre/ha</t>
  </si>
  <si>
    <t>Difar 55 EC</t>
  </si>
  <si>
    <t>AP-3462</t>
  </si>
  <si>
    <t>Bipile 55EC</t>
  </si>
  <si>
    <t>AP-3464</t>
  </si>
  <si>
    <t>4.0 Litre/ha; 1ml/Litre of water</t>
  </si>
  <si>
    <t>Tea | Termite | 4.0 Litre/ha
Potato | Aphid | 1ml/Litre of water</t>
  </si>
  <si>
    <t>Cuma 55EC</t>
  </si>
  <si>
    <t>AP-3467</t>
  </si>
  <si>
    <t>Sopan 55EC</t>
  </si>
  <si>
    <t>AP-3468</t>
  </si>
  <si>
    <t>Intramix 55 EC</t>
  </si>
  <si>
    <t>AP-3469</t>
  </si>
  <si>
    <t>Vulture 55EC</t>
  </si>
  <si>
    <t>AP-3470</t>
  </si>
  <si>
    <t>G-Five 55EC</t>
  </si>
  <si>
    <t>AP-3471</t>
  </si>
  <si>
    <t>Potato | Aphid | 1 ml/L of water
Tea | Aphid | 1.00 L/ha</t>
  </si>
  <si>
    <t>Onetouch 55EC</t>
  </si>
  <si>
    <t>AP-3473</t>
  </si>
  <si>
    <t>Nabik 55 EC</t>
  </si>
  <si>
    <t>AP-3474</t>
  </si>
  <si>
    <t>Udayan Agro Development Co.</t>
  </si>
  <si>
    <t>Arenaphos 55EC</t>
  </si>
  <si>
    <t>AP-3475</t>
  </si>
  <si>
    <t>Agro Arena Associates Ltd. Cotton</t>
  </si>
  <si>
    <t>- | Aphid, Jassid, Bollworm | 600 ml/ha</t>
  </si>
  <si>
    <t>Winmix 55EC</t>
  </si>
  <si>
    <t>AP-3867</t>
  </si>
  <si>
    <t>Bipolar Plus 55EC</t>
  </si>
  <si>
    <t>AP-3868</t>
  </si>
  <si>
    <t>Noorphos 55EC</t>
  </si>
  <si>
    <t>AP-3869</t>
  </si>
  <si>
    <t>Pitu 55EC</t>
  </si>
  <si>
    <t>AP-3871</t>
  </si>
  <si>
    <t>Holomix 55EC</t>
  </si>
  <si>
    <t>AP-3873</t>
  </si>
  <si>
    <t>Shadhin 55EC</t>
  </si>
  <si>
    <t>AP-4001</t>
  </si>
  <si>
    <t>Seemix 55EC</t>
  </si>
  <si>
    <t>AP-4002</t>
  </si>
  <si>
    <t>See Link Agro Care</t>
  </si>
  <si>
    <t>Nano Plus 55EC</t>
  </si>
  <si>
    <t>AP-4003</t>
  </si>
  <si>
    <t>Sendtro 55EC</t>
  </si>
  <si>
    <t>AP-4004</t>
  </si>
  <si>
    <t>Farming Agro Chemicals Ltd.</t>
  </si>
  <si>
    <t>Cychon 55EC</t>
  </si>
  <si>
    <t>AP-4005</t>
  </si>
  <si>
    <t>Forstike Extra 55EC</t>
  </si>
  <si>
    <t>AP-4006</t>
  </si>
  <si>
    <t>Everfos Super 55EC</t>
  </si>
  <si>
    <t>AP-4007</t>
  </si>
  <si>
    <t>Parin 55EC</t>
  </si>
  <si>
    <t>AP-4008</t>
  </si>
  <si>
    <t>Tomato | Aphid | 1 ml/L of water</t>
  </si>
  <si>
    <t>Oroguard 55EC</t>
  </si>
  <si>
    <t>AP-4009</t>
  </si>
  <si>
    <t>Tea | Termite | 4.00 L/ha
Potato | Cutworm | 2 ml/L of water</t>
  </si>
  <si>
    <t>Super Fast 55EC</t>
  </si>
  <si>
    <t>AP-4012</t>
  </si>
  <si>
    <t>Cotton, Brinjal</t>
  </si>
  <si>
    <t>Aphid, Bollworm, Aphid</t>
  </si>
  <si>
    <t>600 ml/ha; 1 ml/L of water</t>
  </si>
  <si>
    <t>Cotton | Aphid, Bollworm | 600 ml/ha
Brinjal | Aphid | 1 ml/L of water</t>
  </si>
  <si>
    <t>Biplan Super 55EC</t>
  </si>
  <si>
    <t>AP-4491</t>
  </si>
  <si>
    <t>4.00 L/ha; 3 ml/L of water</t>
  </si>
  <si>
    <t>Tea | Termite | 4.00 L/ha
Potato | Cutworm | 3 ml/L of water</t>
  </si>
  <si>
    <t>KBS Joy 55EC</t>
  </si>
  <si>
    <t>AP-4492</t>
  </si>
  <si>
    <t>Tea | Termite | 4.00 L/ha
Bean | Aphid | 1 ml/L of water</t>
  </si>
  <si>
    <t>Tetra Plus 55EC</t>
  </si>
  <si>
    <t>AP-4493</t>
  </si>
  <si>
    <t>Rostil 55EC</t>
  </si>
  <si>
    <t>AP-4494</t>
  </si>
  <si>
    <t>Ricobin 55EC</t>
  </si>
  <si>
    <t>AP-4891</t>
  </si>
  <si>
    <t>Sailor 55EC</t>
  </si>
  <si>
    <t>AP-4892</t>
  </si>
  <si>
    <t>462 ml/ha</t>
  </si>
  <si>
    <t>Cotton | Aphid | 462 ml/ha</t>
  </si>
  <si>
    <t>Senate 55EC</t>
  </si>
  <si>
    <t>SB Super 55EC</t>
  </si>
  <si>
    <t>AP-5263</t>
  </si>
  <si>
    <t>Koktal 55EC</t>
  </si>
  <si>
    <t>AP-5264</t>
  </si>
  <si>
    <t>Jahim 55EC</t>
  </si>
  <si>
    <t>AP-5540</t>
  </si>
  <si>
    <t>Goldenlight 55EC</t>
  </si>
  <si>
    <t>AP-5541</t>
  </si>
  <si>
    <t>Fulki 55EC</t>
  </si>
  <si>
    <t>AP-5727</t>
  </si>
  <si>
    <t>Drive 55EC</t>
  </si>
  <si>
    <t>AP-5728</t>
  </si>
  <si>
    <t>Potato | Cutworm | 1 ml/L of water</t>
  </si>
  <si>
    <t>Sheramix 55EC</t>
  </si>
  <si>
    <t>AP-5729</t>
  </si>
  <si>
    <t>Islam Agro Industries</t>
  </si>
  <si>
    <t>Ballworm</t>
  </si>
  <si>
    <t>Cotton | Ballworm | 4.00 L/ha</t>
  </si>
  <si>
    <t>Guerella 55EC</t>
  </si>
  <si>
    <t>AP-5730</t>
  </si>
  <si>
    <t>Ball Weevil</t>
  </si>
  <si>
    <t>Cotton | Ball Weevil | 500 ml/ha</t>
  </si>
  <si>
    <t>Poker 55EC</t>
  </si>
  <si>
    <t>AP-5986</t>
  </si>
  <si>
    <t>Cotton, Potato</t>
  </si>
  <si>
    <t>White Fly, Cutworm</t>
  </si>
  <si>
    <t>600 ml/ha; 2 ml/L of water</t>
  </si>
  <si>
    <t>Cotton | White Fly | 600 ml/ha
Potato | Cutworm | 2 ml/L of water</t>
  </si>
  <si>
    <t>Cyclor 55EC</t>
  </si>
  <si>
    <t>AP-5987</t>
  </si>
  <si>
    <t>Simla 55EC</t>
  </si>
  <si>
    <t>AP-5988</t>
  </si>
  <si>
    <t>Unimix 55EC</t>
  </si>
  <si>
    <t>AP-5989</t>
  </si>
  <si>
    <t>Double Mix 55EC</t>
  </si>
  <si>
    <t>AP-5990</t>
  </si>
  <si>
    <t>Cyprophos 55EC</t>
  </si>
  <si>
    <t>AP-5991</t>
  </si>
  <si>
    <t>Future 55EC</t>
  </si>
  <si>
    <t>AP-5992</t>
  </si>
  <si>
    <t>Chloromethrin 55EC</t>
  </si>
  <si>
    <t>AP-5993</t>
  </si>
  <si>
    <t>Janala 55EC</t>
  </si>
  <si>
    <t>AP-5994</t>
  </si>
  <si>
    <t>Jass Agro Ltd.</t>
  </si>
  <si>
    <t>Citygold 55EC</t>
  </si>
  <si>
    <t>AP-5995</t>
  </si>
  <si>
    <t>BASK Bangladesh</t>
  </si>
  <si>
    <t>Cotton | Ball worm | 400 ml/ha</t>
  </si>
  <si>
    <t>Octopus Plus 55EC</t>
  </si>
  <si>
    <t>AP-5996</t>
  </si>
  <si>
    <t>Ullash 55EC</t>
  </si>
  <si>
    <t>AP-5997</t>
  </si>
  <si>
    <t>Hiary caterpillar</t>
  </si>
  <si>
    <t>Jute | Hiary caterpillar | 1.0 L/ha</t>
  </si>
  <si>
    <t>Gannet 55EC</t>
  </si>
  <si>
    <t>AP-5998</t>
  </si>
  <si>
    <t>Gunim Agro Care Ltd.</t>
  </si>
  <si>
    <t>Sadika 55EC</t>
  </si>
  <si>
    <t>AP-5999</t>
  </si>
  <si>
    <t>Thrips</t>
  </si>
  <si>
    <t>Chilli | Thrips | 750 ml/ha</t>
  </si>
  <si>
    <t>Chlorpyrifos (50%) + Beta Cypermethrin (10%)</t>
  </si>
  <si>
    <t>Betafos 60EC</t>
  </si>
  <si>
    <t>AP-4893</t>
  </si>
  <si>
    <t>Tea | Helopeltis | 500 ml/ha
Mango | Hopper | 1 ml/L of water</t>
  </si>
  <si>
    <t>Pymetrozine (50%) Dinotefuran (20%) (50% + 28%)</t>
  </si>
  <si>
    <t>Runmate 70WDG</t>
  </si>
  <si>
    <t>AP-6019</t>
  </si>
  <si>
    <t>Rice | BPH | 1.0 Kg/ha</t>
  </si>
  <si>
    <t>IRAC 9B</t>
  </si>
  <si>
    <t>Jegun 78WDG</t>
  </si>
  <si>
    <t>AP-6041</t>
  </si>
  <si>
    <t>190 g/ha</t>
  </si>
  <si>
    <t>Jute | Hairy caterpillar | 190 g/ha</t>
  </si>
  <si>
    <t>(40% + 20$)</t>
  </si>
  <si>
    <t>Daban Ultra 60WDG</t>
  </si>
  <si>
    <t>AP-5686</t>
  </si>
  <si>
    <t>Tea | Helopeltis | 150 gm/ha</t>
  </si>
  <si>
    <t>Chlorpyrifos (50%) + Pymetrozine (15%)</t>
  </si>
  <si>
    <t>Erozin 65WDG</t>
  </si>
  <si>
    <t>AP-5724</t>
  </si>
  <si>
    <t>198 gm/ha</t>
  </si>
  <si>
    <t>Cotton | Mites | 198 gm/ha</t>
  </si>
  <si>
    <t>Cypermethrin</t>
  </si>
  <si>
    <t>Sunmerin 10EC</t>
  </si>
  <si>
    <t>AP-209</t>
  </si>
  <si>
    <t>Mango, Cotton, Tea</t>
  </si>
  <si>
    <t>Hopper, Bollworm, Helopeltis</t>
  </si>
  <si>
    <t>1 ml/L of water; 600 ml/ha; 500 ml/ha</t>
  </si>
  <si>
    <t>Mango | Hopper | 1 ml/L of water
Cotton | Bollworm | 600 ml/ha
Tea | Helopeltis | 500 ml/ha</t>
  </si>
  <si>
    <t>Agromethrin 10EC</t>
  </si>
  <si>
    <t>AP-210</t>
  </si>
  <si>
    <t>Peskil 10 EC</t>
  </si>
  <si>
    <t>AP-211</t>
  </si>
  <si>
    <t>Cypermer 10EC</t>
  </si>
  <si>
    <t>AP-221</t>
  </si>
  <si>
    <t>Mango, Tea, Cotton</t>
  </si>
  <si>
    <t>Hopper, Helopeltis, Bollworm</t>
  </si>
  <si>
    <t>1 ml/L of water; 500 ml/ha; 200-300 ml/ha</t>
  </si>
  <si>
    <t>Mango | Hopper | 1 ml/L of water
Tea | Helopeltis | 500 ml/ha
Cotton | Bollworm | 200-300 ml/ha</t>
  </si>
  <si>
    <t>Ralothrin 10EC</t>
  </si>
  <si>
    <t>AP-222</t>
  </si>
  <si>
    <t>Cotton, Mango, Bean, Tea</t>
  </si>
  <si>
    <t>Boll worm, Hopper, Aphid, Helopeltis</t>
  </si>
  <si>
    <t>1.12 L/ha; 1 ml/L of water; 500 ml/ha</t>
  </si>
  <si>
    <t>Cotton | Boll worm | 1.12 L/ha
Mango | Hopper | 1 ml/L of water
Bean | Aphid | 1 ml/L of water
Tea | Helopeltis | 500 ml/ha</t>
  </si>
  <si>
    <t>Limper 10EC</t>
  </si>
  <si>
    <t>AP-247</t>
  </si>
  <si>
    <t>Boll worm</t>
  </si>
  <si>
    <t>Cotton | Boll worm | 600 ml/ha</t>
  </si>
  <si>
    <t>Ustaad 10EC</t>
  </si>
  <si>
    <t>AP-248</t>
  </si>
  <si>
    <t>Cypersun 10EC</t>
  </si>
  <si>
    <t>AP-309</t>
  </si>
  <si>
    <t>Ripcord 10EC</t>
  </si>
  <si>
    <t>AP-335</t>
  </si>
  <si>
    <t>Cotton, Mango, Jute, Brinjal, Tea</t>
  </si>
  <si>
    <t>Boll worm, Hopper, Hairy caterpillr,Field cricket,Semilopper, Shoot &amp; fruit borer, Helopeltis</t>
  </si>
  <si>
    <t>1.10 L/ha; 1 ml/L of water; 550 ml/ha; 0.5 ml/L of water</t>
  </si>
  <si>
    <t>Cotton | Boll worm | 1.10 L/ha
Mango | Hopper | 1 ml/L of water
Jute | Hairy caterpillr,Field cricket,Semilopper | 550 ml/ha
Brinjal | Shoot &amp; fruit borer | 0.5 ml/L of water
Tea | Helopeltis | 1 ml/L of water</t>
  </si>
  <si>
    <t>Shincyper 10EC</t>
  </si>
  <si>
    <t>AP-418</t>
  </si>
  <si>
    <t>Bollworm, Aphid</t>
  </si>
  <si>
    <t>Cotton | Bollworm | 600 ml/ha
Potato | Aphid | 1 ml/L of water</t>
  </si>
  <si>
    <t>Magic 10EC</t>
  </si>
  <si>
    <t>AP-437</t>
  </si>
  <si>
    <t>Cotton, Mango, Potato, Brinjal</t>
  </si>
  <si>
    <t>Aphid, Jassid, Hopper, Shoot &amp; fruit borer</t>
  </si>
  <si>
    <t>800 ml/ha; 600 ml/ha; 0.5 ml/L of water</t>
  </si>
  <si>
    <t>Cotton | Aphid, Jassid | 800 ml/ha
Mango | Hopper | 600 ml/ha
Potato | Aphid, Jassid | 0.5 ml/L of water
Brinjal | Shoot &amp; fruit borer | 0.5 ml/L of water</t>
  </si>
  <si>
    <t>Fencord 10EC</t>
  </si>
  <si>
    <t>AP-438</t>
  </si>
  <si>
    <t>Brinjal, Fruits</t>
  </si>
  <si>
    <t>Shoot &amp; fruit borer, Fruit fly</t>
  </si>
  <si>
    <t>Brinjal | Shoot &amp; fruit borer | 2 ml/L of water
Fruits | Fruit fly | 2 ml/L of water</t>
  </si>
  <si>
    <t>Superthrin 10EC</t>
  </si>
  <si>
    <t>AP-474</t>
  </si>
  <si>
    <t>Sinothrin 10EC</t>
  </si>
  <si>
    <t>AP-505</t>
  </si>
  <si>
    <t>Mango, Brinjal</t>
  </si>
  <si>
    <t>Hopper, Shoot &amp; fruit borer</t>
  </si>
  <si>
    <t>Mango | Hopper | 1 ml/L of water
Brinjal | Shoot &amp; fruit borer | 1 ml/L of water</t>
  </si>
  <si>
    <t>Cymkil 10EC</t>
  </si>
  <si>
    <t>AP-507</t>
  </si>
  <si>
    <t>Tea, Mango, Cotton</t>
  </si>
  <si>
    <t>Mosquito bug, Hopper, S. Bollworm/A. Bollworm</t>
  </si>
  <si>
    <t>500 ml/ha; 1 ml/L of water; 600 ml/ha</t>
  </si>
  <si>
    <t>Tea | Mosquito bug | 500 ml/ha
Mango | Hopper | 1 ml/L of water
Cotton | S. Bollworm/A. Bollworm | 600 ml/ha</t>
  </si>
  <si>
    <t>Cyperin 10EC</t>
  </si>
  <si>
    <t>AP-512</t>
  </si>
  <si>
    <t>Sicorin 10EC</t>
  </si>
  <si>
    <t>AP-522</t>
  </si>
  <si>
    <t>Buster 10EC</t>
  </si>
  <si>
    <t>AP-564</t>
  </si>
  <si>
    <t>Tea, Cotton, Jute</t>
  </si>
  <si>
    <t>Helopeltis, Bollworm, Hairy Caterpillar</t>
  </si>
  <si>
    <t>500 ml/ha; 600 ml/ha; 550 ml/L of water</t>
  </si>
  <si>
    <t>Tea | Helopeltis | 500 ml/ha
Cotton | Bollworm | 600 ml/ha
Jute | Hairy Caterpillar | 550 ml/L of water</t>
  </si>
  <si>
    <t>Rise 10EC</t>
  </si>
  <si>
    <t>AP-630</t>
  </si>
  <si>
    <t>Tea, Brinjal, Bean</t>
  </si>
  <si>
    <t>Helopeltis, Shoot &amp; fruit borer, Aphid</t>
  </si>
  <si>
    <t>Tea | Helopeltis | 500 ml/ha
Brinjal | Shoot &amp; fruit borer | 1 ml/L of water
Bean | Aphid | 1 ml/L of water</t>
  </si>
  <si>
    <t>Pythrin 10 EC</t>
  </si>
  <si>
    <t>AP-636</t>
  </si>
  <si>
    <t>Caught 10EC</t>
  </si>
  <si>
    <t>AP-639</t>
  </si>
  <si>
    <t>Mango, Brinjal, Jute, Tea</t>
  </si>
  <si>
    <t>Hopper, Shoot &amp; Fruit borer, Hairy Caterpillar, Helopeltis</t>
  </si>
  <si>
    <t>1 ml/L of water; 550 ml/L of water; 500 ml/ha</t>
  </si>
  <si>
    <t>Mango | Hopper | 1 ml/L of water
Brinjal | Shoot &amp; Fruit borer | 1 ml/L of water
Jute | Hairy Caterpillar | 550 ml/L of water
Tea | Helopeltis | 500 ml/ha</t>
  </si>
  <si>
    <t>Sarathrin 10EC</t>
  </si>
  <si>
    <t>AP-640</t>
  </si>
  <si>
    <t>Chemomethrin 10EC</t>
  </si>
  <si>
    <t>AP-641</t>
  </si>
  <si>
    <t>Cypered 10EC</t>
  </si>
  <si>
    <t>AP-643</t>
  </si>
  <si>
    <t>Mango, Jute, Cotton</t>
  </si>
  <si>
    <t>Hopper, Hairy Caterpillar, Aphid, Jassid, Bollworm</t>
  </si>
  <si>
    <t>1 ml/L of water; 550 ml/; 600 ml/ha</t>
  </si>
  <si>
    <t>Mango | Hopper | 1 ml/L of water
Jute | Hairy Caterpillar | 550 ml/
Cotton | Aphid, Jassid, Bollworm | 600 ml/ha</t>
  </si>
  <si>
    <t>Spark 10EC</t>
  </si>
  <si>
    <t>AP-676</t>
  </si>
  <si>
    <t>Parathrin 10EC</t>
  </si>
  <si>
    <t>AP-705</t>
  </si>
  <si>
    <t>Leader 10EC</t>
  </si>
  <si>
    <t>AP-721</t>
  </si>
  <si>
    <t>Boll worm, Hairy Caterpillar</t>
  </si>
  <si>
    <t>700 ml/ha; 550 ml/ha</t>
  </si>
  <si>
    <t>Cotton | Boll worm | 700 ml/ha
Jute | Hairy Caterpillar | 550 ml/ha</t>
  </si>
  <si>
    <t>Cyper 10EC</t>
  </si>
  <si>
    <t>AP-723</t>
  </si>
  <si>
    <t>Boll worm, Shoot &amp; fruit borer</t>
  </si>
  <si>
    <t>700 ml/ha; 1 ml/L of water</t>
  </si>
  <si>
    <t>Cotton | Boll worm | 700 ml/ha
Brinjal | Shoot &amp; fruit borer | 1 ml/L of water</t>
  </si>
  <si>
    <t>Cyking 10EC</t>
  </si>
  <si>
    <t>AP-731</t>
  </si>
  <si>
    <t>Mosquito bug, Hopper</t>
  </si>
  <si>
    <t>Tea | Mosquito bug | 500 ml/ha
Mango | Hopper | 1 ml/L of water</t>
  </si>
  <si>
    <t>Amathrin 10EC</t>
  </si>
  <si>
    <t>AP-811</t>
  </si>
  <si>
    <t>Haymethrin 10EC</t>
  </si>
  <si>
    <t>AP-871</t>
  </si>
  <si>
    <t>Jute, Mango, Tea</t>
  </si>
  <si>
    <t>Hairy Caterpillar, Hopper, Helopeltis</t>
  </si>
  <si>
    <t>Jute | Hairy Caterpillar | 500 ml/ha
Mango | Hopper | 1 ml/L of water
Tea | Helopeltis | 500 ml/ha</t>
  </si>
  <si>
    <t>Cymbaz 10EC</t>
  </si>
  <si>
    <t>AP-872</t>
  </si>
  <si>
    <t>550 ml/ha; 1 ml/L of water</t>
  </si>
  <si>
    <t>Jute | Hairy Caterpillar | 550 ml/ha
Mango | Hopper | 1 ml/L of water</t>
  </si>
  <si>
    <t>Baimethrin 10EC</t>
  </si>
  <si>
    <t>AP-879</t>
  </si>
  <si>
    <t>Simcord 10EC</t>
  </si>
  <si>
    <t>AP-881</t>
  </si>
  <si>
    <t>Topten 10EC</t>
  </si>
  <si>
    <t>AP-950</t>
  </si>
  <si>
    <t>Chili | Aphid | 1 ml/L of water</t>
  </si>
  <si>
    <t>Mimcyper 10EC</t>
  </si>
  <si>
    <t>AP-956</t>
  </si>
  <si>
    <t>Wenthrin 10EC</t>
  </si>
  <si>
    <t>AP-959</t>
  </si>
  <si>
    <t>Radar 10EC</t>
  </si>
  <si>
    <t>AP-988</t>
  </si>
  <si>
    <t>Tea | Helopeltis | 500 ml/ha
Potato | Aphid | 1 ml/L of water</t>
  </si>
  <si>
    <t>Cyperguard 10EC</t>
  </si>
  <si>
    <t>AP-1018</t>
  </si>
  <si>
    <t>Agcyper 10EC</t>
  </si>
  <si>
    <t>AP-1025</t>
  </si>
  <si>
    <t>Bollworm (Helopeltis and Earias SPP)</t>
  </si>
  <si>
    <t>Cotton | Bollworm (Helopeltis and Earias SPP) | 600 ml/ha</t>
  </si>
  <si>
    <t>Cindi 10EC</t>
  </si>
  <si>
    <t>AP-1040</t>
  </si>
  <si>
    <t>Tea, Bean, Cotton</t>
  </si>
  <si>
    <t>Helopeltis, Aphid, Bollworm, Aphid, Jassid</t>
  </si>
  <si>
    <t>Tea | Helopeltis | 500 ml/ha
Bean | Aphid | 1 ml/L of water
Cotton | Bollworm, Aphid, Jassid | 600 ml/ha</t>
  </si>
  <si>
    <t>Topthrin 10 EC</t>
  </si>
  <si>
    <t>AP-1041</t>
  </si>
  <si>
    <t>Tea, Mango, Jute</t>
  </si>
  <si>
    <t>Helopeltis, Hopper, Hairy Caterpillar</t>
  </si>
  <si>
    <t>500 ml/ha; 1 ml/L of water; 550 ml/ha</t>
  </si>
  <si>
    <t>Tea | Helopeltis | 500 ml/ha
Mango | Hopper | 1 ml/L of water
Jute | Hairy Caterpillar | 550 ml/ha</t>
  </si>
  <si>
    <t>Shefa 10 EC</t>
  </si>
  <si>
    <t>AP-1079</t>
  </si>
  <si>
    <t>Jute, Mango, Cotton</t>
  </si>
  <si>
    <t>Hairy Caterpillar, Hopper, Aphid, Jessid</t>
  </si>
  <si>
    <t>555 ml/ha; 1 ml/L of water; 600 ml/ha</t>
  </si>
  <si>
    <t>Jute | Hairy Caterpillar | 555 ml/ha
Mango | Hopper | 1 ml/L of water
Cotton | Aphid, Jessid | 600 ml/ha</t>
  </si>
  <si>
    <t>Cypraplus 10EC</t>
  </si>
  <si>
    <t>AP-1098</t>
  </si>
  <si>
    <t>Hi-Power 10EC</t>
  </si>
  <si>
    <t>AP-1099</t>
  </si>
  <si>
    <t>Shoot &amp; fruit borer</t>
  </si>
  <si>
    <t>Brinjal | Shoot &amp; fruit borer | 1 ml/L of water</t>
  </si>
  <si>
    <t>Bicothrin 10EC</t>
  </si>
  <si>
    <t>AP-1121</t>
  </si>
  <si>
    <t>Ripple 10EC</t>
  </si>
  <si>
    <t>AP-1125</t>
  </si>
  <si>
    <t>48 49</t>
  </si>
  <si>
    <t>G-per 10EC</t>
  </si>
  <si>
    <t>AP-1134</t>
  </si>
  <si>
    <t>Chieftain 10 EC</t>
  </si>
  <si>
    <t>AP-1185</t>
  </si>
  <si>
    <t>Tea | Helopeltis | 500 ml/ha
Bean | Aphid | 1 ml/L of water</t>
  </si>
  <si>
    <t>Rithrin 10EC</t>
  </si>
  <si>
    <t>AP-1220</t>
  </si>
  <si>
    <t>Captain 10EC</t>
  </si>
  <si>
    <t>AP-1221</t>
  </si>
  <si>
    <t>Tea | Helopeltis | 500 ml/ha
Brinjal | Aphid | 1 ml/L of water</t>
  </si>
  <si>
    <t>Merit 10EC</t>
  </si>
  <si>
    <t>AP-1228</t>
  </si>
  <si>
    <t>Suraksha 10 EC</t>
  </si>
  <si>
    <t>AP-1231</t>
  </si>
  <si>
    <t>Tea | Helopeltis | 500 ml/ha
Cotton | Bollworm | 500 ml/ha
Mango | Hopper | 1 ml/L of water</t>
  </si>
  <si>
    <t>Gilcyp 10EC</t>
  </si>
  <si>
    <t>AP-1235</t>
  </si>
  <si>
    <t>Rexithrin 10EC</t>
  </si>
  <si>
    <t>AP-1242</t>
  </si>
  <si>
    <t>Ecomethrin 10EC</t>
  </si>
  <si>
    <t>AP-1294</t>
  </si>
  <si>
    <t>Seamethrin 10EC</t>
  </si>
  <si>
    <t>AP-1320</t>
  </si>
  <si>
    <t>Pillarthrin 10EC</t>
  </si>
  <si>
    <t>AP-1336</t>
  </si>
  <si>
    <t>Overmethrin 10EC</t>
  </si>
  <si>
    <t>AP-1337</t>
  </si>
  <si>
    <t>Zagrocide 10EW</t>
  </si>
  <si>
    <t>AP-1338</t>
  </si>
  <si>
    <t>Century 10EC</t>
  </si>
  <si>
    <t>AP-1391</t>
  </si>
  <si>
    <t>Sinocord 10EC</t>
  </si>
  <si>
    <t>AP-1402</t>
  </si>
  <si>
    <t>Recot 10EC</t>
  </si>
  <si>
    <t>AP-1403</t>
  </si>
  <si>
    <t>Chapairaj 10 EC</t>
  </si>
  <si>
    <t>AP-1406</t>
  </si>
  <si>
    <t>Insuf Agro Industries Ltd.</t>
  </si>
  <si>
    <t>R-cord 10EC</t>
  </si>
  <si>
    <t>AP-1408</t>
  </si>
  <si>
    <t>Raja 10 EC</t>
  </si>
  <si>
    <t>AP-1413</t>
  </si>
  <si>
    <t>Amamarin 10EC</t>
  </si>
  <si>
    <t>AP-1414</t>
  </si>
  <si>
    <t>Hithrin 10EC</t>
  </si>
  <si>
    <t>AP-1416</t>
  </si>
  <si>
    <t>Hilithrin 10EC</t>
  </si>
  <si>
    <t>AP-1423</t>
  </si>
  <si>
    <t>Delithrin 10 EC</t>
  </si>
  <si>
    <t>AP-1431</t>
  </si>
  <si>
    <t>Sinomethrin 10EC</t>
  </si>
  <si>
    <t>AP-1436</t>
  </si>
  <si>
    <t>Tea | Helopeltis | 500 ml</t>
  </si>
  <si>
    <t>Freshmethrin 10EC</t>
  </si>
  <si>
    <t>AP-1564</t>
  </si>
  <si>
    <t>Cyrux 10 EC</t>
  </si>
  <si>
    <t>AP-1568</t>
  </si>
  <si>
    <t>Paracot 10EC</t>
  </si>
  <si>
    <t>AP-1573</t>
  </si>
  <si>
    <t>Arothrin 10EC</t>
  </si>
  <si>
    <t>AP-1574</t>
  </si>
  <si>
    <t>I-thrin 10EC</t>
  </si>
  <si>
    <t>AP-1575</t>
  </si>
  <si>
    <t>Eminence Chemicals Industries Ltd.</t>
  </si>
  <si>
    <t>Hopper, Bollworm, Helpeltis</t>
  </si>
  <si>
    <t>Mango | Hopper | 1 ml/L of water
Cotton | Bollworm | 500 ml/ha
Tea | Helpeltis | 500 ml/ha</t>
  </si>
  <si>
    <t>Onesilva 10EC</t>
  </si>
  <si>
    <t>AP-1576</t>
  </si>
  <si>
    <t>Cyperhit 10EC</t>
  </si>
  <si>
    <t>AP-1580</t>
  </si>
  <si>
    <t>Evacord 10EC</t>
  </si>
  <si>
    <t>AP-1778</t>
  </si>
  <si>
    <t>Typer 10EC</t>
  </si>
  <si>
    <t>AP-1779</t>
  </si>
  <si>
    <t>Cytop 10EC</t>
  </si>
  <si>
    <t>AP-1780</t>
  </si>
  <si>
    <t>Rekathrin 10EC</t>
  </si>
  <si>
    <t>AP-1781</t>
  </si>
  <si>
    <t>Safathrin 10 EC</t>
  </si>
  <si>
    <t>AP-1783</t>
  </si>
  <si>
    <t>Amethrin 10 EC</t>
  </si>
  <si>
    <t>AP-1784</t>
  </si>
  <si>
    <t>A N Corporation</t>
  </si>
  <si>
    <t>Cyperdim 10EC</t>
  </si>
  <si>
    <t>AP-1785</t>
  </si>
  <si>
    <t>Zee-cord 10EC</t>
  </si>
  <si>
    <t>AP-1786</t>
  </si>
  <si>
    <t>Siamthrin 10EC</t>
  </si>
  <si>
    <t>AP-1787</t>
  </si>
  <si>
    <t>Agroking 10 EC</t>
  </si>
  <si>
    <t>AP-1788</t>
  </si>
  <si>
    <t>Terathrin 10 EC</t>
  </si>
  <si>
    <t>AP-1789</t>
  </si>
  <si>
    <t>Jony Enterprise</t>
  </si>
  <si>
    <t>Ribel 10EC</t>
  </si>
  <si>
    <t>AP-1790</t>
  </si>
  <si>
    <t>Thunder 10EC</t>
  </si>
  <si>
    <t>AP-1939</t>
  </si>
  <si>
    <t>Diamond Back Moth</t>
  </si>
  <si>
    <t>Cabbage | Diamond Back Moth | 750 ml/ha</t>
  </si>
  <si>
    <t>Genethrin 10EC</t>
  </si>
  <si>
    <t>AP-1941</t>
  </si>
  <si>
    <t>Messi 10EC</t>
  </si>
  <si>
    <t>AP-1942</t>
  </si>
  <si>
    <t>Aila 10EC</t>
  </si>
  <si>
    <t>AP-1943</t>
  </si>
  <si>
    <t>Tencyper 10EC</t>
  </si>
  <si>
    <t>AP-1944</t>
  </si>
  <si>
    <t>Percord 10 EC</t>
  </si>
  <si>
    <t>AP-1945</t>
  </si>
  <si>
    <t>Isothrine 10EC</t>
  </si>
  <si>
    <t>AP-1946</t>
  </si>
  <si>
    <t>Anny 10EC</t>
  </si>
  <si>
    <t>AP-1947</t>
  </si>
  <si>
    <t>Rajthrin 10EC</t>
  </si>
  <si>
    <t>AP-1948</t>
  </si>
  <si>
    <t>Newthrin 10EC</t>
  </si>
  <si>
    <t>AP-1949</t>
  </si>
  <si>
    <t>Bean | Aphid | 1 ml/L of water
Tea | Helopeltis | 500 ml/ha</t>
  </si>
  <si>
    <t>Delta Kill 10EC</t>
  </si>
  <si>
    <t>AP-1953</t>
  </si>
  <si>
    <t>Perythrin 10EC</t>
  </si>
  <si>
    <t>AP-1954</t>
  </si>
  <si>
    <t>Rubathrin 10EC</t>
  </si>
  <si>
    <t>AP-2254</t>
  </si>
  <si>
    <t>Nicothrin 10EC</t>
  </si>
  <si>
    <t>AP-2256</t>
  </si>
  <si>
    <t>Symun 10EC</t>
  </si>
  <si>
    <t>AP-2258</t>
  </si>
  <si>
    <t>Ladis Finger</t>
  </si>
  <si>
    <t>Ladis Finger | Shoot &amp; fruit borer | 500 ml/ha</t>
  </si>
  <si>
    <t>Dunthrin 10EC</t>
  </si>
  <si>
    <t>AP-2384</t>
  </si>
  <si>
    <t>Blate 10EC</t>
  </si>
  <si>
    <t>AP-2385</t>
  </si>
  <si>
    <t>Mascothrin 10EC / Korothrin 10EC</t>
  </si>
  <si>
    <t>AP-2391 / AP-2393</t>
  </si>
  <si>
    <t>Masco Agro Chemicals / Korotoa Agro Marketing Company</t>
  </si>
  <si>
    <t>Helopentis</t>
  </si>
  <si>
    <t>Tea | Helopentis | 500 ml/ha</t>
  </si>
  <si>
    <t>Ravbush 10EC</t>
  </si>
  <si>
    <t>AP-2397</t>
  </si>
  <si>
    <t>Munthrin 10 EC</t>
  </si>
  <si>
    <t>AP-2707</t>
  </si>
  <si>
    <t>Qurathrin 10EC</t>
  </si>
  <si>
    <t>AP-2711</t>
  </si>
  <si>
    <t>Quality Pest Comtrol</t>
  </si>
  <si>
    <t>Helopeltis, Aphid, Jassid, Bollworm</t>
  </si>
  <si>
    <t>500 ml/ha; 650 ml/ha</t>
  </si>
  <si>
    <t>Tea | Helopeltis | 500 ml/ha
Cotton | Aphid, Jassid, Bollworm | 650 ml/ha</t>
  </si>
  <si>
    <t>Ark 10EC</t>
  </si>
  <si>
    <t>AP-2715</t>
  </si>
  <si>
    <t>Kripcord 10EC</t>
  </si>
  <si>
    <t>AP-2717</t>
  </si>
  <si>
    <t>Modern Agro Chemicals</t>
  </si>
  <si>
    <t>Shakti 10EC</t>
  </si>
  <si>
    <t>AP-2718</t>
  </si>
  <si>
    <t>Brinjal, Mango</t>
  </si>
  <si>
    <t>Brinjal | Aphid | 1 ml/L of water
Mango | Hopper | 1 ml/L of water</t>
  </si>
  <si>
    <t>Dewthrin 10EC</t>
  </si>
  <si>
    <t>AP-2720</t>
  </si>
  <si>
    <t>S. Bollworm, A. Bollworm</t>
  </si>
  <si>
    <t>1200 ml/ha</t>
  </si>
  <si>
    <t>Cotton | S. Bollworm, A. Bollworm | 1200 ml/ha</t>
  </si>
  <si>
    <t>Docord 10EC</t>
  </si>
  <si>
    <t>AP-2721</t>
  </si>
  <si>
    <t>Cotton | Aphid, Jassid, Bollworm | 650 ml/ha</t>
  </si>
  <si>
    <t>Presathrin 10 EC</t>
  </si>
  <si>
    <t>AP-3039</t>
  </si>
  <si>
    <t>Lenda 10EC</t>
  </si>
  <si>
    <t>AP-3041</t>
  </si>
  <si>
    <t>B-thrin 10 EC</t>
  </si>
  <si>
    <t>AP-3042</t>
  </si>
  <si>
    <t>Camba 10EC</t>
  </si>
  <si>
    <t>AP-3046</t>
  </si>
  <si>
    <t>Suthrin 10EC</t>
  </si>
  <si>
    <t>AP-3047</t>
  </si>
  <si>
    <t>Mohathrin 10EC</t>
  </si>
  <si>
    <t>AP-3048</t>
  </si>
  <si>
    <t>Shampad Plus 10EC</t>
  </si>
  <si>
    <t>AP-3049</t>
  </si>
  <si>
    <t>Anithrin 10EC</t>
  </si>
  <si>
    <t>AP-3050</t>
  </si>
  <si>
    <t>Adhbathrin 10EC</t>
  </si>
  <si>
    <t>AP-3052</t>
  </si>
  <si>
    <t>Herithrin 10EC</t>
  </si>
  <si>
    <t>AP-3054</t>
  </si>
  <si>
    <t>Solution 10EC</t>
  </si>
  <si>
    <t>AP-3055</t>
  </si>
  <si>
    <t>N-Thrin 10EC</t>
  </si>
  <si>
    <t>AP-3056</t>
  </si>
  <si>
    <t>Agamethrin 10 EC</t>
  </si>
  <si>
    <t>AP-3057</t>
  </si>
  <si>
    <t>Retina Agro Chemicals Limited</t>
  </si>
  <si>
    <t>Nidhon 10 EC</t>
  </si>
  <si>
    <t>AP-3208</t>
  </si>
  <si>
    <t>EG-Thrin 10EC</t>
  </si>
  <si>
    <t>AP-3256</t>
  </si>
  <si>
    <t>Maxthrin 10EC</t>
  </si>
  <si>
    <t>AP-3405</t>
  </si>
  <si>
    <t>Fena 10EC</t>
  </si>
  <si>
    <t>AP-3406</t>
  </si>
  <si>
    <t>Udaythrin 10 EC</t>
  </si>
  <si>
    <t>AP-3407</t>
  </si>
  <si>
    <t>Oromethrin 10EC</t>
  </si>
  <si>
    <t>AP-3410</t>
  </si>
  <si>
    <t>Gati 10EC</t>
  </si>
  <si>
    <t>AP-3413</t>
  </si>
  <si>
    <t>Howthrin 10EC</t>
  </si>
  <si>
    <t>AP-3414</t>
  </si>
  <si>
    <t>Seedthrin 10 EC</t>
  </si>
  <si>
    <t>AP-3415</t>
  </si>
  <si>
    <t>Tipcard 10EC</t>
  </si>
  <si>
    <t>AP-3417</t>
  </si>
  <si>
    <t>Alif 10EC</t>
  </si>
  <si>
    <t>AP-3418</t>
  </si>
  <si>
    <t>Cypercord 10EC</t>
  </si>
  <si>
    <t>AP-3823</t>
  </si>
  <si>
    <t>Adthrin 10EC</t>
  </si>
  <si>
    <t>AP-3824</t>
  </si>
  <si>
    <t>Acithrin Plus 10EC</t>
  </si>
  <si>
    <t>AP-3826</t>
  </si>
  <si>
    <t>Holomethrin 10EC</t>
  </si>
  <si>
    <t>AP-38227</t>
  </si>
  <si>
    <t>Mothion 10EC</t>
  </si>
  <si>
    <t>AP-3829</t>
  </si>
  <si>
    <t>Dascomethrin 10EC</t>
  </si>
  <si>
    <t>AP-3832</t>
  </si>
  <si>
    <t>Kril Cord 10EC</t>
  </si>
  <si>
    <t>AP-3833</t>
  </si>
  <si>
    <t>Easycot 10EC</t>
  </si>
  <si>
    <t>AP-3835</t>
  </si>
  <si>
    <t>Shahthrin 10EC</t>
  </si>
  <si>
    <t>AP-3837</t>
  </si>
  <si>
    <t>Grey-Cord 10EC</t>
  </si>
  <si>
    <t>AP-3838</t>
  </si>
  <si>
    <t>Kaka 10EC</t>
  </si>
  <si>
    <t>AP-3839</t>
  </si>
  <si>
    <t>Chemocyn 10EC</t>
  </si>
  <si>
    <t>AP-3840</t>
  </si>
  <si>
    <t>Power Pack 10EC</t>
  </si>
  <si>
    <t>AP-3991</t>
  </si>
  <si>
    <t>See Link Sun 10EC</t>
  </si>
  <si>
    <t>AP-3992</t>
  </si>
  <si>
    <t>Pycord 10EC</t>
  </si>
  <si>
    <t>AP-3993</t>
  </si>
  <si>
    <t>Linkcord 10EC</t>
  </si>
  <si>
    <t>AP-3995</t>
  </si>
  <si>
    <t>Diothrin 10EC</t>
  </si>
  <si>
    <t>AP-3996</t>
  </si>
  <si>
    <t>Marithein 10EC</t>
  </si>
  <si>
    <t>AP-3997</t>
  </si>
  <si>
    <t>Maria Agro</t>
  </si>
  <si>
    <t>Faythrin 10EC</t>
  </si>
  <si>
    <t>AP-4000</t>
  </si>
  <si>
    <t>Tisco 10EC</t>
  </si>
  <si>
    <t>AP-4557</t>
  </si>
  <si>
    <t>Bio Guard 10EC</t>
  </si>
  <si>
    <t>AP-4558</t>
  </si>
  <si>
    <t>Best Methrin 10EC</t>
  </si>
  <si>
    <t>AP-4560</t>
  </si>
  <si>
    <t>Palthrin 10EC</t>
  </si>
  <si>
    <t>AP-4884</t>
  </si>
  <si>
    <t>C-Cord 10EC</t>
  </si>
  <si>
    <t>AP-4886</t>
  </si>
  <si>
    <t>Limbush 10EC</t>
  </si>
  <si>
    <t>AP-5256</t>
  </si>
  <si>
    <t>Rearthrin 10EC</t>
  </si>
  <si>
    <t>AP-5258</t>
  </si>
  <si>
    <t>Charkhar 10EC</t>
  </si>
  <si>
    <t>AP-5259</t>
  </si>
  <si>
    <t>AP-5532</t>
  </si>
  <si>
    <t>Kazithrin 10EC</t>
  </si>
  <si>
    <t>AP-5533</t>
  </si>
  <si>
    <t>S K Agro Chemicals</t>
  </si>
  <si>
    <t>1ml/L of water</t>
  </si>
  <si>
    <t>Mango | Hopper | 1ml/L of water</t>
  </si>
  <si>
    <t>SB-Thrin 10EC</t>
  </si>
  <si>
    <t>AP-5534</t>
  </si>
  <si>
    <t>Cyp Up 10EC</t>
  </si>
  <si>
    <t>AP-5536</t>
  </si>
  <si>
    <t>Porosmoni 10EC</t>
  </si>
  <si>
    <t>AP-5537</t>
  </si>
  <si>
    <t>Fair Top 10EC</t>
  </si>
  <si>
    <t>AP-5662</t>
  </si>
  <si>
    <t>Fair United Chemicals</t>
  </si>
  <si>
    <t>Helopeltis, Hairy caterpillar</t>
  </si>
  <si>
    <t>500 ml/ha; 550 ml/</t>
  </si>
  <si>
    <t>Tea | Helopeltis | 500 ml/ha
Jute | Hairy caterpillar | 550 ml/</t>
  </si>
  <si>
    <t>Suncot Super 10EC</t>
  </si>
  <si>
    <t>AP-5663</t>
  </si>
  <si>
    <t>Sherathin 10EC</t>
  </si>
  <si>
    <t>AP-5664</t>
  </si>
  <si>
    <t>Cotton | Ball worm | 600 ml/ha</t>
  </si>
  <si>
    <t>Shefa Plus 10EC</t>
  </si>
  <si>
    <t>AP-5666</t>
  </si>
  <si>
    <t>Blate Plus 10EC</t>
  </si>
  <si>
    <t>AP-5892</t>
  </si>
  <si>
    <t>Chi-Cord 10EC</t>
  </si>
  <si>
    <t>AP-5894</t>
  </si>
  <si>
    <t>Hossain Traders</t>
  </si>
  <si>
    <t>Cypermethrin (5%) + Dimethoate (40%)</t>
  </si>
  <si>
    <t>Merger 45EC</t>
  </si>
  <si>
    <t>AP-1279</t>
  </si>
  <si>
    <t>Tea, Mango, Bean</t>
  </si>
  <si>
    <t>Helopeltis, Hopper, Aphid</t>
  </si>
  <si>
    <t>Tea | Helopeltis | 500 ml/ha
Mango | Hopper | 1 ml/L of water
Bean | Aphid | 1 ml/L of water</t>
  </si>
  <si>
    <t>Rinate 45EC</t>
  </si>
  <si>
    <t>AP-2259</t>
  </si>
  <si>
    <t>Jabber 45EC</t>
  </si>
  <si>
    <t>AP-4073</t>
  </si>
  <si>
    <t>2.25 L/ha</t>
  </si>
  <si>
    <t>Tea | Red spider mite | 2.25 L/ha</t>
  </si>
  <si>
    <t>Deltamethrin</t>
  </si>
  <si>
    <t>Decis 2.5EC</t>
  </si>
  <si>
    <t>AP-317</t>
  </si>
  <si>
    <t>Brinjal, Cotton, Mango, Tea</t>
  </si>
  <si>
    <t>Shoot &amp; fruit borer, Bollworm, Hoppers, Helopeltis</t>
  </si>
  <si>
    <t>Brinjal | Shoot &amp; fruit borer | 1 ml/L of water
Cotton | Bollworm | 500 ml/ha
Mango | Hoppers | 1 ml/L of water
Tea | Helopeltis | 500 ml/ha</t>
  </si>
  <si>
    <t>Nokthion 2.5EC</t>
  </si>
  <si>
    <t>AP-644</t>
  </si>
  <si>
    <t>Hopper, Red mites, Bollworm</t>
  </si>
  <si>
    <t>0.5 ml/L of water; 750 ml/ha; 600 ml/ha</t>
  </si>
  <si>
    <t>Mango | Hopper | 0.5 ml/L of water
Tea | Red mites | 750 ml/ha
Cotton | Bollworm | 600 ml/ha</t>
  </si>
  <si>
    <t>Wenkil 2.5EC</t>
  </si>
  <si>
    <t>AP-737</t>
  </si>
  <si>
    <t>Red spider mite, Hopper</t>
  </si>
  <si>
    <t>Tea | Red spider mite | 750 ml/ha
Mango | Hopper | 0.5 ml/L of water</t>
  </si>
  <si>
    <t>Acithrin 2.5EC</t>
  </si>
  <si>
    <t>AP-880</t>
  </si>
  <si>
    <t>Major 2.5EC</t>
  </si>
  <si>
    <t>AP-893</t>
  </si>
  <si>
    <t>Sinocis 2.5 EC</t>
  </si>
  <si>
    <t>AP-1234</t>
  </si>
  <si>
    <t>Terminator 2.5EC</t>
  </si>
  <si>
    <t>AP-1339</t>
  </si>
  <si>
    <t>Mango, Brinjal, Tea</t>
  </si>
  <si>
    <t>Hopper, Aphid, Helopeltis</t>
  </si>
  <si>
    <t>Mango | Hopper | 1 ml/L of water
Brinjal | Aphid | 1 ml/L of water
Tea | Helopeltis | 500 ml/ha</t>
  </si>
  <si>
    <t>Marker 2.5EC</t>
  </si>
  <si>
    <t>AP-1569</t>
  </si>
  <si>
    <t>Deltacis 2.5EC</t>
  </si>
  <si>
    <t>AP-1571</t>
  </si>
  <si>
    <t>Zero Fly Storage Bag</t>
  </si>
  <si>
    <t>AP-4154</t>
  </si>
  <si>
    <t>Tribolium, Sitophilus, Rhizopertha</t>
  </si>
  <si>
    <t>0.30 g/bag</t>
  </si>
  <si>
    <t>Wheat, Rice | Tribolium, Sitophilus, Rhizopertha | 0.30 g/bag</t>
  </si>
  <si>
    <t>Deltamethrin (1%) + Triazophos (35%)</t>
  </si>
  <si>
    <t>Japson 5WP</t>
  </si>
  <si>
    <t>AP-5672</t>
  </si>
  <si>
    <t>247 gm/ha</t>
  </si>
  <si>
    <t>Cotton | Mites | 247 gm/ha</t>
  </si>
  <si>
    <t>Combi DT 36EC</t>
  </si>
  <si>
    <t>AP-1889</t>
  </si>
  <si>
    <t>Roster 36EC</t>
  </si>
  <si>
    <t>AP-1933</t>
  </si>
  <si>
    <t>Dhadkhan 36EC</t>
  </si>
  <si>
    <t>AP-3842</t>
  </si>
  <si>
    <t>600 ml</t>
  </si>
  <si>
    <t>Tea | Helopeltis | 600 ml</t>
  </si>
  <si>
    <t>Challok 36EC</t>
  </si>
  <si>
    <t>AP-3495</t>
  </si>
  <si>
    <t>Diazinon</t>
  </si>
  <si>
    <t>Diatone 10G</t>
  </si>
  <si>
    <t>AP-130</t>
  </si>
  <si>
    <t>Rice | Stemborer | 16.80 kg/ha</t>
  </si>
  <si>
    <t>Sabion 60EC</t>
  </si>
  <si>
    <t>AP-160</t>
  </si>
  <si>
    <t>Stemborer, GLH, BPH, Aphid</t>
  </si>
  <si>
    <t>1.70 L/ha; 1.50 L/ha; 1.0 L/ha; 2 ml/L of water</t>
  </si>
  <si>
    <t>Rice | Stemborer | 1.70 L/ha
Rice | GLH | 1.50 L/ha
Rice | BPH | 1.0 L/ha
Mustard | Aphid | 2 ml/L of water</t>
  </si>
  <si>
    <t>Diazon 10G</t>
  </si>
  <si>
    <t>AP-208</t>
  </si>
  <si>
    <t>Dizinol 60EC</t>
  </si>
  <si>
    <t>AP-237</t>
  </si>
  <si>
    <t>1.70 L/ha</t>
  </si>
  <si>
    <t>Rice | Stemborer | 1.70 L/ha</t>
  </si>
  <si>
    <t>Diazon 60EC</t>
  </si>
  <si>
    <t>AP-238</t>
  </si>
  <si>
    <t>Rice | Stemborer &amp; BPH | 1.70 L/ha</t>
  </si>
  <si>
    <t>Diazinon 10G</t>
  </si>
  <si>
    <t>AP-281</t>
  </si>
  <si>
    <t>Stemborer, Gall midge</t>
  </si>
  <si>
    <t>Rice | Stemborer, Gall midge | 16.80 kg/ha</t>
  </si>
  <si>
    <t>Razdan 10G</t>
  </si>
  <si>
    <t>AP-282</t>
  </si>
  <si>
    <t>YSB &amp; GLH, Gall midge</t>
  </si>
  <si>
    <t>Rice | YSB &amp; GLH, Gall midge | 16.80 kg/ha</t>
  </si>
  <si>
    <t>Diazinon 60EC</t>
  </si>
  <si>
    <t>AP-321</t>
  </si>
  <si>
    <t>Yellow Stemborer, BPH</t>
  </si>
  <si>
    <t>1.50 L/ha; 1.00 L/ha</t>
  </si>
  <si>
    <t>Rice | Yellow Stemborer | 1.50 L/ha
Rice | BPH | 1.00 L/ha</t>
  </si>
  <si>
    <t>Dianon 10G</t>
  </si>
  <si>
    <t>AP-332</t>
  </si>
  <si>
    <t>Amcozinon 10G</t>
  </si>
  <si>
    <t>AP-461</t>
  </si>
  <si>
    <t>Rice | BPH | 16.80 kg/ha
Rice | Yellow Stemborer | 16.80 kg/ha</t>
  </si>
  <si>
    <t>Laidan 60EC</t>
  </si>
  <si>
    <t>AP-646</t>
  </si>
  <si>
    <t>Baizinon 10G</t>
  </si>
  <si>
    <t>AP-774</t>
  </si>
  <si>
    <t>Devizinon 14G</t>
  </si>
  <si>
    <t>AP-775</t>
  </si>
  <si>
    <t>Cutworm, Yellow Stemborer</t>
  </si>
  <si>
    <t>12.00 kg/ha; 10.00 kg/ha</t>
  </si>
  <si>
    <t>Potato | Cutworm | 12.00 kg/ha
Rice | Yellow Stemborer | 10.00 kg/ha</t>
  </si>
  <si>
    <t>Biodin 10G</t>
  </si>
  <si>
    <t>AP-942</t>
  </si>
  <si>
    <t>Rahman Pesticide &amp; Chemical Co.</t>
  </si>
  <si>
    <t>Agrozin 60EC</t>
  </si>
  <si>
    <t>AP-951</t>
  </si>
  <si>
    <t>Wenzinon 60EC</t>
  </si>
  <si>
    <t>AP-952</t>
  </si>
  <si>
    <t>Rahman Pesticides &amp; Chemical Co.</t>
  </si>
  <si>
    <t>Mustard, Rice</t>
  </si>
  <si>
    <t>Mustard | Aphid | 1 ml/L of water
Rice | BPH | 1.00 L/ha</t>
  </si>
  <si>
    <t>Pounder 600EC</t>
  </si>
  <si>
    <t>AP-1038</t>
  </si>
  <si>
    <t>Flush worms, Bug worms</t>
  </si>
  <si>
    <t>0.63 L/ha</t>
  </si>
  <si>
    <t>Tea | Flush worms, Bug worms | 0.63 L/ha</t>
  </si>
  <si>
    <t>Turab 60EC</t>
  </si>
  <si>
    <t>AP-1150</t>
  </si>
  <si>
    <t>Mapzinon 10G</t>
  </si>
  <si>
    <t>AP-1166</t>
  </si>
  <si>
    <t>Rizinon 10G</t>
  </si>
  <si>
    <t>AP-1259</t>
  </si>
  <si>
    <t>Rajib Agro Chemical Ltd.</t>
  </si>
  <si>
    <t>Rice | BPH | 16.80 kg/ha
Tea | Aphid | 16.80 kg/ha</t>
  </si>
  <si>
    <t>Rekazinon 14G</t>
  </si>
  <si>
    <t>AP-1284</t>
  </si>
  <si>
    <t>Aphid, YSB</t>
  </si>
  <si>
    <t>3.50 kg/ha; 13.50 kg/ha</t>
  </si>
  <si>
    <t>Tea | Aphid | 3.50 kg/ha
Rice | YSB | 13.50 kg/ha</t>
  </si>
  <si>
    <t>Rekadin 10G</t>
  </si>
  <si>
    <t>AP-1293</t>
  </si>
  <si>
    <t>Tea | Aphid | 16.80 kg/ha
Rice | BPH | 16.80 kg/ha</t>
  </si>
  <si>
    <t>Noknon 60 EC</t>
  </si>
  <si>
    <t>AP-1333</t>
  </si>
  <si>
    <t>Mustard, Rice, Jute</t>
  </si>
  <si>
    <t>Aphid, BPH, Hairy caterpillar</t>
  </si>
  <si>
    <t>1 ml/L of water; 1.0 L/ha; 1.70 L/ha</t>
  </si>
  <si>
    <t>Mustard | Aphid | 1 ml/L of water
Rice | BPH | 1.0 L/ha
Jute | Hairy caterpillar | 1.70 L/ha</t>
  </si>
  <si>
    <t>Basudeb 10GR</t>
  </si>
  <si>
    <t>AP-1428</t>
  </si>
  <si>
    <t>16.50 kg/ha</t>
  </si>
  <si>
    <t>Tea | Aphid | 16.50 kg/ha</t>
  </si>
  <si>
    <t>Diazi 60EC</t>
  </si>
  <si>
    <t>AP-1438</t>
  </si>
  <si>
    <t>Flush worms</t>
  </si>
  <si>
    <t>630 ml/ha</t>
  </si>
  <si>
    <t>Tea | Flush worms | 630 ml/ha</t>
  </si>
  <si>
    <t>Diatox 60EC</t>
  </si>
  <si>
    <t>AP-1472</t>
  </si>
  <si>
    <t>Dizol 10GR</t>
  </si>
  <si>
    <t>AP-1539</t>
  </si>
  <si>
    <t>Deltazol 10GR</t>
  </si>
  <si>
    <t>AP-1543</t>
  </si>
  <si>
    <t>Dezi 10G</t>
  </si>
  <si>
    <t>AP-1547</t>
  </si>
  <si>
    <t>Rahman Pesticide &amp; Pesticides Co.</t>
  </si>
  <si>
    <t>Dzen 10G</t>
  </si>
  <si>
    <t>AP-1623</t>
  </si>
  <si>
    <t>Mazudin 10G</t>
  </si>
  <si>
    <t>AP-1643</t>
  </si>
  <si>
    <t>Yellow Stemborer, Cutworm</t>
  </si>
  <si>
    <t>16.80 kg/ha; 8.5 Kg/ha</t>
  </si>
  <si>
    <t>Rice | Yellow Stemborer | 16.80 kg/ha
Potato | Cutworm | 8.5 Kg/ha</t>
  </si>
  <si>
    <t>Heritage 10G</t>
  </si>
  <si>
    <t>AP-1723</t>
  </si>
  <si>
    <t>BPH, YSB</t>
  </si>
  <si>
    <t>Rice | BPH | 16.80 kg/ha
Rice | YSB | 16.80 kg/ha</t>
  </si>
  <si>
    <t>Ecozinon 10G</t>
  </si>
  <si>
    <t>AP-1724</t>
  </si>
  <si>
    <t>D-ten 10G</t>
  </si>
  <si>
    <t>AP-1950</t>
  </si>
  <si>
    <t>Dizizol 10G</t>
  </si>
  <si>
    <t>AP-1994</t>
  </si>
  <si>
    <t>Hirazinon 10G</t>
  </si>
  <si>
    <t>AP-1995</t>
  </si>
  <si>
    <t>Potato | Cutworm | 16.80 kg/ha</t>
  </si>
  <si>
    <t>Agristozin 10G</t>
  </si>
  <si>
    <t>AP-1997</t>
  </si>
  <si>
    <t>Sunzinon 10G</t>
  </si>
  <si>
    <t>AP-2345</t>
  </si>
  <si>
    <t>Paydin 10G</t>
  </si>
  <si>
    <t>AP-2347</t>
  </si>
  <si>
    <t>Hairy Caterpiller</t>
  </si>
  <si>
    <t>Jute | Hairy Caterpiller | 16.80 kg/ha</t>
  </si>
  <si>
    <t>Ravzinon 60EC</t>
  </si>
  <si>
    <t>AP-2604</t>
  </si>
  <si>
    <t>Diadin 10G</t>
  </si>
  <si>
    <t>AP-2756</t>
  </si>
  <si>
    <t>Sarazon 10G</t>
  </si>
  <si>
    <t>AP-2757</t>
  </si>
  <si>
    <t>Hairy Caterpillar, YSB</t>
  </si>
  <si>
    <t>Jute | Hairy Caterpillar | 16.80 kg/ha
Rice | YSB | 16.80 kg/ha</t>
  </si>
  <si>
    <t>Genedin 10G</t>
  </si>
  <si>
    <t>AP-2902</t>
  </si>
  <si>
    <t>Benzin 10G</t>
  </si>
  <si>
    <t>AP-2942</t>
  </si>
  <si>
    <t>Suzinon 10G</t>
  </si>
  <si>
    <t>AP-2943</t>
  </si>
  <si>
    <t>16.80 kg/ha; 165 g/M3</t>
  </si>
  <si>
    <t>Rice | BPH | 16.80 kg/ha
Tea | Nematode | 165 g/M3</t>
  </si>
  <si>
    <t>Symbozinon 10G</t>
  </si>
  <si>
    <t>AP-2945</t>
  </si>
  <si>
    <t>Sharidan 10G</t>
  </si>
  <si>
    <t>AP-2961</t>
  </si>
  <si>
    <t>Basumeal 10G</t>
  </si>
  <si>
    <t>AP-2962</t>
  </si>
  <si>
    <t>Laidan 10G</t>
  </si>
  <si>
    <t>AP-2963</t>
  </si>
  <si>
    <t>Dekozinon 10G</t>
  </si>
  <si>
    <t>AP-2964</t>
  </si>
  <si>
    <t>Acinon 10G</t>
  </si>
  <si>
    <t>AP-2977</t>
  </si>
  <si>
    <t>Acidin 10G</t>
  </si>
  <si>
    <t>AP-2968</t>
  </si>
  <si>
    <t>Diaraz 60EC</t>
  </si>
  <si>
    <t>AP-2969</t>
  </si>
  <si>
    <t>Bdhan 10G</t>
  </si>
  <si>
    <t>AP-2970</t>
  </si>
  <si>
    <t>Pro-zin 10G</t>
  </si>
  <si>
    <t>AP-2971</t>
  </si>
  <si>
    <t>Hairy caterpiller, BPH</t>
  </si>
  <si>
    <t>Jute | Hairy caterpiller | 16.80 kg/ha
Rice | BPH | 16.80 kg/ha</t>
  </si>
  <si>
    <t>G-Dan 10G</t>
  </si>
  <si>
    <t>AP-3318</t>
  </si>
  <si>
    <t>Green Care Bangladesh</t>
  </si>
  <si>
    <t>Culture 60EC</t>
  </si>
  <si>
    <t>AP-3319</t>
  </si>
  <si>
    <t>Niradin 10G</t>
  </si>
  <si>
    <t>AP-3320</t>
  </si>
  <si>
    <t>Bicozinon 10G</t>
  </si>
  <si>
    <t>AP-3321</t>
  </si>
  <si>
    <t>Winzinon 10G</t>
  </si>
  <si>
    <t>AP-3324</t>
  </si>
  <si>
    <t>Agrozin 10G</t>
  </si>
  <si>
    <t>AP-3325</t>
  </si>
  <si>
    <t>X-Din 10G</t>
  </si>
  <si>
    <t>AP-3327</t>
  </si>
  <si>
    <t>Xzinon 10G</t>
  </si>
  <si>
    <t>AP-3329</t>
  </si>
  <si>
    <t>Xtreme Agriculture</t>
  </si>
  <si>
    <t>Bada 10G</t>
  </si>
  <si>
    <t>AP-3330</t>
  </si>
  <si>
    <t>Gurzinon 10G</t>
  </si>
  <si>
    <t>AP-3331</t>
  </si>
  <si>
    <t>16.18 kg/ha</t>
  </si>
  <si>
    <t>Jute | Hairy caterpillar | 16.18 kg/ha</t>
  </si>
  <si>
    <t>Macdin 10G</t>
  </si>
  <si>
    <t>AP-3332</t>
  </si>
  <si>
    <t>17.00 kg/ha</t>
  </si>
  <si>
    <t>Cotton | Cutworm | 17.00 kg/ha</t>
  </si>
  <si>
    <t>Becozinon 60EC</t>
  </si>
  <si>
    <t>AP-3763</t>
  </si>
  <si>
    <t>Emidan 10G</t>
  </si>
  <si>
    <t>AP-3765</t>
  </si>
  <si>
    <t>G-None 10G</t>
  </si>
  <si>
    <t>AP-3766</t>
  </si>
  <si>
    <t>Rexizinon 10G</t>
  </si>
  <si>
    <t>AP-3769</t>
  </si>
  <si>
    <t>Danzin 10G</t>
  </si>
  <si>
    <t>AP-3770</t>
  </si>
  <si>
    <t>Kazudin 10G</t>
  </si>
  <si>
    <t>AP-3772</t>
  </si>
  <si>
    <t>Ecodin 10G</t>
  </si>
  <si>
    <t>AP-3773</t>
  </si>
  <si>
    <t>Rice | BPH | 16.80 kg/ha
Potato | Cutworm | 8.5 Kg/ha</t>
  </si>
  <si>
    <t>Moronpon 10G</t>
  </si>
  <si>
    <t>AP-4067</t>
  </si>
  <si>
    <t>Suradin 10G</t>
  </si>
  <si>
    <t>AP-4541</t>
  </si>
  <si>
    <t>Surovi Agro Industries Ltd.</t>
  </si>
  <si>
    <t>8.5 Kg/ha</t>
  </si>
  <si>
    <t>Potato | Cutworm | 8.5 Kg/ha</t>
  </si>
  <si>
    <t>Orozon 10G</t>
  </si>
  <si>
    <t>AP-4544</t>
  </si>
  <si>
    <t>BPH, Hairy Caterpiller</t>
  </si>
  <si>
    <t>Rice | BPH | 16.80 kg/ha
Jute | Hairy Caterpiller | 16.80 kg/ha</t>
  </si>
  <si>
    <t>Orozon 60EC</t>
  </si>
  <si>
    <t>AP-4545</t>
  </si>
  <si>
    <t>Flushworn</t>
  </si>
  <si>
    <t>Tea | Flushworn | 630 ml/ha</t>
  </si>
  <si>
    <t>Miladzinon 10G</t>
  </si>
  <si>
    <t>AP-5746</t>
  </si>
  <si>
    <t>Honor 10G</t>
  </si>
  <si>
    <t>AP-5747</t>
  </si>
  <si>
    <t>Jute | Hairy Caterpillar | 16.80 kg/ha</t>
  </si>
  <si>
    <t>Rajtika 10G</t>
  </si>
  <si>
    <t>AP-6013</t>
  </si>
  <si>
    <t>New National Crop Science</t>
  </si>
  <si>
    <t>Weevil</t>
  </si>
  <si>
    <t>16.80 Kg/ha</t>
  </si>
  <si>
    <t>Jute | Weevil | 16.80 Kg/ha</t>
  </si>
  <si>
    <t>Shakezinon 10G</t>
  </si>
  <si>
    <t>AP-6014</t>
  </si>
  <si>
    <t>Rice | BPH | 16.80 Kg/ha</t>
  </si>
  <si>
    <t>Chicodin 10G</t>
  </si>
  <si>
    <t>AP-6015</t>
  </si>
  <si>
    <t>Agri Source Ltd.</t>
  </si>
  <si>
    <t>Sudin 10G</t>
  </si>
  <si>
    <t>AP-6016</t>
  </si>
  <si>
    <t>Dimethoate</t>
  </si>
  <si>
    <t>Delathoate 40EC</t>
  </si>
  <si>
    <t>AP-152</t>
  </si>
  <si>
    <t>Hispa, BPH, GLH</t>
  </si>
  <si>
    <t>Rice | Hispa, BPH, GLH | 1.00 L/ha</t>
  </si>
  <si>
    <t>Selathoate 40EC</t>
  </si>
  <si>
    <t>AP-212</t>
  </si>
  <si>
    <t>Dimegro 40EC</t>
  </si>
  <si>
    <t>AP-226</t>
  </si>
  <si>
    <t>Rice, Tea, Mustard</t>
  </si>
  <si>
    <t>Hiapa, Red spider mite, Aphid</t>
  </si>
  <si>
    <t>1.00 L/ha; 1.12 L/ha; 1 ml/L of water</t>
  </si>
  <si>
    <t>Rice | Hiapa | 1.00 L/ha
Tea | Red spider mite | 1.12 L/ha
Mustard | Aphid | 1 ml/L of water</t>
  </si>
  <si>
    <t>Sunagor 40EC</t>
  </si>
  <si>
    <t>AP-227</t>
  </si>
  <si>
    <t>Rice, Mango, Tea</t>
  </si>
  <si>
    <t>Hispa, Hopper, Helopeltis, Red spider mite</t>
  </si>
  <si>
    <t>1.00 L/ha; 2 ml/L of water; 2.25 L/ha; 1.12 L/ha</t>
  </si>
  <si>
    <t>Rice | Hispa | 1.00 L/ha
Mango | Hopper | 2 ml/L of water
Tea | Helopeltis | 2.25 L/ha
Tea | Red spider mite | 1.12 L/ha</t>
  </si>
  <si>
    <t>Tafgor 40EC</t>
  </si>
  <si>
    <t>AP-228</t>
  </si>
  <si>
    <t>Rice, Mango, Mustard &amp; Bean, Tea, Potato</t>
  </si>
  <si>
    <t>Hispa &amp; BPH, Hopper, Aphids, Mosquito, Aphid</t>
  </si>
  <si>
    <t>1.00 L/ha; 2 ml/L of water; 2.25 L/ha; 1 ml/L of water</t>
  </si>
  <si>
    <t>Rice | Hispa &amp; BPH | 1.00 L/ha
Mango | Hopper | 2 ml/L of water
Mustard &amp; Bean | Aphids | 2 ml/L of water
Tea | Mosquito | 2.25 L/ha
Potato | Aphid | 1 ml/L of water</t>
  </si>
  <si>
    <t>Dimethion 40EC</t>
  </si>
  <si>
    <t>AP-246</t>
  </si>
  <si>
    <t>Biesterthoate 40EC</t>
  </si>
  <si>
    <t>AP-290</t>
  </si>
  <si>
    <t>Green Plant Hopper, Red mites</t>
  </si>
  <si>
    <t>Rice | Green Plant Hopper | 1.20 L/ha
Tea | Red mites | 1.20 L/ha</t>
  </si>
  <si>
    <t>Novathoate 40EC</t>
  </si>
  <si>
    <t>AP-389</t>
  </si>
  <si>
    <t>Haymethoate 40EC</t>
  </si>
  <si>
    <t>AP-571</t>
  </si>
  <si>
    <t>Tea, Bean, Rice, Mango</t>
  </si>
  <si>
    <t>Helopeltis, Aphids, Hispa, Hopper</t>
  </si>
  <si>
    <t>2.25 L/ha; 1ml/Lof water; 1.00 L/ha; 2 ml/L of water</t>
  </si>
  <si>
    <t>Tea | Helopeltis | 2.25 L/ha
Bean | Aphids | 1ml/Lof water
Rice | Hispa | 1.00 L/ha
Mango | Hopper | 2 ml/L of water</t>
  </si>
  <si>
    <t>Starter 40EC</t>
  </si>
  <si>
    <t>AP-634</t>
  </si>
  <si>
    <t>Longyard Bean, Rice</t>
  </si>
  <si>
    <t>Apid, Hispa</t>
  </si>
  <si>
    <t>1ml/L of water; 1.12 L/ha</t>
  </si>
  <si>
    <t>Longyard Bean | Apid | 1ml/L of water
Rice | Hispa | 1.12 L/ha</t>
  </si>
  <si>
    <t>Roxin 40EC</t>
  </si>
  <si>
    <t>AP-635</t>
  </si>
  <si>
    <t>Longyard Bean</t>
  </si>
  <si>
    <t>Longyard Bean | Aphid | 1 ml/L of water</t>
  </si>
  <si>
    <t>Dynamic 40EC</t>
  </si>
  <si>
    <t>AP-658</t>
  </si>
  <si>
    <t>Tea, Country bean, Rice</t>
  </si>
  <si>
    <t>Red mites, Aphid, BPH</t>
  </si>
  <si>
    <t>2.25 L/ha; 1ml/L of water; 1.00 L/ha</t>
  </si>
  <si>
    <t>Tea | Red mites | 2.25 L/ha
Country bean | Aphid | 1ml/L of water
Rice | BPH | 1.00 L/ha</t>
  </si>
  <si>
    <t>Shinthoate 40EC</t>
  </si>
  <si>
    <t>AP-888</t>
  </si>
  <si>
    <t>Tea | Red spider mite | 1.12 L/ha</t>
  </si>
  <si>
    <t>Pilarmax 40EC</t>
  </si>
  <si>
    <t>AP-1300</t>
  </si>
  <si>
    <t>1.5 L/ha</t>
  </si>
  <si>
    <t>Cotton | Aphid | 1.5 L/ha</t>
  </si>
  <si>
    <t>Devigon 40EC</t>
  </si>
  <si>
    <t>AP-1325</t>
  </si>
  <si>
    <t>Tapnor 40EC</t>
  </si>
  <si>
    <t>AP-1424</t>
  </si>
  <si>
    <t>Rexithoate 40EC</t>
  </si>
  <si>
    <t>AP-1605</t>
  </si>
  <si>
    <t>Agrothate 40EC</t>
  </si>
  <si>
    <t>AP-1747</t>
  </si>
  <si>
    <t>Agro Business Support Ltd</t>
  </si>
  <si>
    <t>Hispa, Helopeltis</t>
  </si>
  <si>
    <t>1.12 L/ha; 2.25 L/ha</t>
  </si>
  <si>
    <t>Rice | Hispa | 1.12 L/ha
Tea | Helopeltis | 2.25 L/ha</t>
  </si>
  <si>
    <t>Logor 40EC</t>
  </si>
  <si>
    <t>AP-1901</t>
  </si>
  <si>
    <t>Ecothoate 40EC</t>
  </si>
  <si>
    <t>AP-2058</t>
  </si>
  <si>
    <t>Hispa, Hopper, Helipeltis</t>
  </si>
  <si>
    <t>1.12 L/ha; 2 ml/L of water; 2.25 L/ha</t>
  </si>
  <si>
    <t>Rice | Hispa | 1.12 L/ha
Mango | Hopper | 2 ml/L of water
Tea | Helipeltis | 2.25 L/ha</t>
  </si>
  <si>
    <t>Baithoate 40EC</t>
  </si>
  <si>
    <t>AP-2059</t>
  </si>
  <si>
    <t>Amcothoate 40EC</t>
  </si>
  <si>
    <t>AP-2060</t>
  </si>
  <si>
    <t>Aphid, Helipeltis</t>
  </si>
  <si>
    <t>1 ml/L of water; 2.25 L/ha</t>
  </si>
  <si>
    <t>Bean | Aphid | 1 ml/L of water
Tea | Helipeltis | 2.25 L/ha</t>
  </si>
  <si>
    <t>Dimet 40EC</t>
  </si>
  <si>
    <t>AP-2698</t>
  </si>
  <si>
    <t>Tea | Helopeltis | 2.25 L/ha</t>
  </si>
  <si>
    <t>Borshan 40EC</t>
  </si>
  <si>
    <t>AP-2699</t>
  </si>
  <si>
    <t>Twinkle 40EC</t>
  </si>
  <si>
    <t>AP-2986</t>
  </si>
  <si>
    <t>Rice, Tea, Mango</t>
  </si>
  <si>
    <t>Hispa, Helopeltis, Hopper</t>
  </si>
  <si>
    <t>1.12 L/ha; 2.25 L/ha; 2 ml/L of water</t>
  </si>
  <si>
    <t>Rice | Hispa | 1.12 L/ha
Tea | Helopeltis | 2.25 L/ha
Mango | Hopper | 2 ml/L of water</t>
  </si>
  <si>
    <t>Thiomet 40EC</t>
  </si>
  <si>
    <t>AP-2987</t>
  </si>
  <si>
    <t>Country bean, Rice</t>
  </si>
  <si>
    <t>Country bean | Aphid | 1 ml/L of water
Rice | BPH | 1.00 L/ha</t>
  </si>
  <si>
    <t>Umate 40EC</t>
  </si>
  <si>
    <t>AP--3368</t>
  </si>
  <si>
    <t>Country bean</t>
  </si>
  <si>
    <t>Country bean | Aphid | 1 ml/L of water</t>
  </si>
  <si>
    <t>Pai-thoate 40EC</t>
  </si>
  <si>
    <t>AP-3369</t>
  </si>
  <si>
    <t>Jute | Hairy caterpillar | 1.00 L/ha</t>
  </si>
  <si>
    <t>Badhan 40EC</t>
  </si>
  <si>
    <t>AP-3874</t>
  </si>
  <si>
    <t>Ref spider mite</t>
  </si>
  <si>
    <t>Tea | Ref spider mite | 2.25 L/ha</t>
  </si>
  <si>
    <t>Amgor 40EC</t>
  </si>
  <si>
    <t>AP-3875</t>
  </si>
  <si>
    <t>Jute | Hiary caterpillar | 1.00 L/ha
Mango | - | 1.00 L/ha</t>
  </si>
  <si>
    <t>Tengot 40EC</t>
  </si>
  <si>
    <t>AP-4895</t>
  </si>
  <si>
    <t>West Agro Chemical Industries</t>
  </si>
  <si>
    <t>- | Hopper | 2 ml/L of water</t>
  </si>
  <si>
    <t>Methoat 40EC</t>
  </si>
  <si>
    <t>AP-5268</t>
  </si>
  <si>
    <t>2.25 L/ha; 1.00 L/ha</t>
  </si>
  <si>
    <t>Tea | Helopeltis | 2.25 L/ha
Rice | BPH | 1.00 L/ha</t>
  </si>
  <si>
    <t>Trowpower 40EC</t>
  </si>
  <si>
    <t>AP-5269</t>
  </si>
  <si>
    <t>Tinathoate 40EC</t>
  </si>
  <si>
    <t>AP-5607</t>
  </si>
  <si>
    <t>Prangor 40EC</t>
  </si>
  <si>
    <t>AP-5786</t>
  </si>
  <si>
    <t>Purbita Agro Limited</t>
  </si>
  <si>
    <t>Orothoate 40EC</t>
  </si>
  <si>
    <t>AP-5787</t>
  </si>
  <si>
    <t>2 ml/L of water; 1.12 L/ha</t>
  </si>
  <si>
    <t>Mango | Hopper | 2 ml/L of water
Rice | BPH | 1.12 L/ha</t>
  </si>
  <si>
    <t>Uniban 40EC</t>
  </si>
  <si>
    <t>AP-5951</t>
  </si>
  <si>
    <t>United Crop Care</t>
  </si>
  <si>
    <t>Rice | BPH | 1.12 L/ha</t>
  </si>
  <si>
    <t>Dinotefuran</t>
  </si>
  <si>
    <t>Token 20SG</t>
  </si>
  <si>
    <t>AP-4153</t>
  </si>
  <si>
    <t>150 gm/ha; 200 gm/ha</t>
  </si>
  <si>
    <t>Rice | BPH | 150 gm/ha
Rice | YSB | 200 gm/ha</t>
  </si>
  <si>
    <t>Dinote 20SG</t>
  </si>
  <si>
    <t>AP-4568</t>
  </si>
  <si>
    <t>Superben 20SG</t>
  </si>
  <si>
    <t>AP-4569</t>
  </si>
  <si>
    <t>Moran 20SG</t>
  </si>
  <si>
    <t>AP-4570</t>
  </si>
  <si>
    <t>Joddha 20WDG</t>
  </si>
  <si>
    <t>AP-5271</t>
  </si>
  <si>
    <t>Tea | Termite | 300 gm/ha</t>
  </si>
  <si>
    <t>Disco 20SG</t>
  </si>
  <si>
    <t>AP-5528</t>
  </si>
  <si>
    <t>Zeen Gold 20SG</t>
  </si>
  <si>
    <t>AP-5731</t>
  </si>
  <si>
    <t>BPH, Mealybug</t>
  </si>
  <si>
    <t>150 gm/ha; 160 gm/ha</t>
  </si>
  <si>
    <t>Rice | BPH | 150 gm/ha
Jute | Mealybug | 160 gm/ha</t>
  </si>
  <si>
    <t>Dura 20WDG</t>
  </si>
  <si>
    <t>AP-5732</t>
  </si>
  <si>
    <t>Difran 20WDG</t>
  </si>
  <si>
    <t>AP-5733</t>
  </si>
  <si>
    <t>Weevil, BPH</t>
  </si>
  <si>
    <t>200 gm/ha; 150 gm/ha</t>
  </si>
  <si>
    <t>Jute | Weevil | 200 gm/ha
Rice | BPH | 150 gm/ha</t>
  </si>
  <si>
    <t>Daban 20SG</t>
  </si>
  <si>
    <t>AP-5734</t>
  </si>
  <si>
    <t>Mealybug, BPH</t>
  </si>
  <si>
    <t>260 gm/ha; 150 gm/ha</t>
  </si>
  <si>
    <t>Jute | Mealybug | 260 gm/ha
Rice | BPH | 150 gm/ha</t>
  </si>
  <si>
    <t>Nuevo 20SG</t>
  </si>
  <si>
    <t>AP-5735</t>
  </si>
  <si>
    <t>Hairy Catterpillar, BPH</t>
  </si>
  <si>
    <t>225 gm/ha; 150 gm/ha</t>
  </si>
  <si>
    <t>Jute | Hairy Catterpillar | 225 gm/ha
Rice | BPH | 150 gm/ha</t>
  </si>
  <si>
    <t>Oshin 20SG</t>
  </si>
  <si>
    <t>AP-5736</t>
  </si>
  <si>
    <t>200 gm/ha; 0.1 g/L of water</t>
  </si>
  <si>
    <t>Tea | Helopeltis | 200 gm/ha
Mango | Hopper | 0.1 g/L of water</t>
  </si>
  <si>
    <t>Thiefram 20WDG</t>
  </si>
  <si>
    <t>AP-5944</t>
  </si>
  <si>
    <t>Robix 20SG</t>
  </si>
  <si>
    <t>AP-5945</t>
  </si>
  <si>
    <t>Dinotefuran (40%) + Fipronil (40%)</t>
  </si>
  <si>
    <t>Comrade 80WDG</t>
  </si>
  <si>
    <t>AP-5788</t>
  </si>
  <si>
    <t>Rice, Jute, Tea</t>
  </si>
  <si>
    <t>BPH, Semilooper, Helopeltis</t>
  </si>
  <si>
    <t>500 gm/ha; 150 g/ha; 200 g/ha</t>
  </si>
  <si>
    <t>Rice | BPH | 500 gm/ha
Jute | Semilooper | 150 g/ha
Tea | Helopeltis | 200 g/ha</t>
  </si>
  <si>
    <t>Diafenthiuron</t>
  </si>
  <si>
    <t>Pegasus 50SC .</t>
  </si>
  <si>
    <t>AP-4479</t>
  </si>
  <si>
    <t>Country bean, Brinjal</t>
  </si>
  <si>
    <t>Aphid, Mite</t>
  </si>
  <si>
    <t>1 ml/L of water; 0.8 ml/L of water</t>
  </si>
  <si>
    <t>Country bean | Aphid | 1 ml/L of water
Brinjal | Mite | 0.8 ml/L of water</t>
  </si>
  <si>
    <t>Unistar 50SC</t>
  </si>
  <si>
    <t>AP-5270</t>
  </si>
  <si>
    <t>Diaron 50WP</t>
  </si>
  <si>
    <t>AP-5582</t>
  </si>
  <si>
    <t>1 g/L of water; 600 g/ha</t>
  </si>
  <si>
    <t>Bean | Aphid | 1 g/L of water
Rice | BPH | 600 g/ha</t>
  </si>
  <si>
    <t>Pannel 50SC</t>
  </si>
  <si>
    <t>AP-5669</t>
  </si>
  <si>
    <t>Jassid, Mites</t>
  </si>
  <si>
    <t>Cotton | Jassid, Mites | 750 ml/ha</t>
  </si>
  <si>
    <t>Poluck 50SC</t>
  </si>
  <si>
    <t>AP-5670</t>
  </si>
  <si>
    <t>350 ml/ha</t>
  </si>
  <si>
    <t>Tea | Red spider mite | 350 ml/ha</t>
  </si>
  <si>
    <t>Pai 50EC</t>
  </si>
  <si>
    <t>AP-5671</t>
  </si>
  <si>
    <t>2.50 L/ha</t>
  </si>
  <si>
    <t>Rice | BPH | 2.50 L/ha</t>
  </si>
  <si>
    <t>Vega SOS 50SC</t>
  </si>
  <si>
    <t>AP-5946</t>
  </si>
  <si>
    <t>Dhaka Hangzhou Biotechnology Ltd.</t>
  </si>
  <si>
    <t>Jute | Hairy caterpillar | 500 ml/ha</t>
  </si>
  <si>
    <t>Etoxazole</t>
  </si>
  <si>
    <t>Gitaoxzole 11SC</t>
  </si>
  <si>
    <t>AP-4579</t>
  </si>
  <si>
    <t>Aphid, Yellow Mite</t>
  </si>
  <si>
    <t>150 ml/ha; 126 ml/ha</t>
  </si>
  <si>
    <t>Tea | Aphid | 150 ml/ha
Jute | Yellow Mite | 126 ml/ha</t>
  </si>
  <si>
    <t>Amatozole 11SC</t>
  </si>
  <si>
    <t>AP-4580</t>
  </si>
  <si>
    <t>Tea | Aphid | 150 ml/ha</t>
  </si>
  <si>
    <t>Emamectin Benzoate</t>
  </si>
  <si>
    <t>Proclaim 5SG</t>
  </si>
  <si>
    <t>AP-868</t>
  </si>
  <si>
    <t>Brinjal, Bean, Tomato, Rose, Rice</t>
  </si>
  <si>
    <t>Shoot &amp; Fruit borer, Pod borer, Fruit borer, Caterpillar, Yellow Stemborer</t>
  </si>
  <si>
    <t>Brinjal | Shoot &amp; Fruit borer | 1 g/L of water
Bean | Pod borer | 1 g/L of water
Tomato | Fruit borer | 1 g/L of water
Rose | Caterpillar | 1 g/L of water
Rice | Yellow Stemborer | 1.00 kg/ha</t>
  </si>
  <si>
    <t>Arostar 5SG</t>
  </si>
  <si>
    <t>AP-1492</t>
  </si>
  <si>
    <t>Tomato, Jute</t>
  </si>
  <si>
    <t>Fruit borer, Hairy caterpillar</t>
  </si>
  <si>
    <t>1 g/L of water; 1.50 kg/ha</t>
  </si>
  <si>
    <t>Tomato | Fruit borer | 1 g/L of water
Jute | Hairy caterpillar | 1.50 kg/ha</t>
  </si>
  <si>
    <t>Wonder 5WG</t>
  </si>
  <si>
    <t>AP-1603</t>
  </si>
  <si>
    <t>Cotton | Bollworm | 200 gm/ha</t>
  </si>
  <si>
    <t>Declare 5 WDG</t>
  </si>
  <si>
    <t>AP-1763</t>
  </si>
  <si>
    <t>Jute, Bean</t>
  </si>
  <si>
    <t>Hairy caterpillar, Aphid</t>
  </si>
  <si>
    <t>1.50 kg/ha; 0.5 g/L of water</t>
  </si>
  <si>
    <t>Jute | Hairy caterpillar | 1.50 kg/ha
Bean | Aphid | 0.5 g/L of water</t>
  </si>
  <si>
    <t>Emacor 5SG</t>
  </si>
  <si>
    <t>AP-1767</t>
  </si>
  <si>
    <t>Fruit borer</t>
  </si>
  <si>
    <t>Tomato | Fruit borer | 1 g/L of water</t>
  </si>
  <si>
    <t>Polar 5SG</t>
  </si>
  <si>
    <t>AP-2046</t>
  </si>
  <si>
    <t>Saham 5SG</t>
  </si>
  <si>
    <t>AP-2047</t>
  </si>
  <si>
    <t>Dyna 5SG</t>
  </si>
  <si>
    <t>AP-2048</t>
  </si>
  <si>
    <t>Maczoate 5SG</t>
  </si>
  <si>
    <t>AP-2049</t>
  </si>
  <si>
    <t>Brinjal | Shoot &amp; fruit borer | 1 g/L of water</t>
  </si>
  <si>
    <t>Autoben 5SG</t>
  </si>
  <si>
    <t>AP-2050</t>
  </si>
  <si>
    <t>Ricostar 5SG</t>
  </si>
  <si>
    <t>AP-2051</t>
  </si>
  <si>
    <t>Tea | Red Spider Mite | 500 gm/ha</t>
  </si>
  <si>
    <t>Dana Plus 5SG</t>
  </si>
  <si>
    <t>AP-2052</t>
  </si>
  <si>
    <t>Red Spider Mite, Aphid</t>
  </si>
  <si>
    <t>500 gm/ha; 250 gm/ha</t>
  </si>
  <si>
    <t>Tea | Red Spider Mite | 500 gm/ha
Tea | Aphid | 250 gm/ha</t>
  </si>
  <si>
    <t>Noclaim 5SG</t>
  </si>
  <si>
    <t>AP-2172</t>
  </si>
  <si>
    <t>Sharper 5WDG</t>
  </si>
  <si>
    <t>AP-2181</t>
  </si>
  <si>
    <t>600 g/ha</t>
  </si>
  <si>
    <t>Cotton | Bollworm | 600 g/ha</t>
  </si>
  <si>
    <t>Guilder 5SG</t>
  </si>
  <si>
    <t>AP-2192</t>
  </si>
  <si>
    <t>Pod borer, Termite</t>
  </si>
  <si>
    <t>1 g/L of water; 500 gm/ha</t>
  </si>
  <si>
    <t>Bean | Pod borer | 1 g/L of water
Tea | Termite | 500 gm/ha</t>
  </si>
  <si>
    <t>Protect 5SG</t>
  </si>
  <si>
    <t>AP-2246</t>
  </si>
  <si>
    <t>Tea, Country bean</t>
  </si>
  <si>
    <t>Red Spider Mite, Pod borer</t>
  </si>
  <si>
    <t>500 gm/ha; 2 g/L of water</t>
  </si>
  <si>
    <t>Tea | Red Spider Mite | 500 gm/ha
Country bean | Pod borer | 2 g/L of water</t>
  </si>
  <si>
    <t>Ematin 5SG</t>
  </si>
  <si>
    <t>AP-2247</t>
  </si>
  <si>
    <t>Cotton | Aphid | 1.00 kg/ha</t>
  </si>
  <si>
    <t>Banlap 5SG</t>
  </si>
  <si>
    <t>AP-2249</t>
  </si>
  <si>
    <t>Pod borer</t>
  </si>
  <si>
    <t>Bean | Pod borer | 1 g/L of water</t>
  </si>
  <si>
    <t>Nil 5SG</t>
  </si>
  <si>
    <t>AP-2250</t>
  </si>
  <si>
    <t>Freeze 5SG</t>
  </si>
  <si>
    <t>AP-2251</t>
  </si>
  <si>
    <t>Mahasakti 5SG</t>
  </si>
  <si>
    <t>AP-2252</t>
  </si>
  <si>
    <t>Pafs 50SG</t>
  </si>
  <si>
    <t>AP-2319</t>
  </si>
  <si>
    <t>Bean, Brinjal</t>
  </si>
  <si>
    <t>Aphid, Shoot &amp; Fruit borer</t>
  </si>
  <si>
    <t>Bean | Aphid | 1 g/L of water
Brinjal | Shoot &amp; Fruit borer | 1 g/L of water</t>
  </si>
  <si>
    <t>Bicolaim 5SG</t>
  </si>
  <si>
    <t>AP-2320</t>
  </si>
  <si>
    <t>Suspend 5SG</t>
  </si>
  <si>
    <t>AP-2323</t>
  </si>
  <si>
    <t>Jute, Tomato, Brinjal</t>
  </si>
  <si>
    <t>Hairy caterpillar, Fruit borer, Shoot &amp; Fruit borer</t>
  </si>
  <si>
    <t>Jute | Hairy caterpillar | 500 gm/ha
Tomato | Fruit borer | 1 g/L of water
Brinjal | Shoot &amp; Fruit borer | 1 g/L of water</t>
  </si>
  <si>
    <t>M-Zoate 5SG</t>
  </si>
  <si>
    <t>AP-2324</t>
  </si>
  <si>
    <t>Jute | Hairy caterpillar | 750 gm/ha</t>
  </si>
  <si>
    <t>Benet 5SG</t>
  </si>
  <si>
    <t>AP-2325</t>
  </si>
  <si>
    <t>Hairy caterpillar, Pod borer</t>
  </si>
  <si>
    <t>Jute | Hairy caterpillar | 500 gm/ha
Bean | Pod borer | 1 g/L of water</t>
  </si>
  <si>
    <t>Imazine 5SG</t>
  </si>
  <si>
    <t>AP-2326</t>
  </si>
  <si>
    <t>Jute | Hairy caterpillar | 1.50 kg/ha</t>
  </si>
  <si>
    <t>Gene-zoate 5WDG</t>
  </si>
  <si>
    <t>AP-2609</t>
  </si>
  <si>
    <t>Cotton | S. Bollworm, A. Bollworm | 200 gm/ha</t>
  </si>
  <si>
    <t>Barud 5SG</t>
  </si>
  <si>
    <t>AP-2665</t>
  </si>
  <si>
    <t>Dewcleam 5SG</t>
  </si>
  <si>
    <t>AP-2677</t>
  </si>
  <si>
    <t>Pictor 5SG</t>
  </si>
  <si>
    <t>AP-2678</t>
  </si>
  <si>
    <t>Jute, Tomato</t>
  </si>
  <si>
    <t>Hairy caterpillar, Fruit borer</t>
  </si>
  <si>
    <t>Jute | Hairy caterpillar | 1.50 kg/ha
Tomato | Fruit borer | 1 g/L of water</t>
  </si>
  <si>
    <t>E-met 5SG</t>
  </si>
  <si>
    <t>AP-2679</t>
  </si>
  <si>
    <t>Bollworm , Aphid, Jessid</t>
  </si>
  <si>
    <t>Cotton | Bollworm , Aphid, Jessid | 200 gm/ha</t>
  </si>
  <si>
    <t>Hot 5WDG</t>
  </si>
  <si>
    <t>AP-2811</t>
  </si>
  <si>
    <t>Decent 5WDG</t>
  </si>
  <si>
    <t>AP-2820</t>
  </si>
  <si>
    <t>Cotton | Aphid, Jassid | 500 gm/ha</t>
  </si>
  <si>
    <t>Prasser 5SG</t>
  </si>
  <si>
    <t>AP-2919</t>
  </si>
  <si>
    <t>E-Ben 5SG</t>
  </si>
  <si>
    <t>AP-2920</t>
  </si>
  <si>
    <t>Bean, Jute</t>
  </si>
  <si>
    <t>Pod borer, Hairy caterpillar</t>
  </si>
  <si>
    <t>Bean | Pod borer | 1 g/L of water
Jute | Hairy caterpillar | 1.50 kg/ha</t>
  </si>
  <si>
    <t>Shicol 5SG</t>
  </si>
  <si>
    <t>AP-2921</t>
  </si>
  <si>
    <t>Biomectin 5SG</t>
  </si>
  <si>
    <t>AP-2922</t>
  </si>
  <si>
    <t>Golondaz 5SG</t>
  </si>
  <si>
    <t>AP-2923</t>
  </si>
  <si>
    <t>Ningbo 5SG</t>
  </si>
  <si>
    <t>AP-2924</t>
  </si>
  <si>
    <t>Mectiben 5WDG</t>
  </si>
  <si>
    <t>AP-2925</t>
  </si>
  <si>
    <t>Neo-Mac 5SG</t>
  </si>
  <si>
    <t>AP-2926</t>
  </si>
  <si>
    <t>Retilem 5SG</t>
  </si>
  <si>
    <t>AP-2927</t>
  </si>
  <si>
    <t>Emathrin 5SG</t>
  </si>
  <si>
    <t>AP-2928</t>
  </si>
  <si>
    <t>Brinjal, Jute</t>
  </si>
  <si>
    <t>Shoot &amp; fruit borer, Hairy caterpiller</t>
  </si>
  <si>
    <t>Brinjal | Shoot &amp; fruit borer | 1 g/L of water
Jute | Hairy caterpiller | 1.50 kg/ha</t>
  </si>
  <si>
    <t>Emaben 5SG</t>
  </si>
  <si>
    <t>AP-2929</t>
  </si>
  <si>
    <t>Biclam 5SG</t>
  </si>
  <si>
    <t>AP-2930</t>
  </si>
  <si>
    <t>Country bean | Pod borer | 1 g/L of water</t>
  </si>
  <si>
    <t>Joymec 5SG</t>
  </si>
  <si>
    <t>AP-2931</t>
  </si>
  <si>
    <t>Pratasha 5WDG</t>
  </si>
  <si>
    <t>AP-2932</t>
  </si>
  <si>
    <t>Proctin 5WDG</t>
  </si>
  <si>
    <t>AP-2933</t>
  </si>
  <si>
    <t>Jute, Brinjal</t>
  </si>
  <si>
    <t>Jute | Hairy caterpillar | 500 gm/ha
Brinjal | Aphid | 1 g/L of water</t>
  </si>
  <si>
    <t>Wellzoate 5SG</t>
  </si>
  <si>
    <t>AP-2934</t>
  </si>
  <si>
    <t>Gentec 5WDG</t>
  </si>
  <si>
    <t>AP-2935</t>
  </si>
  <si>
    <t>1.50 kg/ha; 500 gm/ha</t>
  </si>
  <si>
    <t>Jute | Hairy caterpillar | 1.50 kg/ha
Tea | Aphid | 500 gm/ha</t>
  </si>
  <si>
    <t>Crop-Guard 5SG</t>
  </si>
  <si>
    <t>AP-2936</t>
  </si>
  <si>
    <t>Delta 5SG</t>
  </si>
  <si>
    <t>AP-2937</t>
  </si>
  <si>
    <t>Hairy caterpiller</t>
  </si>
  <si>
    <t>Jute | Hairy caterpiller | 1.50 kg/ha</t>
  </si>
  <si>
    <t>Hayclaim 5SG</t>
  </si>
  <si>
    <t>AP-2939</t>
  </si>
  <si>
    <t>Cotton, Country bean, Brinjal</t>
  </si>
  <si>
    <t>Bollworm, Pod borer, Shoot &amp; fruit borer</t>
  </si>
  <si>
    <t>Cotton | Bollworm | 500 gm/ha
Country bean | Pod borer | 1 g/L of water
Brinjal | Shoot &amp; fruit borer | 1 g/L of water</t>
  </si>
  <si>
    <t>Rich Claim 5SG</t>
  </si>
  <si>
    <t>AP-2940</t>
  </si>
  <si>
    <t>Lilytop 5SG</t>
  </si>
  <si>
    <t>AP-2941</t>
  </si>
  <si>
    <t>Invest 5SG</t>
  </si>
  <si>
    <t>AP-2950</t>
  </si>
  <si>
    <t>Greenben 5SG</t>
  </si>
  <si>
    <t>AP-2957</t>
  </si>
  <si>
    <t>Joy 5SG</t>
  </si>
  <si>
    <t>AP-2960</t>
  </si>
  <si>
    <t>Advanced Crop Care Limited</t>
  </si>
  <si>
    <t>Rekazeb 5SG</t>
  </si>
  <si>
    <t>AP-3253</t>
  </si>
  <si>
    <t>Prado 2.15 EC</t>
  </si>
  <si>
    <t>AP-3423</t>
  </si>
  <si>
    <t>Red Spider Mite, Hairy caterpillar</t>
  </si>
  <si>
    <t>500 ml/ha; 3.50 L/ha</t>
  </si>
  <si>
    <t>Tea | Red Spider Mite | 500 ml/ha
Jute | Hairy caterpillar | 3.50 L/ha</t>
  </si>
  <si>
    <t>Mirror 5SG</t>
  </si>
  <si>
    <t>AP-3424</t>
  </si>
  <si>
    <t>Avoclam 5SG</t>
  </si>
  <si>
    <t>AP-3425</t>
  </si>
  <si>
    <t>Upper Claim 5SG</t>
  </si>
  <si>
    <t>AP-3426</t>
  </si>
  <si>
    <t>Kasper 5SG</t>
  </si>
  <si>
    <t>AP-3427</t>
  </si>
  <si>
    <t>Abaplus 5SG</t>
  </si>
  <si>
    <t>AP-3428</t>
  </si>
  <si>
    <t>Solve 5WDG</t>
  </si>
  <si>
    <t>AP-3429</t>
  </si>
  <si>
    <t>Primectin 5SG</t>
  </si>
  <si>
    <t>AP-3430</t>
  </si>
  <si>
    <t>1.50 kg</t>
  </si>
  <si>
    <t>Jute | Hairy caterpillar | 1.50 kg</t>
  </si>
  <si>
    <t>Treme 5SG</t>
  </si>
  <si>
    <t>AP-3431</t>
  </si>
  <si>
    <t>Dyna Plus 10 WDG</t>
  </si>
  <si>
    <t>AP-3432</t>
  </si>
  <si>
    <t>Potato, Jute, Tea</t>
  </si>
  <si>
    <t>Aphid, Hairy caterpiller</t>
  </si>
  <si>
    <t>0.5 g/L of water; 750 gm/ha</t>
  </si>
  <si>
    <t>Potato | Aphid | 0.5 g/L of water
Jute | Hairy caterpiller | 750 gm/ha
Tea | Aphid | 750 gm/ha</t>
  </si>
  <si>
    <t>Dana Double Plus 10WDG</t>
  </si>
  <si>
    <t>AP-3433</t>
  </si>
  <si>
    <t>Hairy caterpiller, Aphid</t>
  </si>
  <si>
    <t>750 gm/ha; 250 gm/ha</t>
  </si>
  <si>
    <t>Jute | Hairy caterpiller | 750 gm/ha
Tea | Aphid | 250 gm/ha</t>
  </si>
  <si>
    <t>Sym-EB 10WDG</t>
  </si>
  <si>
    <t>AP-3434</t>
  </si>
  <si>
    <t>Jute, Tea, Potato</t>
  </si>
  <si>
    <t>750 gm/ha; 250 gm/ha; 0.5 g/L of water</t>
  </si>
  <si>
    <t>Jute | Hairy caterpiller | 750 gm/ha
Tea | Aphid | 250 gm/ha
Potato | Aphid | 0.5 g/L of water</t>
  </si>
  <si>
    <t>Emarel 5WDG</t>
  </si>
  <si>
    <t>AP-3435</t>
  </si>
  <si>
    <t>Megasut 5SG</t>
  </si>
  <si>
    <t>AP-3436</t>
  </si>
  <si>
    <t>Dunlop 5SG</t>
  </si>
  <si>
    <t>AP-3438</t>
  </si>
  <si>
    <t>Country Bean | Aphid | 1 g/L of water</t>
  </si>
  <si>
    <t>Ac Plus 10WDG</t>
  </si>
  <si>
    <t>AP-3440</t>
  </si>
  <si>
    <t>0.50 kg/ha</t>
  </si>
  <si>
    <t>Rice | BPH | 0.50 kg/ha</t>
  </si>
  <si>
    <t>Cinatin 5SG</t>
  </si>
  <si>
    <t>AP-3441</t>
  </si>
  <si>
    <t>Apply 5SG</t>
  </si>
  <si>
    <t>AP-3442</t>
  </si>
  <si>
    <t>Winben 5SG</t>
  </si>
  <si>
    <t>AP-3444</t>
  </si>
  <si>
    <t>Cloben 5SG</t>
  </si>
  <si>
    <t>AP-3447</t>
  </si>
  <si>
    <t>Lorent 5SG</t>
  </si>
  <si>
    <t>AP-3448</t>
  </si>
  <si>
    <t>SB-Mectin 5SG</t>
  </si>
  <si>
    <t>AP-3449</t>
  </si>
  <si>
    <t>Prozoate 5SG</t>
  </si>
  <si>
    <t>AP-3451</t>
  </si>
  <si>
    <t>Naplam 5 SG</t>
  </si>
  <si>
    <t>AP-3452</t>
  </si>
  <si>
    <t>Emacto 5WDG</t>
  </si>
  <si>
    <t>AP-3453</t>
  </si>
  <si>
    <t>Tore 5SG</t>
  </si>
  <si>
    <t>AP-3454</t>
  </si>
  <si>
    <t>Inovative 5SG</t>
  </si>
  <si>
    <t>AP-3455</t>
  </si>
  <si>
    <t>Zeen 1 EC</t>
  </si>
  <si>
    <t>AP-3456</t>
  </si>
  <si>
    <t>Brinjal | Shoot &amp; Fruit borer | 3 ml/L of water</t>
  </si>
  <si>
    <t>Tear 5WG</t>
  </si>
  <si>
    <t>AP-3708</t>
  </si>
  <si>
    <t>Rice, Country Bean</t>
  </si>
  <si>
    <t>Rice | BPH | 1.00 kg/ha
Country Bean | Aphid | 1 g/L of water</t>
  </si>
  <si>
    <t>Medilam 5SG</t>
  </si>
  <si>
    <t>AP-3709</t>
  </si>
  <si>
    <t>Media Agro Marketing &amp;Industries</t>
  </si>
  <si>
    <t>Heping 10WDG</t>
  </si>
  <si>
    <t>AP-3711</t>
  </si>
  <si>
    <t>Integrated Crop Solutions Bangladesh</t>
  </si>
  <si>
    <t>1.00 kg/ha; 750 g/ha</t>
  </si>
  <si>
    <t>Rice | BPH | 1.00 kg/ha
Jute | Hairy caterpillar | 750 g/ha</t>
  </si>
  <si>
    <t>Lurk 5SG</t>
  </si>
  <si>
    <t>AP-3713</t>
  </si>
  <si>
    <t>Red Spider Mite, Bollworm</t>
  </si>
  <si>
    <t>500 gm/ha; 600 gm/ha</t>
  </si>
  <si>
    <t>Tea | Red Spider Mite | 500 gm/ha
Cotton | Bollworm | 600 gm/ha</t>
  </si>
  <si>
    <t>Delcoben 5SG</t>
  </si>
  <si>
    <t>AP-3714</t>
  </si>
  <si>
    <t>Emamer 5SG</t>
  </si>
  <si>
    <t>AP-3715</t>
  </si>
  <si>
    <t>McDoate 5WDG</t>
  </si>
  <si>
    <t>AP-3717</t>
  </si>
  <si>
    <t>G-Mec 5SG</t>
  </si>
  <si>
    <t>AP-3718</t>
  </si>
  <si>
    <t>Supon 5SG</t>
  </si>
  <si>
    <t>AP-3721</t>
  </si>
  <si>
    <t>Pictor 2.2EC</t>
  </si>
  <si>
    <t>AP-3722</t>
  </si>
  <si>
    <t>Anazoate 5SG</t>
  </si>
  <si>
    <t>AP-3723</t>
  </si>
  <si>
    <t>1.00 Kg</t>
  </si>
  <si>
    <t>Rice | BPH | 1.00 Kg</t>
  </si>
  <si>
    <t>Fea Plus 10WDG</t>
  </si>
  <si>
    <t>AP-4010</t>
  </si>
  <si>
    <t>Rice | BPH | 500 gm/ha</t>
  </si>
  <si>
    <t>Balaka 5WDG</t>
  </si>
  <si>
    <t>AP-4020</t>
  </si>
  <si>
    <t>BPH, Red Spider Mite</t>
  </si>
  <si>
    <t>Rice | BPH | 1.00 kg/ha
Tea | Red Spider Mite | 500 gm/ha</t>
  </si>
  <si>
    <t>Solvozin 10WDG</t>
  </si>
  <si>
    <t>AP-4077</t>
  </si>
  <si>
    <t>Bezar 10WDG</t>
  </si>
  <si>
    <t>AP-4078</t>
  </si>
  <si>
    <t>Chatfat 10WDG</t>
  </si>
  <si>
    <t>AP-4079</t>
  </si>
  <si>
    <t>750 gm/ha; 0.5 kg/ha</t>
  </si>
  <si>
    <t>Jute | Hairy caterpillar | 750 gm/ha
Rice | BPH | 0.5 kg/ha</t>
  </si>
  <si>
    <t>Ematen 10WDG</t>
  </si>
  <si>
    <t>AP-4081</t>
  </si>
  <si>
    <t>0.5 kg/ha</t>
  </si>
  <si>
    <t>Rice | BPH | 0.5 kg/ha</t>
  </si>
  <si>
    <t>Ema Gold 10SG</t>
  </si>
  <si>
    <t>AP-4082</t>
  </si>
  <si>
    <t>Benzamin 5SG</t>
  </si>
  <si>
    <t>AP-4083</t>
  </si>
  <si>
    <t>EG-Benzoate 5WDG</t>
  </si>
  <si>
    <t>AP-4084</t>
  </si>
  <si>
    <t>Pure Claim 5SG</t>
  </si>
  <si>
    <t>AP-4085</t>
  </si>
  <si>
    <t>Marieben 5SG</t>
  </si>
  <si>
    <t>AP-4087</t>
  </si>
  <si>
    <t>Reuter 5SG</t>
  </si>
  <si>
    <t>AP-4088</t>
  </si>
  <si>
    <t>Mecusun 5WDG</t>
  </si>
  <si>
    <t>AP-4089</t>
  </si>
  <si>
    <t>600 gm/ha</t>
  </si>
  <si>
    <t>Cotton | Bollworm | 600 gm/ha</t>
  </si>
  <si>
    <t>L-Ben 5SG</t>
  </si>
  <si>
    <t>AP-4523</t>
  </si>
  <si>
    <t>Fennel 10SG</t>
  </si>
  <si>
    <t>AP-4524</t>
  </si>
  <si>
    <t>0.5 kg/ha; 750 gm/ha</t>
  </si>
  <si>
    <t>Rice | BPH | 0.5 kg/ha
Jute | Hairy caterpillar | 750 gm/ha</t>
  </si>
  <si>
    <t>Emaplus 5SG</t>
  </si>
  <si>
    <t>AP-4525</t>
  </si>
  <si>
    <t>Jute | Hairy caterpillar | 750 gm/ha
Bean | Aphid | 1 g/L of water</t>
  </si>
  <si>
    <t>Hosamectin 5SG</t>
  </si>
  <si>
    <t>AP-4526</t>
  </si>
  <si>
    <t>Tea | Red Spider Mite | 500 gm/ha
Jute | Hairy caterpillar | 750 gm/ha</t>
  </si>
  <si>
    <t>MKzoate 5SG</t>
  </si>
  <si>
    <t>AP-4527</t>
  </si>
  <si>
    <t>M K Agro Products</t>
  </si>
  <si>
    <t>Panchatara 5SG</t>
  </si>
  <si>
    <t>AP-4528</t>
  </si>
  <si>
    <t>Superzid 5WDG</t>
  </si>
  <si>
    <t>AP-2958</t>
  </si>
  <si>
    <t>Progoti 5.7WDG</t>
  </si>
  <si>
    <t>AP-4991</t>
  </si>
  <si>
    <t>Alor Pathe 5WDG</t>
  </si>
  <si>
    <t>AP-4994</t>
  </si>
  <si>
    <t>Krishi Paribar Corporation</t>
  </si>
  <si>
    <t>Dalifa 5SG</t>
  </si>
  <si>
    <t>AP-4995</t>
  </si>
  <si>
    <t>550 gm/ha</t>
  </si>
  <si>
    <t>Jute | Hairy Caterpiller | 550 gm/ha</t>
  </si>
  <si>
    <t>Keyazate 5WDG</t>
  </si>
  <si>
    <t>AP-4996</t>
  </si>
  <si>
    <t>Hairy Caterpiller, Aphid</t>
  </si>
  <si>
    <t>550 gm/ha; 1 g/L of water</t>
  </si>
  <si>
    <t>Jute | Hairy Caterpiller | 550 gm/ha
Bean | Aphid | 1 g/L of water</t>
  </si>
  <si>
    <t>Ecolaim 10SG</t>
  </si>
  <si>
    <t>AP-4998</t>
  </si>
  <si>
    <t>250 g; 1 g/L of water</t>
  </si>
  <si>
    <t>Jute | Hairy Caterpiller | 250 g
Bean | Aphid | 1 g/L of water</t>
  </si>
  <si>
    <t>Benraj 5SG</t>
  </si>
  <si>
    <t>AP-5272</t>
  </si>
  <si>
    <t>Tenzoate 5SG</t>
  </si>
  <si>
    <t>AP-5511</t>
  </si>
  <si>
    <t>Haszoate 5SG</t>
  </si>
  <si>
    <t>AP-5512</t>
  </si>
  <si>
    <t>Serfjoy 10SG</t>
  </si>
  <si>
    <t>AP-5513</t>
  </si>
  <si>
    <t>Emectin 5SG</t>
  </si>
  <si>
    <t>AP-5514</t>
  </si>
  <si>
    <t>Ajwad 5SG</t>
  </si>
  <si>
    <t>AP-5515</t>
  </si>
  <si>
    <t>High Point 5SG</t>
  </si>
  <si>
    <t>AP-5516</t>
  </si>
  <si>
    <t>Ricozoate 5SG</t>
  </si>
  <si>
    <t>AP-5517</t>
  </si>
  <si>
    <t>Tea | Red Spider Mite | 500 gm/ha
Bean | Aphid | 1 g/L of water</t>
  </si>
  <si>
    <t>Emashukria 5SG</t>
  </si>
  <si>
    <t>AP-5518</t>
  </si>
  <si>
    <t>Missile 10SG</t>
  </si>
  <si>
    <t>AP-5706</t>
  </si>
  <si>
    <t>Urmi 5SG</t>
  </si>
  <si>
    <t>AP-5707</t>
  </si>
  <si>
    <t>Common 5SG</t>
  </si>
  <si>
    <t>AP-5708</t>
  </si>
  <si>
    <t>Umectin 5SG</t>
  </si>
  <si>
    <t>AP-5709</t>
  </si>
  <si>
    <t>Fairben 5SG</t>
  </si>
  <si>
    <t>AP-5710</t>
  </si>
  <si>
    <t>Cenben 5SG</t>
  </si>
  <si>
    <t>AP-5711</t>
  </si>
  <si>
    <t>Jute | Hairy caterpillar | 500 gm/ha</t>
  </si>
  <si>
    <t>Astin 5SG</t>
  </si>
  <si>
    <t>AP-5712</t>
  </si>
  <si>
    <t>Asia Agro Chemicals Co.</t>
  </si>
  <si>
    <t>Ball worm, BPH</t>
  </si>
  <si>
    <t>500 gm/ha; 1.0 Kg/ha</t>
  </si>
  <si>
    <t>Cotton | Ball worm | 500 gm/ha
Rice | BPH | 1.0 Kg/ha</t>
  </si>
  <si>
    <t>Babaji 5SG</t>
  </si>
  <si>
    <t>AP-5974</t>
  </si>
  <si>
    <t>1.0 Kg/ha; 1.50 Kg/ha</t>
  </si>
  <si>
    <t>Rice | BPH | 1.0 Kg/ha
Jute | Hairy caterpillar | 1.50 Kg/ha</t>
  </si>
  <si>
    <t>Prominent 10WDG</t>
  </si>
  <si>
    <t>AP-5975</t>
  </si>
  <si>
    <t>Jute | Hairy caterpillar | 1.50 Kg/ha</t>
  </si>
  <si>
    <t>Loate 10WDG</t>
  </si>
  <si>
    <t>AP-5976</t>
  </si>
  <si>
    <t>Midzoate 5SG</t>
  </si>
  <si>
    <t>AP-5977</t>
  </si>
  <si>
    <t>Tea | Red Spider Mite | 500 g/ha</t>
  </si>
  <si>
    <t>Sinatake 10SG</t>
  </si>
  <si>
    <t>AP-5978</t>
  </si>
  <si>
    <t>Rice | BPH | 500 g/ha</t>
  </si>
  <si>
    <t>Redema 5SG</t>
  </si>
  <si>
    <t>AP-5979</t>
  </si>
  <si>
    <t>Redsun Agrochemical (BD) Ltd.</t>
  </si>
  <si>
    <t>Hexaflumuron (10%) + Emamectin Benzoate (0.5%)</t>
  </si>
  <si>
    <t>Forfeat 10.5WDG</t>
  </si>
  <si>
    <t>AP-4581</t>
  </si>
  <si>
    <t>Evan 10.5WG</t>
  </si>
  <si>
    <t>AP-5002</t>
  </si>
  <si>
    <t>Abamectin (2%) + Emamectin Benzoate ( 4%)</t>
  </si>
  <si>
    <t>Pine 6WG</t>
  </si>
  <si>
    <t>AP-2610</t>
  </si>
  <si>
    <t>Cotton | Aphid, Jassid, Bollworm | 200 gm/ha</t>
  </si>
  <si>
    <t>Ritha 60WDG</t>
  </si>
  <si>
    <t>AP-2812</t>
  </si>
  <si>
    <t>Jute, Cotton</t>
  </si>
  <si>
    <t>Hairy caterpillar, S Bollworm, A Bollworm</t>
  </si>
  <si>
    <t>Jute | Hairy caterpillar | 250 gm/ha
Cotton | S Bollworm, A Bollworm | 250 gm/ha</t>
  </si>
  <si>
    <t>Homeryl 6WG</t>
  </si>
  <si>
    <t>AP-3497</t>
  </si>
  <si>
    <t>Corotin 6WDG</t>
  </si>
  <si>
    <t>AP-3885</t>
  </si>
  <si>
    <t>Austhrin Plus 6WDG</t>
  </si>
  <si>
    <t>AP-4093</t>
  </si>
  <si>
    <t>Jute | Hairy caterpillar | 250 gm/ha</t>
  </si>
  <si>
    <t>Comon 6WDG</t>
  </si>
  <si>
    <t>AP-4094</t>
  </si>
  <si>
    <t>Rescue 6WDG</t>
  </si>
  <si>
    <t>AP-4095</t>
  </si>
  <si>
    <t>Jute, Cotton, Tomato, Brinjal</t>
  </si>
  <si>
    <t>Hairy caterpillar, Aphid, Jassid, Wilt, Aphid</t>
  </si>
  <si>
    <t>250 gm/ha; 200 gm/ha; 1.00 kg/'ha; 5 g/L of water</t>
  </si>
  <si>
    <t>Jute | Hairy caterpillar | 250 gm/ha
Cotton | Aphid, Jassid | 200 gm/ha
Tomato | Wilt | 1.00 kg/'ha
Brinjal | Aphid | 5 g/L of water</t>
  </si>
  <si>
    <t>Band 6WDG</t>
  </si>
  <si>
    <t>AP-4096</t>
  </si>
  <si>
    <t>1.25 kg/ha</t>
  </si>
  <si>
    <t>Rice | BPH | 1.25 kg/ha</t>
  </si>
  <si>
    <t>Riyadh 6WDG</t>
  </si>
  <si>
    <t>AP-4097</t>
  </si>
  <si>
    <t>1.25 kg/ha; 0.5 g/L of water</t>
  </si>
  <si>
    <t>Tea | Red Spider Mite | 1.25 kg/ha
Bean | Aphid | 0.5 g/L of water</t>
  </si>
  <si>
    <t>Capacity 6WDG</t>
  </si>
  <si>
    <t>AP-4098</t>
  </si>
  <si>
    <t>BPH, Aphid, Red Spider Mite</t>
  </si>
  <si>
    <t>250 gm/ha; 0.5 g/L of water; 1.25 kg/ha</t>
  </si>
  <si>
    <t>Rice | BPH | 250 gm/ha
Brinjal | Aphid | 0.5 g/L of water
Tea | Red Spider Mite | 1.25 kg/ha</t>
  </si>
  <si>
    <t>Sienna 6WDG</t>
  </si>
  <si>
    <t>AP-4099</t>
  </si>
  <si>
    <t>Rice | YSB | 250 gm/ha</t>
  </si>
  <si>
    <t>Abzoate 6WDG</t>
  </si>
  <si>
    <t>AP-4100</t>
  </si>
  <si>
    <t>Sweet Six 6WDG</t>
  </si>
  <si>
    <t>AP-4101</t>
  </si>
  <si>
    <t>Neymar 6WG</t>
  </si>
  <si>
    <t>AP-4102</t>
  </si>
  <si>
    <t>250 gm/ha; 0.5 g/L of water</t>
  </si>
  <si>
    <t>Tea | Aphid | 250 gm/ha
Brinjal | Aphid | 0.5 g/L of water</t>
  </si>
  <si>
    <t>Actor 60WG</t>
  </si>
  <si>
    <t>AP-4105</t>
  </si>
  <si>
    <t>Tea | Red Spider Mite | 1.25 kg/ha</t>
  </si>
  <si>
    <t>Benzotin 6EC</t>
  </si>
  <si>
    <t>AP-4106</t>
  </si>
  <si>
    <t>Tea | Red Spider Mite | 400 ml/ha</t>
  </si>
  <si>
    <t>Sunine 6WDG</t>
  </si>
  <si>
    <t>AP-4878</t>
  </si>
  <si>
    <t>E-Mate Plus 6WDG</t>
  </si>
  <si>
    <t>AP-4879</t>
  </si>
  <si>
    <t>Tea | Helopeltis | 1.25 kg/ha</t>
  </si>
  <si>
    <t>Alite 6WDG</t>
  </si>
  <si>
    <t>AP-4880</t>
  </si>
  <si>
    <t>Tea, Jute, Rice</t>
  </si>
  <si>
    <t>Aphid, Hairy caterpiller, BPH</t>
  </si>
  <si>
    <t>250 gm/ha; 225 gm/ha; 125 gm/ha</t>
  </si>
  <si>
    <t>Tea | Aphid | 250 gm/ha
Jute | Hairy caterpiller | 225 gm/ha
Rice | BPH | 125 gm/ha</t>
  </si>
  <si>
    <t>G-Chamka 6WDG</t>
  </si>
  <si>
    <t>AP-4881</t>
  </si>
  <si>
    <t>Keyaprid 6WG</t>
  </si>
  <si>
    <t>AP-4882</t>
  </si>
  <si>
    <t>0.5 g/L of water; 250 gm/ha</t>
  </si>
  <si>
    <t>Brinjal | Aphid | 0.5 g/L of water
Rice | BPH | 250 gm/ha</t>
  </si>
  <si>
    <t>Pabama 6WG</t>
  </si>
  <si>
    <t>AP-5237</t>
  </si>
  <si>
    <t>Changa 6WDG</t>
  </si>
  <si>
    <t>AP-5238</t>
  </si>
  <si>
    <t>Sym-Sym 6WDG</t>
  </si>
  <si>
    <t>AP-5239</t>
  </si>
  <si>
    <t>Hairy Caterpillar, Red Spider Mite</t>
  </si>
  <si>
    <t>250 gm/ha; 1.25 kg/ha</t>
  </si>
  <si>
    <t>Jute | Hairy Caterpillar | 250 gm/ha
Tea | Red Spider Mite | 1.25 kg/ha</t>
  </si>
  <si>
    <t>Freze Plus 6WDG</t>
  </si>
  <si>
    <t>AP-5240</t>
  </si>
  <si>
    <t>0.25 Kg/ha</t>
  </si>
  <si>
    <t>Rice | BPH | 0.25 Kg/ha</t>
  </si>
  <si>
    <t>Upper Claim Plus 6WDG</t>
  </si>
  <si>
    <t>AP-5241</t>
  </si>
  <si>
    <t>Dine Plus 6WDG</t>
  </si>
  <si>
    <t>AP-5558</t>
  </si>
  <si>
    <t>Brinjal | Aphid | 0.5 g/L of water
Tea | Aphid | 250 gm/ha</t>
  </si>
  <si>
    <t>Jassgold 12.5WDG</t>
  </si>
  <si>
    <t>AP-5560</t>
  </si>
  <si>
    <t>Nine 6WDG</t>
  </si>
  <si>
    <t>AP-5561</t>
  </si>
  <si>
    <t>Page 6WDG</t>
  </si>
  <si>
    <t>AP-5568</t>
  </si>
  <si>
    <t>Gate Out 6WDG</t>
  </si>
  <si>
    <t>AP-5569</t>
  </si>
  <si>
    <t>Zinia 6WDG</t>
  </si>
  <si>
    <t>AP-5680</t>
  </si>
  <si>
    <t>1.50 gm/ha</t>
  </si>
  <si>
    <t>Rice | BPH | 1.50 gm/ha</t>
  </si>
  <si>
    <t>Ramid Gold 6WDG</t>
  </si>
  <si>
    <t>AP-5908</t>
  </si>
  <si>
    <t>Mango | Hopper | 0.5 g/L of water</t>
  </si>
  <si>
    <t>Digimate 6WG</t>
  </si>
  <si>
    <t>AP-5909</t>
  </si>
  <si>
    <t>Loatin Plus 6WDG</t>
  </si>
  <si>
    <t>AP-5910</t>
  </si>
  <si>
    <t>Jute | Hairy Caterpillar | 250 g/ha</t>
  </si>
  <si>
    <t>Nill Plus 6WDG</t>
  </si>
  <si>
    <t>AP-5911</t>
  </si>
  <si>
    <t>Emamectin Benzoate ( 4%) Beta Cypermethrin (2%) +</t>
  </si>
  <si>
    <t>Penzeal 6WG</t>
  </si>
  <si>
    <t>AP-2611</t>
  </si>
  <si>
    <t>Cotton | Aphid, Jassid, Bollworm | 1.50 Kg/ha</t>
  </si>
  <si>
    <t>Bizly 60WP</t>
  </si>
  <si>
    <t>AP-2813</t>
  </si>
  <si>
    <t>S Bollworm, A Bollworm</t>
  </si>
  <si>
    <t>Cotton | S Bollworm, A Bollworm | 250 gm/ha</t>
  </si>
  <si>
    <t>Betajel 6WG</t>
  </si>
  <si>
    <t>AP-3887</t>
  </si>
  <si>
    <t>Super Mec 6WDG</t>
  </si>
  <si>
    <t>AP-4143</t>
  </si>
  <si>
    <t>Tea | Red Spider mite | 0.5 kg/ha</t>
  </si>
  <si>
    <t>Encounter 6WDG</t>
  </si>
  <si>
    <t>AP-4144</t>
  </si>
  <si>
    <t>Cotton | Aphid, Jassid, Bollworm | 250 gm/ha</t>
  </si>
  <si>
    <t>Audi 6WDG</t>
  </si>
  <si>
    <t>AP-4145</t>
  </si>
  <si>
    <t>Cotton | Bollworm | 250 gm/ha</t>
  </si>
  <si>
    <t>Neo 6WDG</t>
  </si>
  <si>
    <t>AP-4434</t>
  </si>
  <si>
    <t>Sunco 6WDG</t>
  </si>
  <si>
    <t>AP-4435</t>
  </si>
  <si>
    <t>SB Marble 6WDG</t>
  </si>
  <si>
    <t>AP-4437</t>
  </si>
  <si>
    <t>Rubust 6WDG</t>
  </si>
  <si>
    <t>AP-4438</t>
  </si>
  <si>
    <t>Tea | Red Spider mite | 1.25 kg/ha</t>
  </si>
  <si>
    <t>Pilu 6WDG</t>
  </si>
  <si>
    <t>AP-4439</t>
  </si>
  <si>
    <t>Kartin 6WDG</t>
  </si>
  <si>
    <t>AP-4440</t>
  </si>
  <si>
    <t>Benz 6WDG</t>
  </si>
  <si>
    <t>AP-4441</t>
  </si>
  <si>
    <t>Insert 6WDG</t>
  </si>
  <si>
    <t>AP-4530</t>
  </si>
  <si>
    <t>Embertin 6WDG</t>
  </si>
  <si>
    <t>AP-4875</t>
  </si>
  <si>
    <t>Emabeta 6WDG</t>
  </si>
  <si>
    <t>AP-4876</t>
  </si>
  <si>
    <t>M-Fod 10WDG</t>
  </si>
  <si>
    <t>AP-4877</t>
  </si>
  <si>
    <t>Keyadin 6WDG</t>
  </si>
  <si>
    <t>AP-5235</t>
  </si>
  <si>
    <t>Tea | Red Spider Mite | 1.25 kg/ha
Brinjal | Aphid | 0.5 g/L of water</t>
  </si>
  <si>
    <t>Sigmazel 6WG</t>
  </si>
  <si>
    <t>AP-5236</t>
  </si>
  <si>
    <t>Tea | Red Spider mite | 500 gm/ha</t>
  </si>
  <si>
    <t>Emamectin Benzoate (0.3%) + Chlorpyrifos (29.7%) (5+50)</t>
  </si>
  <si>
    <t>Chemo Hit 30EC</t>
  </si>
  <si>
    <t>AP-3458</t>
  </si>
  <si>
    <t>125 ml/ha</t>
  </si>
  <si>
    <t>Cotton | Aphid, Jassid, Bollworm | 125 ml/ha</t>
  </si>
  <si>
    <t>Amkon 55WDG</t>
  </si>
  <si>
    <t>AP-5519</t>
  </si>
  <si>
    <t>Mondal Traders</t>
  </si>
  <si>
    <t>Tolfenpyrad (20%) Emamectin Benzoate (5.00%)</t>
  </si>
  <si>
    <t>Ematol 25SC</t>
  </si>
  <si>
    <t>AP-6012</t>
  </si>
  <si>
    <t>Byter Crop Protection (BD) Co. Ltd.</t>
  </si>
  <si>
    <t>Jute | Weevil | 150 ml/ha</t>
  </si>
  <si>
    <t>IRAC 21A</t>
  </si>
  <si>
    <t>Emamectin Benzoate (2%) + Cartap (45%)</t>
  </si>
  <si>
    <t>Catappa 47WDG</t>
  </si>
  <si>
    <t>AP-5253</t>
  </si>
  <si>
    <t>Green Bangla Agrovet Limited</t>
  </si>
  <si>
    <t>Indoxacarb (17%) + Emamectin Benzoate (8%) (5% + 30%)</t>
  </si>
  <si>
    <t>Bicostroke 25WDG</t>
  </si>
  <si>
    <t>AP-5327</t>
  </si>
  <si>
    <t>Aphid, Hairy Caterpillar</t>
  </si>
  <si>
    <t>0.2 g/L of water; 125 gm/ha</t>
  </si>
  <si>
    <t>Brinjal | Aphid | 0.2 g/L of water
Jute | Hairy Caterpillar | 125 gm/ha</t>
  </si>
  <si>
    <t>IRAC 22A</t>
  </si>
  <si>
    <t>Talent 35WDG</t>
  </si>
  <si>
    <t>AP-5328</t>
  </si>
  <si>
    <t>Tea, Jute, Brinjal</t>
  </si>
  <si>
    <t>Termite, Hairy Caterpillar, Aphid</t>
  </si>
  <si>
    <t>500 gm/ha; 150 gm/ha; 0.2 g/L of water</t>
  </si>
  <si>
    <t>Tea | Termite | 500 gm/ha
Jute | Hairy Caterpillar | 150 gm/ha
Brinjal | Aphid | 0.2 g/L of water</t>
  </si>
  <si>
    <t>(30% + 5%)</t>
  </si>
  <si>
    <t>Unifight 35WDG</t>
  </si>
  <si>
    <t>AP-5704</t>
  </si>
  <si>
    <t>Toraj 35WDG</t>
  </si>
  <si>
    <t>AP-5705</t>
  </si>
  <si>
    <t>150 gm/ha; 500 gm/ha</t>
  </si>
  <si>
    <t>Rice | BPH | 150 gm/ha
Tea | Helopeltis | 500 gm/ha</t>
  </si>
  <si>
    <t>Phobia 10SC</t>
  </si>
  <si>
    <t>AP-5973</t>
  </si>
  <si>
    <t>Emamectin Benzoate (5%) + Chlorpyriphos (50%)</t>
  </si>
  <si>
    <t>X-ben 55WG</t>
  </si>
  <si>
    <t>AP-3460</t>
  </si>
  <si>
    <t>Cotton | Aphid, Jassid | 125 gm/ha</t>
  </si>
  <si>
    <t>Fixal 55WG</t>
  </si>
  <si>
    <t>AP-3888</t>
  </si>
  <si>
    <t>Tora 55WDG</t>
  </si>
  <si>
    <t>AP-4460</t>
  </si>
  <si>
    <t>Mirako 55WDG</t>
  </si>
  <si>
    <t>AP-4461</t>
  </si>
  <si>
    <t>Emamectin Benzoate 5% + Lambda Cyhalothrin 10%</t>
  </si>
  <si>
    <t>Latin 15WP</t>
  </si>
  <si>
    <t>AP-4051</t>
  </si>
  <si>
    <t>Mahithrin 15WP</t>
  </si>
  <si>
    <t>AP-5326</t>
  </si>
  <si>
    <t>Bean | Aphid | 2 g/L of water</t>
  </si>
  <si>
    <t>Ghayel 15EC</t>
  </si>
  <si>
    <t>AP-5725</t>
  </si>
  <si>
    <t>Esfenvalerate</t>
  </si>
  <si>
    <t>Sumialpha 5EC</t>
  </si>
  <si>
    <t>AP-170</t>
  </si>
  <si>
    <t>0.25 ml/L of water</t>
  </si>
  <si>
    <t>Brinjal | Shoot &amp; fruit borer | 0.25 ml/L of water</t>
  </si>
  <si>
    <t>Ethion (40%) + Cypermethrin (5%)</t>
  </si>
  <si>
    <t>L-Claim 405EC</t>
  </si>
  <si>
    <t>AP-2761</t>
  </si>
  <si>
    <t>Buruj 25WDG</t>
  </si>
  <si>
    <t>AP-4133</t>
  </si>
  <si>
    <t>Fenazaquin</t>
  </si>
  <si>
    <t>Magister 10EC</t>
  </si>
  <si>
    <t>AP-2416</t>
  </si>
  <si>
    <t>Tea | Red spider mites | 1.00 L/ha
Brinjal | Red mite | 1 ml/L of water</t>
  </si>
  <si>
    <t>Fenbutatin Oxide</t>
  </si>
  <si>
    <t>Mitrus 55SC</t>
  </si>
  <si>
    <t>AP-5574</t>
  </si>
  <si>
    <t>1.25 L/ha</t>
  </si>
  <si>
    <t>Tea | Red Spider Mite | 1.25 L/ha</t>
  </si>
  <si>
    <t>Fenitrothion</t>
  </si>
  <si>
    <t>Sumithion 98 ULV</t>
  </si>
  <si>
    <t>AP-106</t>
  </si>
  <si>
    <t>Aerial Spray for Rice</t>
  </si>
  <si>
    <t>Hispa, GLH, BPH, Leaf Rollerr</t>
  </si>
  <si>
    <t>700-800 ml/ha</t>
  </si>
  <si>
    <t>Aerial Spray for Rice | Hispa, GLH, BPH, Leaf Rollerr | 700-800 ml/ha</t>
  </si>
  <si>
    <t>Emithion 50EC</t>
  </si>
  <si>
    <t>AP-261</t>
  </si>
  <si>
    <t>Rice | Hispa, BPH | 1.00 L/ha</t>
  </si>
  <si>
    <t>Sumithion 50EC</t>
  </si>
  <si>
    <t>AP-540</t>
  </si>
  <si>
    <t>Rice, Fruit, Tea, Stored grain</t>
  </si>
  <si>
    <t>Stemborer, Hispa, GLH, Leaf Roller,Thrips, Mealy bug, Caseworm, Shoot &amp; fruit borer, Fruit fly, Helopeltis (Mosquito bug), Grain weevil (Wheat)</t>
  </si>
  <si>
    <t>1.12 L/ha; 1.00 L/ha; 2.25 L/ha; 1.5 ml/L of water</t>
  </si>
  <si>
    <t>Rice | Stemborer | 1.12 L/ha
Rice | Hispa, GLH, Leaf Roller,Thrips, Mealy bug, Caseworm | 1.00 L/ha
Fruit | Shoot &amp; fruit borer, Fruit fly | 1.12 L/ha
Tea | Helopeltis (Mosquito bug) | 2.25 L/ha
Stored grain | Grain weevil (Wheat) | 1.5 ml/L of water</t>
  </si>
  <si>
    <t>Corofen 50EC</t>
  </si>
  <si>
    <t>AP-678</t>
  </si>
  <si>
    <t>Ahpid, Hispa, Stored grain pests, BPH</t>
  </si>
  <si>
    <t>1 ml/L of water; 1.00 L/ha; 10 ml/1 ton Rice seed</t>
  </si>
  <si>
    <t>Bean | Ahpid | 1 ml/L of water
Rice | Hispa | 1.00 L/ha
Rice | Stored grain pests | 10 ml/1 ton Rice seed
Rice | BPH | 1.00 L/ha</t>
  </si>
  <si>
    <t>Cilicum 50EC</t>
  </si>
  <si>
    <t>AP-1435</t>
  </si>
  <si>
    <t>Oroplus 50EC `</t>
  </si>
  <si>
    <t>AP-4135</t>
  </si>
  <si>
    <t>Bean | Aphid | 1 ml/L of water
Tea | Helopeltis | 2.25 L/ha</t>
  </si>
  <si>
    <t>Fenvalerate</t>
  </si>
  <si>
    <t>Milfen 20EC</t>
  </si>
  <si>
    <t>AP-249</t>
  </si>
  <si>
    <t>Boll worm, Helopeltis</t>
  </si>
  <si>
    <t>250 ml/L water; 1.25 L/ha</t>
  </si>
  <si>
    <t>Cotton | Boll worm | 250 ml/L water
Tea | Helopeltis | 1.25 L/ha</t>
  </si>
  <si>
    <t>Sunvalerate 20EC</t>
  </si>
  <si>
    <t>AP-250</t>
  </si>
  <si>
    <t>Mango | Hopper | 0.5 ml/L of water</t>
  </si>
  <si>
    <t>Fenfen 20EC</t>
  </si>
  <si>
    <t>AP-327</t>
  </si>
  <si>
    <t>Leaf hopper, Aphid, Jassid, Ballworm, Mosquito and Red Spider Mite</t>
  </si>
  <si>
    <t>0.5 ml/L of water; 600 ml/ha; 1.25 L/ha</t>
  </si>
  <si>
    <t>Mango | Leaf hopper | 0.5 ml/L of water
Cotton | Aphid, Jassid, Ballworm | 600 ml/ha
Tea | Mosquito and Red Spider Mite | 1.25 L/ha</t>
  </si>
  <si>
    <t>Fencid 20EC</t>
  </si>
  <si>
    <t>AP-443</t>
  </si>
  <si>
    <t>Mosquito, Boll worm, Hopper</t>
  </si>
  <si>
    <t>1.25 L/ha; 1.12 L/ha; 0.5 ml/L of water</t>
  </si>
  <si>
    <t>Tea | Mosquito | 1.25 L/ha
Cotton | Boll worm | 1.12 L/ha
Mango | Hopper | 0.5 ml/L of water</t>
  </si>
  <si>
    <t>Velafen 20EC</t>
  </si>
  <si>
    <t>AP-444</t>
  </si>
  <si>
    <t>Tea, Mango, Country bean</t>
  </si>
  <si>
    <t>Red mite, Hopper, Aphid</t>
  </si>
  <si>
    <t>1.25 L/ha; 1 ml/Litre of water; 0.5 ml/L of water</t>
  </si>
  <si>
    <t>Tea | Red mite | 1.25 L/ha
Mango | Hopper | 1 ml/Litre of water
Country bean | Aphid | 0.5 ml/L of water</t>
  </si>
  <si>
    <t>Sumicidin 20EC</t>
  </si>
  <si>
    <t>AP-541</t>
  </si>
  <si>
    <t>Cotton, Mango, Tea</t>
  </si>
  <si>
    <t>Boll worm, Hopper, Red spider mite &amp; other mite</t>
  </si>
  <si>
    <t>740 ml/ha; 0.25 ml/L of water; 2.25 L/ha</t>
  </si>
  <si>
    <t>Cotton | Boll worm | 740 ml/ha
Mango | Hopper | 0.25 ml/L of water
Tea | Red spider mite &amp; other mite | 2.25 L/ha</t>
  </si>
  <si>
    <t>Amcofen 20 EC</t>
  </si>
  <si>
    <t>AP-585</t>
  </si>
  <si>
    <t>Red mites, Hopper</t>
  </si>
  <si>
    <t>2.25 L/ha; 0.5 ml/L of water</t>
  </si>
  <si>
    <t>Tea | Red mites | 2.25 L/ha
Mango | Hopper | 0.5 ml/L of water</t>
  </si>
  <si>
    <t>Zadu 20EC</t>
  </si>
  <si>
    <t>AP-587</t>
  </si>
  <si>
    <t>Tea, Long yera bean, Mango</t>
  </si>
  <si>
    <t>Red mites, Aphid, Hopper</t>
  </si>
  <si>
    <t>2.25 L/ha; 1 ml/L of water; 0.5 ml/L of water</t>
  </si>
  <si>
    <t>Tea | Red mites | 2.25 L/ha
Long yera bean | Aphid | 1 ml/L of water
Mango | Hopper | 0.5 ml/L of water</t>
  </si>
  <si>
    <t>Profen 20 EC</t>
  </si>
  <si>
    <t>AP-590</t>
  </si>
  <si>
    <t>Tea | Red mites | 2.25 L/ha</t>
  </si>
  <si>
    <t>Acmefen 20EC</t>
  </si>
  <si>
    <t>AP-642</t>
  </si>
  <si>
    <t>Mango | Hopper | 0.5 ml/L of water
Brinjal | Shoot &amp; fruit borer | 1 ml/L of water</t>
  </si>
  <si>
    <t>Surate 20EC</t>
  </si>
  <si>
    <t>AP-622</t>
  </si>
  <si>
    <t>Cotton | Aphid, Jassid | 750 ml/ha</t>
  </si>
  <si>
    <t>Rajfen 20EC</t>
  </si>
  <si>
    <t>AP-707</t>
  </si>
  <si>
    <t>Tiefen 20EC</t>
  </si>
  <si>
    <t>AP-724</t>
  </si>
  <si>
    <t>Boll worm, Hopper</t>
  </si>
  <si>
    <t>400 ml/ha; 0.5 ml/L of water</t>
  </si>
  <si>
    <t>Cotton | Boll worm | 400 ml/ha
Mango | Hopper | 0.5 ml/L of water</t>
  </si>
  <si>
    <t>Wenfen 20EC</t>
  </si>
  <si>
    <t>AP-741</t>
  </si>
  <si>
    <t>1.25 Litre/ha; 0.5 ml/L of water</t>
  </si>
  <si>
    <t>Tea | Red spider mite | 1.25 Litre/ha
Brinjal | Aphid | 0.5 ml/L of water</t>
  </si>
  <si>
    <t>Sunfen 20EC</t>
  </si>
  <si>
    <t>AP-742</t>
  </si>
  <si>
    <t>Mango, Cotton</t>
  </si>
  <si>
    <t>Hopper, Boll worm (Spotted &amp; American)</t>
  </si>
  <si>
    <t>0.5 ml/L of water; 600 ml/ha</t>
  </si>
  <si>
    <t>Mango | Hopper | 0.5 ml/L of water
Cotton | Boll worm (Spotted &amp; American) | 600 ml/ha</t>
  </si>
  <si>
    <t>Greenfen 20EC</t>
  </si>
  <si>
    <t>AP-882</t>
  </si>
  <si>
    <t>1.25 L/ha; 0.5 ml/L of water</t>
  </si>
  <si>
    <t>Tea | Red spider mite | 1.25 L/ha
Mango | Hopper | 0.5 ml/L of water</t>
  </si>
  <si>
    <t>Fensul 20EC</t>
  </si>
  <si>
    <t>AP-883</t>
  </si>
  <si>
    <t>Tea | Red spider mite | 1.25 L/ha</t>
  </si>
  <si>
    <t>Agafen 20EC</t>
  </si>
  <si>
    <t>AP-885</t>
  </si>
  <si>
    <t>Red spider mite, Helopeltis</t>
  </si>
  <si>
    <t>Tea | Red spider mite | 1.25 L/ha
Tea | Helopeltis | 1.25 L/ha</t>
  </si>
  <si>
    <t>Safen 20EC</t>
  </si>
  <si>
    <t>AP-886</t>
  </si>
  <si>
    <t>Red spider mite, Helopeltis, Hopper</t>
  </si>
  <si>
    <t>Tea | Red spider mite | 1.25 L/ha
Tea | Helopeltis | 1.25 L/ha
Mango | Hopper | 0.5 ml/L of water</t>
  </si>
  <si>
    <t>Tutufen 20EC</t>
  </si>
  <si>
    <t>AP-944</t>
  </si>
  <si>
    <t>Sancidin 20EC</t>
  </si>
  <si>
    <t>AP-1016</t>
  </si>
  <si>
    <t>Cotton | Aphid &amp; Jassid | 500 ml/ha</t>
  </si>
  <si>
    <t>Gilfen 20EC</t>
  </si>
  <si>
    <t>AP-1253</t>
  </si>
  <si>
    <t>Bollworm, Aphid, Jassid</t>
  </si>
  <si>
    <t>350 ml/ha; 600 ml/ha</t>
  </si>
  <si>
    <t>Cotton | Bollworm | 350 ml/ha
Cotton | Aphid, Jassid | 600 ml/ha</t>
  </si>
  <si>
    <t>Fenvet 20EC</t>
  </si>
  <si>
    <t>AP-1314</t>
  </si>
  <si>
    <t>Jute | Hairy caterpillar | 500 ml/ha
Bean | Aphid | 0.5 ml/L of water</t>
  </si>
  <si>
    <t>Dona 20EC</t>
  </si>
  <si>
    <t>AP-1392</t>
  </si>
  <si>
    <t>Tea | Helopeltis | 1.25 L/ha</t>
  </si>
  <si>
    <t>Gencid 20 EC</t>
  </si>
  <si>
    <t>AP-1578</t>
  </si>
  <si>
    <t>General Pesticides Company</t>
  </si>
  <si>
    <t>Genefen 20EC</t>
  </si>
  <si>
    <t>AP-1579</t>
  </si>
  <si>
    <t>Perry 20EC</t>
  </si>
  <si>
    <t>AP-1801</t>
  </si>
  <si>
    <t>Agrofen 20EC</t>
  </si>
  <si>
    <t>AP-1802</t>
  </si>
  <si>
    <t>Rekafen 20EC</t>
  </si>
  <si>
    <t>AP-2413</t>
  </si>
  <si>
    <t>Alpha Fenfen 20 EC</t>
  </si>
  <si>
    <t>AP-5667</t>
  </si>
  <si>
    <t>Kazifen 20EC</t>
  </si>
  <si>
    <t>AP-5668</t>
  </si>
  <si>
    <t>K S Agro Crop Care</t>
  </si>
  <si>
    <t>Fipronil</t>
  </si>
  <si>
    <t>Regent 3GR</t>
  </si>
  <si>
    <t>AP-497</t>
  </si>
  <si>
    <t>Stem borer &amp; BPH, Early shoot borer &amp; Termite, Termites</t>
  </si>
  <si>
    <t>10.00 kg/ha; 16.66 kg/ha; 33.00 kg/ha</t>
  </si>
  <si>
    <t>Rice | Stem borer &amp; BPH | 10.00 kg/ha
Sugarcane | Early shoot borer &amp; Termite | 16.66 kg/ha
Tea | Termites | 33.00 kg/ha</t>
  </si>
  <si>
    <t>Regent 50SC</t>
  </si>
  <si>
    <t>AP-498</t>
  </si>
  <si>
    <t>Stem borer, BPH, Hispa, Termite, Termites</t>
  </si>
  <si>
    <t>500 ml/ha; 1.00 L/ha; 1.50 L/ha</t>
  </si>
  <si>
    <t>Rice | Stem borer, BPH, Hispa | 500 ml/ha
Sugarcane | Termite | 1.00 L/ha
Tea | Termites | 1.50 L/ha</t>
  </si>
  <si>
    <t>Longent 3GR</t>
  </si>
  <si>
    <t>AP-682</t>
  </si>
  <si>
    <t>Goolee 3GR</t>
  </si>
  <si>
    <t>AP-778</t>
  </si>
  <si>
    <t>BPH, Yellow Stemborer, Nematode</t>
  </si>
  <si>
    <t>10.00 kg/ha; 165 g/m2</t>
  </si>
  <si>
    <t>Rice | BPH, Yellow Stemborer | 10.00 kg/ha
Tea | Nematode | 165 g/m2</t>
  </si>
  <si>
    <t>Goolee 50SC</t>
  </si>
  <si>
    <t>AP-779</t>
  </si>
  <si>
    <t>Rice | Hispa | 500 ml/ha</t>
  </si>
  <si>
    <t>Aronil 3GR</t>
  </si>
  <si>
    <t>AP-1061</t>
  </si>
  <si>
    <t>Rice | Hispa | 10.00 kg/ha
Sugarcane | Termite | 16.66 kg/ha
Tea | Termite | 33.00 kg/ha</t>
  </si>
  <si>
    <t>Aronil 50SC</t>
  </si>
  <si>
    <t>AP-1062</t>
  </si>
  <si>
    <t>BPH &amp; Hispa, Termite</t>
  </si>
  <si>
    <t>0.5 L/ha; 1.00 L/ha</t>
  </si>
  <si>
    <t>Rice | BPH &amp; Hispa | 0.5 L/ha
Sugarcane | Termite | 1.00 L/ha</t>
  </si>
  <si>
    <t>Bonanza 3GR</t>
  </si>
  <si>
    <t>AP-1101</t>
  </si>
  <si>
    <t>BPH, Hispa &amp; YSB, Nematodes, Termite</t>
  </si>
  <si>
    <t>10.00 kg/ha; 165 g/m3; 16.66 kg/ha</t>
  </si>
  <si>
    <t>Rice | BPH, Hispa &amp; YSB | 10.00 kg/ha
Tea | Nematodes | 165 g/m3
Sugarcane | Termite | 16.66 kg/ha</t>
  </si>
  <si>
    <t>Envoy 50SC</t>
  </si>
  <si>
    <t>AP-1102</t>
  </si>
  <si>
    <t>BPH, Hispa, YSB, Termite</t>
  </si>
  <si>
    <t>Rice | BPH, Hispa, YSB | 0.5 L/ha
Sugarcane | Termite | 1.00 L/ha</t>
  </si>
  <si>
    <t>Econil 3GR</t>
  </si>
  <si>
    <t>AP-1180</t>
  </si>
  <si>
    <t>Termites</t>
  </si>
  <si>
    <t>16.66 kg/ha</t>
  </si>
  <si>
    <t>Sugarcane | Termites | 16.66 kg/ha</t>
  </si>
  <si>
    <t>Nema 50SC</t>
  </si>
  <si>
    <t>AP-1183</t>
  </si>
  <si>
    <t>Rice | Hispa | 500 ml/ha
Sugarcane | Termite | 1.00 L/ha</t>
  </si>
  <si>
    <t>Seagent 3GR</t>
  </si>
  <si>
    <t>AP-1255</t>
  </si>
  <si>
    <t>10.00 kg/ha; 33.00 kg/ha</t>
  </si>
  <si>
    <t>Rice | BPH | 10.00 kg/ha
Tea | Termite | 33.00 kg/ha
Sugarcane | Termite | 33.00 kg/ha</t>
  </si>
  <si>
    <t>Canola 3GR</t>
  </si>
  <si>
    <t>AP-1295</t>
  </si>
  <si>
    <t>33.00 kg/ha</t>
  </si>
  <si>
    <t>Tea | Termite | 33.00 kg/ha
Sugarcane | Termite | 33.00 kg/ha</t>
  </si>
  <si>
    <t>Ferogen 3GR</t>
  </si>
  <si>
    <t>AP-1463</t>
  </si>
  <si>
    <t>Fiprosun 50SC</t>
  </si>
  <si>
    <t>AP-1478</t>
  </si>
  <si>
    <t>Rice | Hispa | 0.5 L/ha
Sugarcane | Termite | 1.00 L/ha</t>
  </si>
  <si>
    <t>Revive 50SC</t>
  </si>
  <si>
    <t>AP-1483</t>
  </si>
  <si>
    <t>Rice | Hispa, BPH | 0.5 L/ha
Sugarcane | Termite | 1.00 L/ha</t>
  </si>
  <si>
    <t>Support 50SC</t>
  </si>
  <si>
    <t>AP-1556</t>
  </si>
  <si>
    <t>Fendol 3GR</t>
  </si>
  <si>
    <t>AP-1641</t>
  </si>
  <si>
    <t>Yellow Stemborer, Termite</t>
  </si>
  <si>
    <t>Rice | Yellow Stemborer | 10.00 kg/ha
Sugarcane | Termite | 33.00 kg/ha</t>
  </si>
  <si>
    <t>Jahor 3GR</t>
  </si>
  <si>
    <t>AP-1656</t>
  </si>
  <si>
    <t>Rice | Yellow Stemborer | 10.00 kg/ha
Tea | Termite | 33.00 kg/ha</t>
  </si>
  <si>
    <t>Refree 50SC</t>
  </si>
  <si>
    <t>AP-1658</t>
  </si>
  <si>
    <t>Rice | BPH | 0.5 L/ha
Sugarcane | Termite | 1.00 L/ha</t>
  </si>
  <si>
    <t>Ascend 50SC</t>
  </si>
  <si>
    <t>AP-1665</t>
  </si>
  <si>
    <t>Rice, Chili, Sugarcane, Tea</t>
  </si>
  <si>
    <t>BPH, YSB, Thrips, Termite</t>
  </si>
  <si>
    <t>0.5 L/ha; 0.5 ml/L of water; 1.00 L/ha; 33.00 kg/ha</t>
  </si>
  <si>
    <t>Rice | BPH, YSB | 0.5 L/ha
Chili | Thrips | 0.5 ml/L of water
Sugarcane | Termite | 1.00 L/ha
Tea | Termite | 33.00 kg/ha</t>
  </si>
  <si>
    <t>Ronil 3GR</t>
  </si>
  <si>
    <t>AP-1616</t>
  </si>
  <si>
    <t>10.00 kg/ha; 33.00 kg/ha; 16.66 kg/ha</t>
  </si>
  <si>
    <t>Rice | Yellow Stemborer | 10.00 kg/ha
Tea | Termite | 33.00 kg/ha
Sugarcane | Termite | 16.66 kg/ha</t>
  </si>
  <si>
    <t>Bleguard 50SC</t>
  </si>
  <si>
    <t>AP-1713</t>
  </si>
  <si>
    <t>Rice | Yellow Stemborer | 0.5 L/ha</t>
  </si>
  <si>
    <t>Balaka 50SC</t>
  </si>
  <si>
    <t>AP-1714</t>
  </si>
  <si>
    <t>Rice | Yellow Stemborer | 0.5 L/ha
Sugarcane | Termite | 1.00 L/ha</t>
  </si>
  <si>
    <t>Ficor 50SC</t>
  </si>
  <si>
    <t>AP-1726</t>
  </si>
  <si>
    <t>Econil 50SC</t>
  </si>
  <si>
    <t>AP-1731</t>
  </si>
  <si>
    <t>Ascend 3GR</t>
  </si>
  <si>
    <t>AP-1741</t>
  </si>
  <si>
    <t>Eilder 3GR</t>
  </si>
  <si>
    <t>AP-2028</t>
  </si>
  <si>
    <t>Lighter 50SC</t>
  </si>
  <si>
    <t>AP-2029</t>
  </si>
  <si>
    <t>Rice | BPH | 0.5 L/ha
Tea | Helopeltis | 1.00 L/ha</t>
  </si>
  <si>
    <t>Agro Gold 50SC</t>
  </si>
  <si>
    <t>AP-2030</t>
  </si>
  <si>
    <t>1 ml/L of water; 0.5 L/ha</t>
  </si>
  <si>
    <t>Potato | Cutworm | 1 ml/L of water
Rice | BPH | 0.5 L/ha</t>
  </si>
  <si>
    <t>Chalcid 50 SC</t>
  </si>
  <si>
    <t>AP-2031</t>
  </si>
  <si>
    <t>Eilder 50SC</t>
  </si>
  <si>
    <t>AP-2032</t>
  </si>
  <si>
    <t>0.5 L/ha; 1.50 L/ha</t>
  </si>
  <si>
    <t>Rice | BPH | 0.5 L/ha
Tea | Termite | 1.50 L/ha</t>
  </si>
  <si>
    <t>Ruller 3GR</t>
  </si>
  <si>
    <t>AP-2033</t>
  </si>
  <si>
    <t>Morden Agro Chemicals</t>
  </si>
  <si>
    <t>10.00 kg; 33.00 kg</t>
  </si>
  <si>
    <t>Rice | BPH | 10.00 kg
Tea | Termite | 33.00 kg</t>
  </si>
  <si>
    <t>Finil 3GR</t>
  </si>
  <si>
    <t>AP-2035</t>
  </si>
  <si>
    <t>T-Konil 50SC</t>
  </si>
  <si>
    <t>AP-2036</t>
  </si>
  <si>
    <t>Pronil 50 SC</t>
  </si>
  <si>
    <t>AP-2037</t>
  </si>
  <si>
    <t>Provident 3GR</t>
  </si>
  <si>
    <t>AP-2038</t>
  </si>
  <si>
    <t>Provident 50SC</t>
  </si>
  <si>
    <t>AP-2039</t>
  </si>
  <si>
    <t>Refree 3GR</t>
  </si>
  <si>
    <t>AP-2041</t>
  </si>
  <si>
    <t>YSB, Termite</t>
  </si>
  <si>
    <t>10.00 kg/ha; 16.66 kg/ha</t>
  </si>
  <si>
    <t>Rice | YSB | 10.00 kg/ha
Sugarcane | Termite | 16.66 kg/ha</t>
  </si>
  <si>
    <t>Aroma 50SC</t>
  </si>
  <si>
    <t>AP-2174</t>
  </si>
  <si>
    <t>Procure 3GR</t>
  </si>
  <si>
    <t>AP-2176</t>
  </si>
  <si>
    <t>42 43</t>
  </si>
  <si>
    <t>Procure 50SC</t>
  </si>
  <si>
    <t>AP-2178</t>
  </si>
  <si>
    <t>Grant 50SC</t>
  </si>
  <si>
    <t>AP-2183</t>
  </si>
  <si>
    <t>Positron 50SC</t>
  </si>
  <si>
    <t>AP-2184</t>
  </si>
  <si>
    <t>Pafer 50 EC</t>
  </si>
  <si>
    <t>AP-2186</t>
  </si>
  <si>
    <t>Rice | BPH | 0.5 L/ha
Potato | Cutworm | 1 ml/L of water</t>
  </si>
  <si>
    <t>Filbert 50SC</t>
  </si>
  <si>
    <t>AP-2187</t>
  </si>
  <si>
    <t>Supernil 50SC</t>
  </si>
  <si>
    <t>AP-2248</t>
  </si>
  <si>
    <t>Bicogent 50SC</t>
  </si>
  <si>
    <t>AP-2405</t>
  </si>
  <si>
    <t>Prince 3GR</t>
  </si>
  <si>
    <t>AP-2407</t>
  </si>
  <si>
    <t>Aroma 3GR</t>
  </si>
  <si>
    <t>AP-2409</t>
  </si>
  <si>
    <t>Ravnil 50 SC</t>
  </si>
  <si>
    <t>AP-2602</t>
  </si>
  <si>
    <t>Raven Aqua Agriculture Ltd</t>
  </si>
  <si>
    <t>Rice | BPH | 0.5 L/ha
Tea | Termite | 1.00 L/ha</t>
  </si>
  <si>
    <t>Tynil 50SC</t>
  </si>
  <si>
    <t>AP-2662</t>
  </si>
  <si>
    <t>Prositron 3GR</t>
  </si>
  <si>
    <t>AP-2666</t>
  </si>
  <si>
    <t>Ronil 50SC</t>
  </si>
  <si>
    <t>AP-2680</t>
  </si>
  <si>
    <t>Get-Nobel 50SC</t>
  </si>
  <si>
    <t>AP-2794</t>
  </si>
  <si>
    <t>Shaeconil 50SC</t>
  </si>
  <si>
    <t>AP-2797</t>
  </si>
  <si>
    <t>Fiprogent 50SC</t>
  </si>
  <si>
    <t>AP-2798</t>
  </si>
  <si>
    <t>Biogent 50SC</t>
  </si>
  <si>
    <t>AP-2799</t>
  </si>
  <si>
    <t>Placard 50SC</t>
  </si>
  <si>
    <t>AP-2800</t>
  </si>
  <si>
    <t>Eyegent 50SC</t>
  </si>
  <si>
    <t>AP-2801</t>
  </si>
  <si>
    <t>Agro Gold 3GR</t>
  </si>
  <si>
    <t>AP-2803</t>
  </si>
  <si>
    <t>Firokil 50SC</t>
  </si>
  <si>
    <t>AP-2804</t>
  </si>
  <si>
    <t>Bornil 50SC</t>
  </si>
  <si>
    <t>AP-2805</t>
  </si>
  <si>
    <t>Sunrof 50SC</t>
  </si>
  <si>
    <t>AP-2806</t>
  </si>
  <si>
    <t>Digont 50 SC</t>
  </si>
  <si>
    <t>AP-2807</t>
  </si>
  <si>
    <t>Lagent 3GR</t>
  </si>
  <si>
    <t>AP-2808</t>
  </si>
  <si>
    <t>YSB, Nematodes</t>
  </si>
  <si>
    <t>Rice | YSB | 10.00 kg/ha
Tea | Nematodes | 165 g/M3</t>
  </si>
  <si>
    <t>Pargent 50 SC</t>
  </si>
  <si>
    <t>AP-2809</t>
  </si>
  <si>
    <t>Sugarcane | Termite | 1.00 L/ha</t>
  </si>
  <si>
    <t>Mettle 5 SC</t>
  </si>
  <si>
    <t>AP-3377</t>
  </si>
  <si>
    <t>RNT Agro Limited</t>
  </si>
  <si>
    <t>Tea | Termite | 1.50 L/ha</t>
  </si>
  <si>
    <t>Gentco 3GR</t>
  </si>
  <si>
    <t>AP-3379</t>
  </si>
  <si>
    <t>1.00 kg/ha; 16.66 kg/ha</t>
  </si>
  <si>
    <t>Rice | BPH | 1.00 kg/ha
Sugarcane | Termite | 16.66 kg/ha</t>
  </si>
  <si>
    <t>Shebanil 3GR</t>
  </si>
  <si>
    <t>AP-3783</t>
  </si>
  <si>
    <t>Sonali Krishi Sheba Industries</t>
  </si>
  <si>
    <t>Aashirbad 50SC</t>
  </si>
  <si>
    <t>AP-3784</t>
  </si>
  <si>
    <t>Hazi Abdul Hakim Sowdagar</t>
  </si>
  <si>
    <t>Bestnil 5SC</t>
  </si>
  <si>
    <t>AP-3785</t>
  </si>
  <si>
    <t>Pafip 3GR</t>
  </si>
  <si>
    <t>AP-3788</t>
  </si>
  <si>
    <t>Viper 3GR</t>
  </si>
  <si>
    <t>AP-4041</t>
  </si>
  <si>
    <t>Sugarcane | Termite | 16.66 kg/ha</t>
  </si>
  <si>
    <t>Calibar 3GR</t>
  </si>
  <si>
    <t>AP-4297</t>
  </si>
  <si>
    <t>Sugarcane, Tea</t>
  </si>
  <si>
    <t>Termite, Top Shoot borer &amp; Whit grub, Nematode</t>
  </si>
  <si>
    <t>16.66 kg/ha; 33.33 kg/; 165 g/m3</t>
  </si>
  <si>
    <t>Sugarcane | Termite | 16.66 kg/ha
Sugarcane | Top Shoot borer &amp; Whit grub | 33.33 kg/
Tea | Nematode | 165 g/m3</t>
  </si>
  <si>
    <t>Margin 3GR</t>
  </si>
  <si>
    <t>AP-5001</t>
  </si>
  <si>
    <t>U-Gent 0.3GR</t>
  </si>
  <si>
    <t>AP-5790</t>
  </si>
  <si>
    <t>Aplus 50SC</t>
  </si>
  <si>
    <t>AP-5913</t>
  </si>
  <si>
    <t>Filanto 80WDG</t>
  </si>
  <si>
    <t>AP-5914</t>
  </si>
  <si>
    <t>80 g/ha</t>
  </si>
  <si>
    <t>Rice | YSB | 80 g/ha</t>
  </si>
  <si>
    <t>Fipronil (5%) + Lambda Cyhalothrin (5%)</t>
  </si>
  <si>
    <t>Otova 10EC</t>
  </si>
  <si>
    <t>AP-4065</t>
  </si>
  <si>
    <t>Tea | Termite | 500 ml/ha</t>
  </si>
  <si>
    <t>Fipronil (50%) + Emamectin Benzoate (5%)</t>
  </si>
  <si>
    <t>Haymanil 55WDG</t>
  </si>
  <si>
    <t>AP-5275</t>
  </si>
  <si>
    <t>Hairy caterpillar, Red Spider Mite</t>
  </si>
  <si>
    <t>Jute | Hairy caterpillar | 250 gm/ha
Tea | Red Spider Mite | 250 gm/ha</t>
  </si>
  <si>
    <t>Fipronil (50%) + Thiamethoxam (30%)</t>
  </si>
  <si>
    <t>Vipco 80WDG</t>
  </si>
  <si>
    <t>AP-5000</t>
  </si>
  <si>
    <t>Fipronil (3%) Phoxim (2.00%)</t>
  </si>
  <si>
    <t>Tomahulk 5G</t>
  </si>
  <si>
    <t>AP-5594</t>
  </si>
  <si>
    <t>Fipronil (12.50%) + Sulfoxaflor (17.50%)</t>
  </si>
  <si>
    <t>Xemco 30EC</t>
  </si>
  <si>
    <t>AP-5781</t>
  </si>
  <si>
    <t>300 ml/ha</t>
  </si>
  <si>
    <t>Rice | BPH | 300 ml/ha</t>
  </si>
  <si>
    <t>Fipronil (20%) Acetamiprid (20%)</t>
  </si>
  <si>
    <t>Apon 40WDG</t>
  </si>
  <si>
    <t>AP-5915</t>
  </si>
  <si>
    <t>175 g/ha</t>
  </si>
  <si>
    <t>Rice | BPH | 175 g/ha</t>
  </si>
  <si>
    <t>Vanguard 40WG</t>
  </si>
  <si>
    <t>AP-5916</t>
  </si>
  <si>
    <t>Asia Trade International</t>
  </si>
  <si>
    <t>200 g/ha</t>
  </si>
  <si>
    <t>Rice | BPH | 200 g/ha</t>
  </si>
  <si>
    <t>Flubendiamide</t>
  </si>
  <si>
    <t>Belt 24 WG</t>
  </si>
  <si>
    <t>AP-1486</t>
  </si>
  <si>
    <t>Tomato, Rice, Brinjal, Cotton</t>
  </si>
  <si>
    <t>Fruit borer, Yellow Stemborer, Shoot &amp; Fruit Borer, Bollworm</t>
  </si>
  <si>
    <t>0.4 g/L of water; 0.6 g/L of water; 250 gm/ha</t>
  </si>
  <si>
    <t>Tomato | Fruit borer | 0.4 g/L of water
Rice | Yellow Stemborer | 0.4 g/L of water
Brinjal | Shoot &amp; Fruit Borer | 0.6 g/L of water
Cotton | Bollworm | 250 gm/ha</t>
  </si>
  <si>
    <t>IRAC 28</t>
  </si>
  <si>
    <t>Gamma Cyhalothrin</t>
  </si>
  <si>
    <t>Nexide 1.5CS</t>
  </si>
  <si>
    <t>AP-1298</t>
  </si>
  <si>
    <t>Helopelties (Mosquito bug), Shoot &amp; Fruit Borer</t>
  </si>
  <si>
    <t>300 ml/ha; 1.50 ml/L of Water</t>
  </si>
  <si>
    <t>Tea | Helopelties (Mosquito bug) | 300 ml/ha
Brinjal | Shoot &amp; Fruit Borer | 1.50 ml/L of Water</t>
  </si>
  <si>
    <t>Imidacloprid</t>
  </si>
  <si>
    <t>Admire 20SL</t>
  </si>
  <si>
    <t>AP-486</t>
  </si>
  <si>
    <t>Sugarcane,, Tea, Cotton, Rice, Bean, Brinjal, Potato</t>
  </si>
  <si>
    <t>Termites, White fly, Aphid, Jassid, BPH, Aphids, Aphids, Jassid, Aphid</t>
  </si>
  <si>
    <t>1.00 L/ha; 600 ml/ha; 125 ml/ha; 500 ml/ha; 0.5 ml/Lof water; 1 ml/Lof water</t>
  </si>
  <si>
    <t>Sugarcane, | Termites | 1.00 L/ha
Tea | Termites | 1.00 L/ha
Cotton | White fly, Aphid, Jassid | 600 ml/ha
Rice | BPH | 125 ml/ha
Bean | Aphids | 500 ml/ha
Brinjal | Aphids, Jassid | 0.5 ml/Lof water
Potato | Aphid | 1 ml/Lof water</t>
  </si>
  <si>
    <t>Imitaf 20SL</t>
  </si>
  <si>
    <t>AP-449</t>
  </si>
  <si>
    <t>Rice, Cotton, Tea, Sugarcane</t>
  </si>
  <si>
    <t>Hispa &amp; BPH, Aphid, Jassid, Whitefly, Boll worm, Termite</t>
  </si>
  <si>
    <t>125 ml/ha; 1.00 L/ha; 1.50 L/ha</t>
  </si>
  <si>
    <t>Rice | Hispa &amp; BPH | 125 ml/ha
Cotton | Aphid, Jassid, Whitefly | 125 ml/ha
Cotton | Boll worm | 1.00 L/ha
Tea | Termite | 1.50 L/ha
Sugarcane | Termite | 1.00 L/ha</t>
  </si>
  <si>
    <t>Tiddo 20SL</t>
  </si>
  <si>
    <t>AP-468</t>
  </si>
  <si>
    <t>Sugarcane, Rice, Tea</t>
  </si>
  <si>
    <t>Termites, BPH, Hispa, Helopeltis</t>
  </si>
  <si>
    <t>7 ml/L of water; 125 ml/ha; 250 ml/ha</t>
  </si>
  <si>
    <t>Sugarcane | Termites | 7 ml/L of water
Rice | BPH, Hispa | 125 ml/ha
Tea | BPH, Hispa | 125 ml/ha
Tea | Helopeltis | 250 ml/ha</t>
  </si>
  <si>
    <t>Empire 20SL</t>
  </si>
  <si>
    <t>AP-780</t>
  </si>
  <si>
    <t>Rice, Bean, Cotton</t>
  </si>
  <si>
    <t>BPH, Aphid, Aphid &amp; Jassid</t>
  </si>
  <si>
    <t>125 ml/ha; 0.5 ml/L of water; 400 ml/ha</t>
  </si>
  <si>
    <t>Rice | BPH | 125 ml/ha
Bean | Aphid | 0.5 ml/L of water
Cotton | Aphid &amp; Jassid | 400 ml/ha</t>
  </si>
  <si>
    <t>Bildor 20SL</t>
  </si>
  <si>
    <t>AP-781</t>
  </si>
  <si>
    <t>Rice | BPH, Hispa | 125 ml/ha</t>
  </si>
  <si>
    <t>Power Sun 20SL</t>
  </si>
  <si>
    <t>AP-824</t>
  </si>
  <si>
    <t>Rice | BPH | 125 ml/ha</t>
  </si>
  <si>
    <t>Limida 17.8SL</t>
  </si>
  <si>
    <t>AP-832</t>
  </si>
  <si>
    <t>BPH, Aphid &amp; Jassid</t>
  </si>
  <si>
    <t>100 ml/ha; 400 ml/ha</t>
  </si>
  <si>
    <t>Rice | BPH | 100 ml/ha
Cotton | Aphid &amp; Jassid | 400 ml/ha</t>
  </si>
  <si>
    <t>Bidder 20SL</t>
  </si>
  <si>
    <t>AP-838</t>
  </si>
  <si>
    <t>Rice, Mustard, Tea</t>
  </si>
  <si>
    <t>BPH, Hispa, Aphid, Termite</t>
  </si>
  <si>
    <t>100 ml/ha; 125 ml/ha; 0.5 ml/L of water; 1.50 L/ha</t>
  </si>
  <si>
    <t>Rice | BPH | 100 ml/ha
Rice | Hispa | 125 ml/ha
Mustard | Aphid | 0.5 ml/L of water
Tea | Termite | 1.50 L/ha</t>
  </si>
  <si>
    <t>Bumper 20SL</t>
  </si>
  <si>
    <t>AP-958</t>
  </si>
  <si>
    <t>Imidachlor 10WP</t>
  </si>
  <si>
    <t>AP-1000</t>
  </si>
  <si>
    <t>Jute, Potato, Sugarcane, Rice</t>
  </si>
  <si>
    <t>Hairy caterpillar, Cutworm, Termite, BPH</t>
  </si>
  <si>
    <t>1.12 kg/ha; 2.00 kg/ha; 1.0 kg/ha</t>
  </si>
  <si>
    <t>Jute | Hairy caterpillar | 1.12 kg/ha
Potato | Cutworm | 1.12 kg/ha
Sugarcane | Termite | 2.00 kg/ha
Rice | BPH | 1.0 kg/ha</t>
  </si>
  <si>
    <t>Gain 20SL</t>
  </si>
  <si>
    <t>AP-1005</t>
  </si>
  <si>
    <t>Rice | BPH | 125 ml/ha
Sugarcane | Termite | 1.00 L/ha
Tea | Termite | 1.50 L/ha</t>
  </si>
  <si>
    <t>Hotshot 20SL</t>
  </si>
  <si>
    <t>AP-1013</t>
  </si>
  <si>
    <t>500-600 ml/ha</t>
  </si>
  <si>
    <t>Cotton | Aphid &amp; Jassid | 500-600 ml/ha</t>
  </si>
  <si>
    <t>Premier 20SL</t>
  </si>
  <si>
    <t>AP-1073</t>
  </si>
  <si>
    <t>Bean, Tea, Sugarcane, Rice, Mango</t>
  </si>
  <si>
    <t>Aphid, Termite, BPH, Hopper</t>
  </si>
  <si>
    <t>0.5 ml/L of water; 1.50 L/ha; 1.00 L/ha; 125 ml/ha; 0.25 ml/L of water</t>
  </si>
  <si>
    <t>Bean | Aphid | 0.5 ml/L of water
Tea | Termite | 1.50 L/ha
Sugarcane | Termite | 1.00 L/ha
Rice | BPH | 125 ml/ha
Mango | Hopper | 0.25 ml/L of water</t>
  </si>
  <si>
    <t>Sunchlorprid 20SL</t>
  </si>
  <si>
    <t>AP-1126</t>
  </si>
  <si>
    <t>Bean, Rice, Sugarcane</t>
  </si>
  <si>
    <t>Aphid, BPH &amp; Hispa, Termite</t>
  </si>
  <si>
    <t>0.5 ml/L of water; 125 ml/ha; 1.00 L/ha</t>
  </si>
  <si>
    <t>Bean | Aphid | 0.5 ml/L of water
Rice | BPH &amp; Hispa | 125 ml/ha
Sugarcane | Termite | 1.00 L/ha</t>
  </si>
  <si>
    <t>Tez 20SL</t>
  </si>
  <si>
    <t>AP-1151</t>
  </si>
  <si>
    <t>125 ml/ha; 1.50 L/ha; 1.00 L/ha</t>
  </si>
  <si>
    <t>Rice | BPH &amp; Hispa | 125 ml/ha
Tea | Termite | 1.50 L/ha
Sugarcane | Termite | 1.00 L/ha</t>
  </si>
  <si>
    <t>Ipromar 20SL</t>
  </si>
  <si>
    <t>AP-1205</t>
  </si>
  <si>
    <t>Simida 20SL</t>
  </si>
  <si>
    <t>AP-1215</t>
  </si>
  <si>
    <t>125 ml/ha; 0.5 ml/L of water</t>
  </si>
  <si>
    <t>Rice | BPH | 125 ml/ha
Bean | Aphid | 0.5 ml/L of water</t>
  </si>
  <si>
    <t>Imida Gold 20SL</t>
  </si>
  <si>
    <t>AP-1218</t>
  </si>
  <si>
    <t>Confidor 70WG</t>
  </si>
  <si>
    <t>AP-1254</t>
  </si>
  <si>
    <t>Rice, Brinjal, Mango, Cotton</t>
  </si>
  <si>
    <t>BPH, Aphid, Hopper, Aphid &amp; Jassid</t>
  </si>
  <si>
    <t>35.70 gm/ha; 0.2 g/L of water; 70 gm/ha</t>
  </si>
  <si>
    <t>Rice | BPH | 35.70 gm/ha
Brinjal | Aphid | 0.2 g/L of water
Mango | Hopper | 0.2 g/L of water
Cotton | Aphid &amp; Jassid | 70 gm/ha</t>
  </si>
  <si>
    <t>Impale 20SL</t>
  </si>
  <si>
    <t>AP-1270</t>
  </si>
  <si>
    <t>Termite, Hispa</t>
  </si>
  <si>
    <t>1.50 L/ha; 125 ml/ha</t>
  </si>
  <si>
    <t>Tea | Termite | 1.50 L/ha
Rice | Hispa | 125 ml/ha</t>
  </si>
  <si>
    <t>Race 20SL</t>
  </si>
  <si>
    <t>AP-1288</t>
  </si>
  <si>
    <t>Confident 200SL</t>
  </si>
  <si>
    <t>AP-1301</t>
  </si>
  <si>
    <t>Rice | Hispa | 125 ml/ha
Bean | Aphid | 0.5 ml/L of water</t>
  </si>
  <si>
    <t>Bicopid 20SL</t>
  </si>
  <si>
    <t>AP-1316</t>
  </si>
  <si>
    <t>Falcon 20SL</t>
  </si>
  <si>
    <t>AP-1466</t>
  </si>
  <si>
    <t>BPH, Aphid, Hairy caterpillar</t>
  </si>
  <si>
    <t>1.00 L/ha; 0.25 ml/L of water; 500 ml/ha</t>
  </si>
  <si>
    <t>Rice | BPH | 1.00 L/ha
Brinjal | Aphid | 0.25 ml/L of water
Jute | Hairy caterpillar | 500 ml/ha</t>
  </si>
  <si>
    <t>Kingcloprid 20SL</t>
  </si>
  <si>
    <t>AP-1508</t>
  </si>
  <si>
    <t>Termite, Aphid, Jassid</t>
  </si>
  <si>
    <t>1.50 L/ha; 600 ml/ha</t>
  </si>
  <si>
    <t>Tea | Termite | 1.50 L/ha
Cotton | Aphid, Jassid | 600 ml/ha</t>
  </si>
  <si>
    <t>Aropid 20SL</t>
  </si>
  <si>
    <t>AP-1524</t>
  </si>
  <si>
    <t>125 ml/ha; 0.25 ml/L of water</t>
  </si>
  <si>
    <t>Rice | BPH | 125 ml/ha
Mango | Hopper | 0.25 ml/L of water</t>
  </si>
  <si>
    <t>Adclop 20SL</t>
  </si>
  <si>
    <t>AP-1527</t>
  </si>
  <si>
    <t>125 ml/ha; 1.00 L/ha</t>
  </si>
  <si>
    <t>Rice | BPH | 125 ml/ha
Sugarcane | Termite | 1.00 L/ha</t>
  </si>
  <si>
    <t>Emu 17.8SL</t>
  </si>
  <si>
    <t>AP-1529</t>
  </si>
  <si>
    <t>125 ml/ha; 1.50 L/ha</t>
  </si>
  <si>
    <t>Rice | BPH | 125 ml/ha
Tea | Termite | 1.50 L/ha</t>
  </si>
  <si>
    <t>Mukti 200SL</t>
  </si>
  <si>
    <t>AP-1552</t>
  </si>
  <si>
    <t>Imidor 17.8SL</t>
  </si>
  <si>
    <t>AP-1660</t>
  </si>
  <si>
    <t>Jadid 200SL</t>
  </si>
  <si>
    <t>AP-1663</t>
  </si>
  <si>
    <t>Rice | BPH, Hispa | 125 ml/ha
Brinjal | Aphid | 0.25 ml/L of water</t>
  </si>
  <si>
    <t>Barrier 20SL</t>
  </si>
  <si>
    <t>AP-1666</t>
  </si>
  <si>
    <t>Rice, Country bean, Tea</t>
  </si>
  <si>
    <t>125 ml/ha; 0.25 ml/L of water; 1.50 L/ha</t>
  </si>
  <si>
    <t>Rice | BPH | 125 ml/ha
Country bean | Aphid | 0.25 ml/L of water
Tea | Termite | 1.50 L/ha</t>
  </si>
  <si>
    <t>Impride 17.8SL</t>
  </si>
  <si>
    <t>AP-1668</t>
  </si>
  <si>
    <t>Dharbahaar 200SL</t>
  </si>
  <si>
    <t>AP-1669</t>
  </si>
  <si>
    <t>Heter 20SL</t>
  </si>
  <si>
    <t>AP-1836</t>
  </si>
  <si>
    <t>Rido 20SL</t>
  </si>
  <si>
    <t>AP-1918</t>
  </si>
  <si>
    <t>Makmiral 20SL</t>
  </si>
  <si>
    <t>AP-1926</t>
  </si>
  <si>
    <t>Agro Imida 20SL</t>
  </si>
  <si>
    <t>AP-2020</t>
  </si>
  <si>
    <t>Agro Arena Associates</t>
  </si>
  <si>
    <t>Termite, Bollworm, Aphid, Jassid</t>
  </si>
  <si>
    <t>Tea | Termite | 1.50 L/ha
Cotton | Bollworm, Aphid, Jassid | 600 ml/ha</t>
  </si>
  <si>
    <t>E-Tap 20SL</t>
  </si>
  <si>
    <t>AP-2021</t>
  </si>
  <si>
    <t>Tea | Termite | 1.50 L/ha
Rice | BPH | 125 ml/ha</t>
  </si>
  <si>
    <t>Aciprid 200SL</t>
  </si>
  <si>
    <t>AP-2022</t>
  </si>
  <si>
    <t>Paramid 20SL</t>
  </si>
  <si>
    <t>AP-2023</t>
  </si>
  <si>
    <t>Pace Import &amp; Export Ltd</t>
  </si>
  <si>
    <t>Promise 200SL</t>
  </si>
  <si>
    <t>AP-2025</t>
  </si>
  <si>
    <t>Radius 200SL</t>
  </si>
  <si>
    <t>AP-2026</t>
  </si>
  <si>
    <t>Theme 20SL</t>
  </si>
  <si>
    <t>AP-2289</t>
  </si>
  <si>
    <t>Imida 200SL</t>
  </si>
  <si>
    <t>AP-2290</t>
  </si>
  <si>
    <t>Imicon 200SL</t>
  </si>
  <si>
    <t>AP-2291</t>
  </si>
  <si>
    <t>Rice | Hispa | 125 ml/ha</t>
  </si>
  <si>
    <t>Courage 20SL</t>
  </si>
  <si>
    <t>AP-2292</t>
  </si>
  <si>
    <t>Gurfidor 70WG</t>
  </si>
  <si>
    <t>AP-2362</t>
  </si>
  <si>
    <t>Kreshok Bandhu 200SL</t>
  </si>
  <si>
    <t>AP-2400</t>
  </si>
  <si>
    <t>Seedox 70WS</t>
  </si>
  <si>
    <t>AP-2401</t>
  </si>
  <si>
    <t>4.5 g/kg seed &amp; 3.5 g/kg seed</t>
  </si>
  <si>
    <t>Cotton | Aphid, Jassid, Bollworm | 4.5 g/kg seed &amp; 3.5 g/kg seed</t>
  </si>
  <si>
    <t>Beauty 200SL</t>
  </si>
  <si>
    <t>AP-2402</t>
  </si>
  <si>
    <t>Locker 20SL</t>
  </si>
  <si>
    <t>AP-2403</t>
  </si>
  <si>
    <t>Blaster 200SL</t>
  </si>
  <si>
    <t>AP-2574</t>
  </si>
  <si>
    <t>Pamir 200SL</t>
  </si>
  <si>
    <t>AP-2619</t>
  </si>
  <si>
    <t>Panama 20SL</t>
  </si>
  <si>
    <t>AP-2683</t>
  </si>
  <si>
    <t>Uncut 20SL</t>
  </si>
  <si>
    <t>AP-2684</t>
  </si>
  <si>
    <t>Typid 20SL</t>
  </si>
  <si>
    <t>AP-2685</t>
  </si>
  <si>
    <t>Haymidor 70WG</t>
  </si>
  <si>
    <t>AP-2686</t>
  </si>
  <si>
    <t>1 g/L of water; 35.70 gm/ha</t>
  </si>
  <si>
    <t>Brinjal | Aphid | 1 g/L of water
Rice | BPH | 35.70 gm/ha</t>
  </si>
  <si>
    <t>b-Imida 20SL</t>
  </si>
  <si>
    <t>AP-2687</t>
  </si>
  <si>
    <t>Rekaprid 200SL</t>
  </si>
  <si>
    <t>AP-2688</t>
  </si>
  <si>
    <t>Winprid 70WG</t>
  </si>
  <si>
    <t>AP-2689</t>
  </si>
  <si>
    <t>Brinjal | Aphid | 0.2 g/L of water</t>
  </si>
  <si>
    <t>Innova Super 20SL</t>
  </si>
  <si>
    <t>AP-2691</t>
  </si>
  <si>
    <t>Feeder 20SL</t>
  </si>
  <si>
    <t>AP-2692</t>
  </si>
  <si>
    <t>Sapta 70WG</t>
  </si>
  <si>
    <t>AP-2814</t>
  </si>
  <si>
    <t>35 gm/ha; 35.7 gm/ha</t>
  </si>
  <si>
    <t>Jute | Hairy caterpillar | 35 gm/ha
Rice | BPH | 35.7 gm/ha</t>
  </si>
  <si>
    <t>Jamuna 20SL</t>
  </si>
  <si>
    <t>AP-2823</t>
  </si>
  <si>
    <t>Audis 20SL</t>
  </si>
  <si>
    <t>AP-2824</t>
  </si>
  <si>
    <t>Pinador 70 WG</t>
  </si>
  <si>
    <t>AP-2825</t>
  </si>
  <si>
    <t>35.70 gm/ha</t>
  </si>
  <si>
    <t>Rice | BPH | 35.70 gm/ha</t>
  </si>
  <si>
    <t>Tirondaz 20SL</t>
  </si>
  <si>
    <t>AP-2827</t>
  </si>
  <si>
    <t>Sharib Trade Sangstha (Pvt) Ltd.</t>
  </si>
  <si>
    <t>Zero 70WG</t>
  </si>
  <si>
    <t>AP-2828</t>
  </si>
  <si>
    <t>35 gm/ha</t>
  </si>
  <si>
    <t>Jute | Hairy caterpillar | 35 gm/ha</t>
  </si>
  <si>
    <t>Animire 200SL</t>
  </si>
  <si>
    <t>AP-2829</t>
  </si>
  <si>
    <t>Bean, Sugarcane</t>
  </si>
  <si>
    <t>0.5 ml/L of water; 1.0 Lha</t>
  </si>
  <si>
    <t>Bean | Aphid | 0.5 ml/L of water
Sugarcane | Termite | 1.0 Lha</t>
  </si>
  <si>
    <t>Moncut 20SL</t>
  </si>
  <si>
    <t>AP-2830</t>
  </si>
  <si>
    <t>1 ml/L of water; 125 ml/ha</t>
  </si>
  <si>
    <t>Potato | Aphid | 1 ml/L of water
Rice | BPH | 125 ml/ha</t>
  </si>
  <si>
    <t>Imigo 20SL</t>
  </si>
  <si>
    <t>AP-2831</t>
  </si>
  <si>
    <t>Ricomire 20WS</t>
  </si>
  <si>
    <t>AP-2832</t>
  </si>
  <si>
    <t>Consus 20 SL</t>
  </si>
  <si>
    <t>AP-2844</t>
  </si>
  <si>
    <t>Ultra 20SL</t>
  </si>
  <si>
    <t>AP-2846</t>
  </si>
  <si>
    <t>Agropid 20SL</t>
  </si>
  <si>
    <t>AP-2959</t>
  </si>
  <si>
    <t>125 ml/ha; 1.5 L/ha</t>
  </si>
  <si>
    <t>Rice | BPH | 125 ml/ha
Tea | Termite | 1.5 L/ha</t>
  </si>
  <si>
    <t>Tearon 20SL</t>
  </si>
  <si>
    <t>AP-3257</t>
  </si>
  <si>
    <t>EG-Suck 20SL</t>
  </si>
  <si>
    <t>AP-3333</t>
  </si>
  <si>
    <t>Best action 20SL</t>
  </si>
  <si>
    <t>AP-3335</t>
  </si>
  <si>
    <t>Best Harvest Chemicals</t>
  </si>
  <si>
    <t>Putin 20SL</t>
  </si>
  <si>
    <t>AP-3336</t>
  </si>
  <si>
    <t>Aphid, Jassid, Whitefly</t>
  </si>
  <si>
    <t>Cotton | Aphid, Jassid, Whitefly | 600 ml/ha</t>
  </si>
  <si>
    <t>Canopy 20SL</t>
  </si>
  <si>
    <t>AP-3337</t>
  </si>
  <si>
    <t>Shoddaprid 20 SL</t>
  </si>
  <si>
    <t>AP-3338</t>
  </si>
  <si>
    <t>Tea | Helopeltis | 250 ml/ha</t>
  </si>
  <si>
    <t>G-pirid 20SL</t>
  </si>
  <si>
    <t>AP-3339</t>
  </si>
  <si>
    <t>Imixtreme 20 SL</t>
  </si>
  <si>
    <t>AP-3340</t>
  </si>
  <si>
    <t>Rice, Jute, Potato</t>
  </si>
  <si>
    <t>BPH, Hairy caterpillar, Aphid</t>
  </si>
  <si>
    <t>125 ml/ha; 750 ml/ha; 0.5 ml/L of water</t>
  </si>
  <si>
    <t>Rice | BPH | 125 ml/ha
Jute | Hairy caterpillar | 750 ml/ha
Potato | Aphid | 0.5 ml/L of water</t>
  </si>
  <si>
    <t>Tatamid 20SL</t>
  </si>
  <si>
    <t>AP-3341</t>
  </si>
  <si>
    <t>Jute | Hairy caterpillar | 750 ml/ha</t>
  </si>
  <si>
    <t>Rajprid 20SL</t>
  </si>
  <si>
    <t>AP-3342</t>
  </si>
  <si>
    <t>Rajib Agro Chemicals Ltd</t>
  </si>
  <si>
    <t>1.50 L/ha; 0.5 ml/L of water</t>
  </si>
  <si>
    <t>Tea | Termite | 1.50 L/ha
Brinjal | Aphid | 0.5 ml/L of water</t>
  </si>
  <si>
    <t>Imicon 20SL</t>
  </si>
  <si>
    <t>AP-3344</t>
  </si>
  <si>
    <t>Pro-Imida 20 SL</t>
  </si>
  <si>
    <t>AP-3345</t>
  </si>
  <si>
    <t>0.5 ml/L of water; 1.50 L/ha</t>
  </si>
  <si>
    <t>Potato | Aphid | 0.5 ml/L of water
Tea | Termite | 1.50 L/ha</t>
  </si>
  <si>
    <t>Typid Gold 70WDG</t>
  </si>
  <si>
    <t>AP-3346</t>
  </si>
  <si>
    <t>0.2 g/L of water; 35.70 gm/ha</t>
  </si>
  <si>
    <t>Brinjal | Aphid | 0.2 g/L of water
Rice | BPH | 35.70 gm/ha</t>
  </si>
  <si>
    <t>Topamac 70WDG</t>
  </si>
  <si>
    <t>AP-3347</t>
  </si>
  <si>
    <t>B-prid 20SL</t>
  </si>
  <si>
    <t>AP-3348</t>
  </si>
  <si>
    <t>Brinjal, Country bean, Tea</t>
  </si>
  <si>
    <t>Brinjal | Aphid | 0.5 ml/L of water
Country bean | Aphid | 0.5 ml/L of water
Tea | Termite | 1.50 L/ha</t>
  </si>
  <si>
    <t>Admit 20SL</t>
  </si>
  <si>
    <t>AP-3349</t>
  </si>
  <si>
    <t>Imitrust 20SL</t>
  </si>
  <si>
    <t>AP-3350</t>
  </si>
  <si>
    <t>Eraprid 20SL</t>
  </si>
  <si>
    <t>AP-3352</t>
  </si>
  <si>
    <t>Conductor 70WG</t>
  </si>
  <si>
    <t>AP-3353</t>
  </si>
  <si>
    <t>Clotaf 20SL</t>
  </si>
  <si>
    <t>AP-3354</t>
  </si>
  <si>
    <t>Koridor 70WG</t>
  </si>
  <si>
    <t>AP-3356</t>
  </si>
  <si>
    <t>70 gm/ha</t>
  </si>
  <si>
    <t>Cotton | Aphid, Jassid | 70 gm/ha</t>
  </si>
  <si>
    <t>Flow Plus 70WDG</t>
  </si>
  <si>
    <t>AP-3357</t>
  </si>
  <si>
    <t>Jute | Hairy caterpillar | 100 gm/ha</t>
  </si>
  <si>
    <t>Tidal 70 WDG</t>
  </si>
  <si>
    <t>AP-3358</t>
  </si>
  <si>
    <t>100 gm/ha; 35.70 gm/ha</t>
  </si>
  <si>
    <t>Jute | Hairy caterpillar | 100 gm/ha
Rice | BPH | 35.70 gm/ha</t>
  </si>
  <si>
    <t>Mooncut 70WDG</t>
  </si>
  <si>
    <t>AP-3359</t>
  </si>
  <si>
    <t>Semprid 20SL</t>
  </si>
  <si>
    <t>AP-3360</t>
  </si>
  <si>
    <t>Demer 20SL</t>
  </si>
  <si>
    <t>AP-3361</t>
  </si>
  <si>
    <t>750 ml/ha; 125 ml/ha</t>
  </si>
  <si>
    <t>Jute | Hairy caterpillar | 750 ml/ha
Rice | BPH | 125 ml/ha</t>
  </si>
  <si>
    <t>Seaprid 20SL</t>
  </si>
  <si>
    <t>AP-3362</t>
  </si>
  <si>
    <t>Chinador 70WG</t>
  </si>
  <si>
    <t>AP-3363</t>
  </si>
  <si>
    <t>Tea | Termite | 500 g/ha</t>
  </si>
  <si>
    <t>Ampera 20SL</t>
  </si>
  <si>
    <t>AP-3364</t>
  </si>
  <si>
    <t>Rexiprid 70WDG</t>
  </si>
  <si>
    <t>AP-3365</t>
  </si>
  <si>
    <t>Cotton | Aphid, Jassid | 600 gm/ha</t>
  </si>
  <si>
    <t>Imida System 20SL</t>
  </si>
  <si>
    <t>AP-3736</t>
  </si>
  <si>
    <t>Hiprid 20SL</t>
  </si>
  <si>
    <t>AP-3738</t>
  </si>
  <si>
    <t>Imidacel 20SL</t>
  </si>
  <si>
    <t>AP-3739</t>
  </si>
  <si>
    <t>Pami 70WG</t>
  </si>
  <si>
    <t>AP-3740</t>
  </si>
  <si>
    <t>35.70 gm/ha; 0.2 g/L of water</t>
  </si>
  <si>
    <t>Rice | BPH | 35.70 gm/ha
Country bean | Aphid | 0.2 g/L of water</t>
  </si>
  <si>
    <t>Imvision 20SL</t>
  </si>
  <si>
    <t>AP-3742</t>
  </si>
  <si>
    <t>Toto 20SL</t>
  </si>
  <si>
    <t>AP-3744</t>
  </si>
  <si>
    <t>Brake 20SL</t>
  </si>
  <si>
    <t>AP-3746</t>
  </si>
  <si>
    <t>Tea | Termite | 1.50 L/ha
Cotton | Aphid | 500 ml/ha</t>
  </si>
  <si>
    <t>Innova Super Plus 70WG</t>
  </si>
  <si>
    <t>AP-3747</t>
  </si>
  <si>
    <t>Promise Plus 70WG</t>
  </si>
  <si>
    <t>AP-3748</t>
  </si>
  <si>
    <t>Radius Plus 70WG</t>
  </si>
  <si>
    <t>AP-3749</t>
  </si>
  <si>
    <t>Deltaprid 20SL</t>
  </si>
  <si>
    <t>AP-3750</t>
  </si>
  <si>
    <t>Imitex 20SL</t>
  </si>
  <si>
    <t>AP-3751</t>
  </si>
  <si>
    <t>Krishan Bandhu 20SL</t>
  </si>
  <si>
    <t>AP-3752</t>
  </si>
  <si>
    <t>Fiza 70WG</t>
  </si>
  <si>
    <t>AP-3753</t>
  </si>
  <si>
    <t>Cherry 70WG</t>
  </si>
  <si>
    <t>AP-3754</t>
  </si>
  <si>
    <t>Flame 20SL</t>
  </si>
  <si>
    <t>AP-3755</t>
  </si>
  <si>
    <t>Door 70WG</t>
  </si>
  <si>
    <t>AP-3756</t>
  </si>
  <si>
    <t>Anamda 70WG</t>
  </si>
  <si>
    <t>AP-3757</t>
  </si>
  <si>
    <t>Imacin 70WG</t>
  </si>
  <si>
    <t>AP-3759</t>
  </si>
  <si>
    <t>Imisun 20SL</t>
  </si>
  <si>
    <t>AP-3760</t>
  </si>
  <si>
    <t>Retmire 20SL</t>
  </si>
  <si>
    <t>AP-3761</t>
  </si>
  <si>
    <t>Imivax 48FS</t>
  </si>
  <si>
    <t>AP-3762</t>
  </si>
  <si>
    <t>Whitefly</t>
  </si>
  <si>
    <t>10 ml/kg seed</t>
  </si>
  <si>
    <t>Tomato | Whitefly | 10 ml/kg seed</t>
  </si>
  <si>
    <t>Holoda 20SL</t>
  </si>
  <si>
    <t>AP-3976</t>
  </si>
  <si>
    <t>Fotic 70WDG</t>
  </si>
  <si>
    <t>AP-3979</t>
  </si>
  <si>
    <t>35.70 g/ha</t>
  </si>
  <si>
    <t>Rice | BPH | 35.70 g/ha</t>
  </si>
  <si>
    <t>Y-chlor 70WG</t>
  </si>
  <si>
    <t>AP-3980</t>
  </si>
  <si>
    <t>Ashar Alo 70WG</t>
  </si>
  <si>
    <t>AP-3981</t>
  </si>
  <si>
    <t>Gender 70WDG</t>
  </si>
  <si>
    <t>AP-3984</t>
  </si>
  <si>
    <t>Gain Super 70WG</t>
  </si>
  <si>
    <t>AP-3985</t>
  </si>
  <si>
    <t>35.70 gm/ha; 2 g/L of water</t>
  </si>
  <si>
    <t>Rice | BPH | 35.70 gm/ha
Brinjal | Aphid | 2 g/L of water</t>
  </si>
  <si>
    <t>Imisafe 20SL</t>
  </si>
  <si>
    <t>AP-3986</t>
  </si>
  <si>
    <t>Pioneer Agro International</t>
  </si>
  <si>
    <t>AP-3987</t>
  </si>
  <si>
    <t>Bongshe Moharj &amp; Agro Technology</t>
  </si>
  <si>
    <t>Pitter 20SL</t>
  </si>
  <si>
    <t>AP-3988</t>
  </si>
  <si>
    <t>Limidor 70WG</t>
  </si>
  <si>
    <t>AP-3990</t>
  </si>
  <si>
    <t>Clofaf Plus 70WDG</t>
  </si>
  <si>
    <t>AP-4500</t>
  </si>
  <si>
    <t>Sonaprid 10WP</t>
  </si>
  <si>
    <t>AP-4501</t>
  </si>
  <si>
    <t>1.00 kg/ha; 0.5 g/L of water</t>
  </si>
  <si>
    <t>Rice | BPH | 1.00 kg/ha
Mango | Hopper | 0.5 g/L of water</t>
  </si>
  <si>
    <t>Sicofidor 70WDG</t>
  </si>
  <si>
    <t>AP-4502</t>
  </si>
  <si>
    <t>35.7 gm/ha; 2 g/L of water</t>
  </si>
  <si>
    <t>Rice | BPH | 35.7 gm/ha
Brinjal | Aphid | 2 g/L of water</t>
  </si>
  <si>
    <t>Amipid 70WDG</t>
  </si>
  <si>
    <t>AP-4503</t>
  </si>
  <si>
    <t>35.7 gm/ha</t>
  </si>
  <si>
    <t>Rice | BPH | 35.7 gm/ha</t>
  </si>
  <si>
    <t>Calculus 70WDG</t>
  </si>
  <si>
    <t>AP-4506</t>
  </si>
  <si>
    <t>Emilon 20SL</t>
  </si>
  <si>
    <t>AP-4507</t>
  </si>
  <si>
    <t>125 ml/ha; 550 ml/ha</t>
  </si>
  <si>
    <t>Rice | BPH | 125 ml/ha
Jute | Hairy caterpillar | 550 ml/ha</t>
  </si>
  <si>
    <t>Midu 20SL</t>
  </si>
  <si>
    <t>AP-4508</t>
  </si>
  <si>
    <t>Technopori 70WDG</t>
  </si>
  <si>
    <t>AP-4509</t>
  </si>
  <si>
    <t>Ranesa 70WDG</t>
  </si>
  <si>
    <t>AP-4510</t>
  </si>
  <si>
    <t>Hosacloprid 20SL</t>
  </si>
  <si>
    <t>AP-4511</t>
  </si>
  <si>
    <t>Hossain Enterprise C C Ltd / `</t>
  </si>
  <si>
    <t>Tea, Rice, Jute, Sugarcane</t>
  </si>
  <si>
    <t>Termite, BPH, Hairy caterpillar</t>
  </si>
  <si>
    <t>1.50 L/ha; 125 ml/ha; 500 ml/ha; 1.00 L/ha</t>
  </si>
  <si>
    <t>Tea | Termite | 1.50 L/ha
Rice | BPH | 125 ml/ha
Jute | Hairy caterpillar | 500 ml/ha
Sugarcane | Termite | 1.00 L/ha</t>
  </si>
  <si>
    <t>Canopy Plus 70WG</t>
  </si>
  <si>
    <t>AP-4938</t>
  </si>
  <si>
    <t>500 gm/ha; 35.70 gm/ha</t>
  </si>
  <si>
    <t>Tea | Termite | 500 gm/ha
Rice | BPH | 35.70 gm/ha</t>
  </si>
  <si>
    <t>Greenprid 70WDG</t>
  </si>
  <si>
    <t>AP-4939</t>
  </si>
  <si>
    <t>Cotton | Aphid | 70 gm/ha</t>
  </si>
  <si>
    <t>Smartprid 20SL</t>
  </si>
  <si>
    <t>AP-4940</t>
  </si>
  <si>
    <t>Sugarcane | Termite | 1.0 L/ha</t>
  </si>
  <si>
    <t>Coroprid 70WDG</t>
  </si>
  <si>
    <t>AP-4941</t>
  </si>
  <si>
    <t>Imidared 20SL</t>
  </si>
  <si>
    <t>AP-4942</t>
  </si>
  <si>
    <t>Tiddo Plus 70WDG</t>
  </si>
  <si>
    <t>AP-4943</t>
  </si>
  <si>
    <t>500 g/ha; 0.2 g/L of water; 35.70 g/ha</t>
  </si>
  <si>
    <t>Tea | Termite | 500 g/ha
Brinjal | Aphid | 0.2 g/L of water
Rice | BPH | 35.70 g/ha</t>
  </si>
  <si>
    <t>Amador 70WG</t>
  </si>
  <si>
    <t>AP-4944</t>
  </si>
  <si>
    <t>100 g/ha</t>
  </si>
  <si>
    <t>Jute | Hairy caterpillar | 100 g/ha</t>
  </si>
  <si>
    <t>Ble-King 70WG</t>
  </si>
  <si>
    <t>AP-4945</t>
  </si>
  <si>
    <t>100 g/ha; 0.5 g/L of water</t>
  </si>
  <si>
    <t>Jute | Hairy caterpillar | 100 g/ha
Bean | Aphid | 0.5 g/L of water</t>
  </si>
  <si>
    <t>Delcomite 70WDG</t>
  </si>
  <si>
    <t>AP-4946</t>
  </si>
  <si>
    <t>Pimidor 70WG</t>
  </si>
  <si>
    <t>AP-4947</t>
  </si>
  <si>
    <t>Aeropid Plus 70WG</t>
  </si>
  <si>
    <t>AP-4948</t>
  </si>
  <si>
    <t>0.5 g/L of water; 35.70 g/ha</t>
  </si>
  <si>
    <t>Bean | Aphid | 0.5 g/L of water
Rice | BPH | 35.70 g/ha</t>
  </si>
  <si>
    <t>Kalfa 20SL</t>
  </si>
  <si>
    <t>AP-4849</t>
  </si>
  <si>
    <t>0.5 ml/L of water; 125 ml/ha</t>
  </si>
  <si>
    <t>Bean | Aphid | 0.5 ml/L of water
Rice | BPH | 125 ml/ha</t>
  </si>
  <si>
    <t>Imimed 20SL</t>
  </si>
  <si>
    <t>AP-4950</t>
  </si>
  <si>
    <t>Inka 20SL</t>
  </si>
  <si>
    <t>AP-4951</t>
  </si>
  <si>
    <t>Mango, Jute</t>
  </si>
  <si>
    <t>Hopper, Hairy caterpillar</t>
  </si>
  <si>
    <t>Mango | Hopper | 1 ml/L of water
Jute | Hairy caterpillar | 500 ml/ha</t>
  </si>
  <si>
    <t>Trim 70WDG</t>
  </si>
  <si>
    <t>AP-5312</t>
  </si>
  <si>
    <t>Tea | Aphid | 100 gm/ha
Rice | BPH | 35.70 gm/ha</t>
  </si>
  <si>
    <t>Ranza 70WDG</t>
  </si>
  <si>
    <t>AP-5313</t>
  </si>
  <si>
    <t>Jago 70WDG</t>
  </si>
  <si>
    <t>AP-5315</t>
  </si>
  <si>
    <t>Limodor 70WDG</t>
  </si>
  <si>
    <t>AP-5316</t>
  </si>
  <si>
    <t>Dino 70WDG</t>
  </si>
  <si>
    <t>AP-5317</t>
  </si>
  <si>
    <t>Sinaprid 20SL</t>
  </si>
  <si>
    <t>AP-5318</t>
  </si>
  <si>
    <t>0.125 L/ha; 1.5 L/ha</t>
  </si>
  <si>
    <t>Rice | BPH | 0.125 L/ha
Tea | Termite | 1.5 L/ha</t>
  </si>
  <si>
    <t>Padami 70WDG</t>
  </si>
  <si>
    <t>AP-5319</t>
  </si>
  <si>
    <t>Bondhudor 70WP</t>
  </si>
  <si>
    <t>AP-5584</t>
  </si>
  <si>
    <t>G-Pride 20SL</t>
  </si>
  <si>
    <t>AP-5585</t>
  </si>
  <si>
    <t>Potato | Aphid | 0.5 ml/L of water</t>
  </si>
  <si>
    <t>Fend 70WDG</t>
  </si>
  <si>
    <t>AP-5586</t>
  </si>
  <si>
    <t>Natapid 70WG</t>
  </si>
  <si>
    <t>AP-5608</t>
  </si>
  <si>
    <t>MRS 2 Agro Chenicals</t>
  </si>
  <si>
    <t>Option 70WG</t>
  </si>
  <si>
    <t>AP-5676</t>
  </si>
  <si>
    <t>Imida Up 20SL</t>
  </si>
  <si>
    <t>AP-5677</t>
  </si>
  <si>
    <t>Key 70WG</t>
  </si>
  <si>
    <t>AP-5678</t>
  </si>
  <si>
    <t>30 gm/ha</t>
  </si>
  <si>
    <t>Jute | Hairy caterpillar | 30 gm/ha</t>
  </si>
  <si>
    <t>Lintap Plus 70WDG</t>
  </si>
  <si>
    <t>AP-5679</t>
  </si>
  <si>
    <t>Cotton | Ballworm | 70 gm/ha</t>
  </si>
  <si>
    <t>Icoprid 70WDG</t>
  </si>
  <si>
    <t>AP-5895</t>
  </si>
  <si>
    <t>Moonpid 70WG</t>
  </si>
  <si>
    <t>AP-5896</t>
  </si>
  <si>
    <t>Hairy caterpillar, Whitefly</t>
  </si>
  <si>
    <t>Jute | Hairy caterpillar | 35.70 g/ha
Cotton | Whitefly | 35.70 g/ha</t>
  </si>
  <si>
    <t>Percuss 70WDG</t>
  </si>
  <si>
    <t>AP-5897</t>
  </si>
  <si>
    <t>Ittadi 70WDG</t>
  </si>
  <si>
    <t>AP-5898</t>
  </si>
  <si>
    <t>Tez Plus 70WG</t>
  </si>
  <si>
    <t>AP-5899</t>
  </si>
  <si>
    <t>Jute | Hairy caterpillar | 35.70 g/ha</t>
  </si>
  <si>
    <t>Imidacloprid (10%) + Lambda Cyhalothrin (20%)</t>
  </si>
  <si>
    <t>Wicket 30SC</t>
  </si>
  <si>
    <t>AP-6035</t>
  </si>
  <si>
    <t>Imidacloprid (2%) + Monomehypo (58%)</t>
  </si>
  <si>
    <t>Golf 60WP</t>
  </si>
  <si>
    <t>AP-3735</t>
  </si>
  <si>
    <t>Rice | YSB | 1.00 kg/ha</t>
  </si>
  <si>
    <t>Imidacloprid (4%) + Cypermethrin (1%) (40%+40%) (40%+40%)</t>
  </si>
  <si>
    <t>Stroke 50EC</t>
  </si>
  <si>
    <t>AP-2770</t>
  </si>
  <si>
    <t>Bollworm, Whitefly</t>
  </si>
  <si>
    <t>800 ml/ha; 1 ml/L of water</t>
  </si>
  <si>
    <t>Cotton | Bollworm | 800 ml/ha
Brinjal | Whitefly | 1 ml/L of water</t>
  </si>
  <si>
    <t>Peskil Gold 20EC</t>
  </si>
  <si>
    <t>AP-4462</t>
  </si>
  <si>
    <t>200 ml/ha; 1 ml/L of water</t>
  </si>
  <si>
    <t>Tea | Helopeltis | 200 ml/ha
Mango | Hopper | 1 ml/L of water</t>
  </si>
  <si>
    <t>Imidacloprid (40%) + Ethiprole (40%)</t>
  </si>
  <si>
    <t>Glamore 80WG</t>
  </si>
  <si>
    <t>AP-3844</t>
  </si>
  <si>
    <t>Rice | BPH | 120 gm/ha</t>
  </si>
  <si>
    <t>Imidacloprid (40%) + Fipronil (40%)</t>
  </si>
  <si>
    <t>Fiprid 80WDG</t>
  </si>
  <si>
    <t>AP-5320</t>
  </si>
  <si>
    <t>200 gm/ha; 125 gm/ha</t>
  </si>
  <si>
    <t>Jute | Hairy caterpillar | 200 gm/ha
Rice | BPH | 125 gm/ha</t>
  </si>
  <si>
    <t>Fima 80WDG</t>
  </si>
  <si>
    <t>AP-5321</t>
  </si>
  <si>
    <t>200 gm/ha; 500 g/ha</t>
  </si>
  <si>
    <t>Jute | Hairy caterpillar | 200 gm/ha
Rice | BPH | 500 g/ha</t>
  </si>
  <si>
    <t>(40% + 10%) (40% + 10%) (40% + 10%) (40% + 10%) (40% + 10%)</t>
  </si>
  <si>
    <t>Ray 80WDG</t>
  </si>
  <si>
    <t>AP-5591</t>
  </si>
  <si>
    <t>75 gm/ha</t>
  </si>
  <si>
    <t>Rice | BPH | 75 gm/ha</t>
  </si>
  <si>
    <t>Procure Plus 80WDG</t>
  </si>
  <si>
    <t>AP-5592</t>
  </si>
  <si>
    <t>Midanil 50WDG</t>
  </si>
  <si>
    <t>AP-5593</t>
  </si>
  <si>
    <t>Imac 50WDG</t>
  </si>
  <si>
    <t>AP-5673</t>
  </si>
  <si>
    <t>Ballworm (Sported &amp; American)</t>
  </si>
  <si>
    <t>Cotton | Ballworm (Sported &amp; American) | 80 gm/ha</t>
  </si>
  <si>
    <t>Nipro 80WDG</t>
  </si>
  <si>
    <t>AP-5674</t>
  </si>
  <si>
    <t>90 gm/ha</t>
  </si>
  <si>
    <t>Tea | Helopeltis | 90 gm/ha</t>
  </si>
  <si>
    <t>Barmiter 80WDG</t>
  </si>
  <si>
    <t>AP-5675</t>
  </si>
  <si>
    <t>Tea | Helopeltis | 200 gm/ha</t>
  </si>
  <si>
    <t>Tomcat 80WDG</t>
  </si>
  <si>
    <t>AP-5980</t>
  </si>
  <si>
    <t>75 g/ha</t>
  </si>
  <si>
    <t>Rice | BPH | 75 g/ha</t>
  </si>
  <si>
    <t>Positron Plus 80WDG</t>
  </si>
  <si>
    <t>AP-5981</t>
  </si>
  <si>
    <t>Imidacloprid (5%) + Chlorpyrifos (20%)</t>
  </si>
  <si>
    <t>Dubble 25EC</t>
  </si>
  <si>
    <t>AP-3886</t>
  </si>
  <si>
    <t>Country Bean, Jute</t>
  </si>
  <si>
    <t>Aphid, Hairy caterpillar</t>
  </si>
  <si>
    <t>Country Bean | Aphid | 1 ml/L of water
Jute | Hairy caterpillar | 750 ml/ha</t>
  </si>
  <si>
    <t>Imidacloprid (15%) + Lamda Cyhalothrin (5%) (12.5% + 5%) (14.48% + 10.86%) (42% + 6%) (15% + 5%) (70% + 5%) 70% + 5%) (52.5% + 5%)</t>
  </si>
  <si>
    <t>Maxxis 20SC</t>
  </si>
  <si>
    <t>AP-4151</t>
  </si>
  <si>
    <t>Roland 20SC</t>
  </si>
  <si>
    <t>AP-4152</t>
  </si>
  <si>
    <t>Halomeet 17.5WDG</t>
  </si>
  <si>
    <t>AP-4955</t>
  </si>
  <si>
    <t>Align 20SC</t>
  </si>
  <si>
    <t>AP-4956</t>
  </si>
  <si>
    <t>90 ml/ha</t>
  </si>
  <si>
    <t>Cotton | Aphid | 90 ml/ha</t>
  </si>
  <si>
    <t>Imila 17.5WDG</t>
  </si>
  <si>
    <t>AP-4957</t>
  </si>
  <si>
    <t>Moxie 17.5WDG</t>
  </si>
  <si>
    <t>AP-4958</t>
  </si>
  <si>
    <t>Tea | Termite | 200 gm/ha</t>
  </si>
  <si>
    <t>Kachi 17.5WDG</t>
  </si>
  <si>
    <t>AP-4959</t>
  </si>
  <si>
    <t>Tea | Thrips | 500 gm/ha</t>
  </si>
  <si>
    <t>Kilter 25.35SC</t>
  </si>
  <si>
    <t>AP-4960</t>
  </si>
  <si>
    <t>Sera 48SC</t>
  </si>
  <si>
    <t>AP-5323</t>
  </si>
  <si>
    <t>M H Lamprid 20EC</t>
  </si>
  <si>
    <t>AP-5572</t>
  </si>
  <si>
    <t>0.4 ml/L of water</t>
  </si>
  <si>
    <t>Mango | Hopper | 0.4 ml/L of water</t>
  </si>
  <si>
    <t>Biran 75WDG</t>
  </si>
  <si>
    <t>AP-5573</t>
  </si>
  <si>
    <t>Tea | Helopeltis | 100 gm/ha</t>
  </si>
  <si>
    <t>Movecash 75WDG</t>
  </si>
  <si>
    <t>AP-5688</t>
  </si>
  <si>
    <t>25 gm/ha</t>
  </si>
  <si>
    <t>Rice | BPH | 25 gm/ha</t>
  </si>
  <si>
    <t>Topgate 57.5WDG</t>
  </si>
  <si>
    <t>AP-5689</t>
  </si>
  <si>
    <t>Rice | BPH | 300 gm/ha</t>
  </si>
  <si>
    <t>Indoxacarb (14.5%)</t>
  </si>
  <si>
    <t>Rav-Zoom 14.5SC</t>
  </si>
  <si>
    <t>AP-2603</t>
  </si>
  <si>
    <t>Bollworm, YSB</t>
  </si>
  <si>
    <t>1.00 L/ha; 0.5 L/ha</t>
  </si>
  <si>
    <t>Cotton | Bollworm | 1.00 L/ha
Rice | YSB | 0.5 L/ha</t>
  </si>
  <si>
    <t>Jaja 14.5SC</t>
  </si>
  <si>
    <t>AP-2985</t>
  </si>
  <si>
    <t>Indimax 14.5SC</t>
  </si>
  <si>
    <t>AP-3791</t>
  </si>
  <si>
    <t>Tower 15SC</t>
  </si>
  <si>
    <t>AP-3792</t>
  </si>
  <si>
    <t>Indica 14.5SC</t>
  </si>
  <si>
    <t>AP-4134</t>
  </si>
  <si>
    <t>450 ml/ha</t>
  </si>
  <si>
    <t>Cotton | Aphid, Jassid | 450 ml/ha</t>
  </si>
  <si>
    <t>15% 35% 30%</t>
  </si>
  <si>
    <t>Kingcarb 15SC</t>
  </si>
  <si>
    <t>AP-4980</t>
  </si>
  <si>
    <t>Forgun 14.5SC</t>
  </si>
  <si>
    <t>AP-4981</t>
  </si>
  <si>
    <t>U-Doxacarb 14.5SC</t>
  </si>
  <si>
    <t>AP-5526</t>
  </si>
  <si>
    <t>Tea | Red Spider Mite | 750 ml/ha</t>
  </si>
  <si>
    <t>Arocarb 35WDG</t>
  </si>
  <si>
    <t>AP-5527</t>
  </si>
  <si>
    <t>250 gm/ha; 0.2 g/L of water</t>
  </si>
  <si>
    <t>Tea | Helopeltis | 250 gm/ha
Brinjal | Aphid | 0.2 g/L of water</t>
  </si>
  <si>
    <t>Doxacarb 30WDG</t>
  </si>
  <si>
    <t>AP-5701</t>
  </si>
  <si>
    <t>1 g/ L of water</t>
  </si>
  <si>
    <t>Brinjal | Aphid | 1 g/ L of water</t>
  </si>
  <si>
    <t>Polaris 14.5SC</t>
  </si>
  <si>
    <t>AP-5702</t>
  </si>
  <si>
    <t>Ogni 14.5SC</t>
  </si>
  <si>
    <t>AP-5703</t>
  </si>
  <si>
    <t>Cotton | Bollworm | 500 ml/ha</t>
  </si>
  <si>
    <t>Farmcarb 15SC</t>
  </si>
  <si>
    <t>AP-6000</t>
  </si>
  <si>
    <t>Cotton | Ball worm | 1.0 L/ha</t>
  </si>
  <si>
    <t>Indoxacarb (14.5%) Acetamiprid (7.7%)</t>
  </si>
  <si>
    <t>Indoxiprid 22.2SC</t>
  </si>
  <si>
    <t>AP-5698</t>
  </si>
  <si>
    <t>Isoprocarb (MIPC)</t>
  </si>
  <si>
    <t>Sopcin 75WP</t>
  </si>
  <si>
    <t>AP-285</t>
  </si>
  <si>
    <t>1.30 kg/ha</t>
  </si>
  <si>
    <t>Rice | Hispa | 1.30 kg/ha
Rice | BPH | 1.30 kg/ha</t>
  </si>
  <si>
    <t>Mipcin 75WP</t>
  </si>
  <si>
    <t>AP-539</t>
  </si>
  <si>
    <t>Rice, Banana, Mango</t>
  </si>
  <si>
    <t>Hispa,GLH,Thrips, Leaf roller&amp;Rice bug, BPH, WBGH and Mealy bug, Beetle, Leaf hopper</t>
  </si>
  <si>
    <t>1.12 kg/ha; 1.30 kg/ha; 2 g/L of water; 1.5 g/L of water</t>
  </si>
  <si>
    <t>Rice | Hispa,GLH,Thrips, Leaf roller&amp;Rice bug | 1.12 kg/ha
Rice | BPH, WBGH and Mealy bug | 1.30 kg/ha
Banana | Beetle | 2 g/L of water
Mango | Leaf hopper | 1.5 g/L of water</t>
  </si>
  <si>
    <t>Suncin 75WP</t>
  </si>
  <si>
    <t>AP-1479</t>
  </si>
  <si>
    <t>1.12 kg/ha</t>
  </si>
  <si>
    <t>Rice | Hispa | 1.12 kg/ha</t>
  </si>
  <si>
    <t>Waprocarb 75WP</t>
  </si>
  <si>
    <t>AP-2967</t>
  </si>
  <si>
    <t>Rice | BPH | 1.30 kg/ha</t>
  </si>
  <si>
    <t>Smooth 75WP</t>
  </si>
  <si>
    <t>AP-2978</t>
  </si>
  <si>
    <t>Rice | Hispa | 1.30 kg/ha</t>
  </si>
  <si>
    <t>Wind 75WP</t>
  </si>
  <si>
    <t>AP-2979</t>
  </si>
  <si>
    <t>Chabi 75WP</t>
  </si>
  <si>
    <t>AP-2980</t>
  </si>
  <si>
    <t>Lambda Cyhalothrin</t>
  </si>
  <si>
    <t>Karate 2.5EC</t>
  </si>
  <si>
    <t>AP-263</t>
  </si>
  <si>
    <t>Jute, Mango, Maize, Potato, Tea</t>
  </si>
  <si>
    <t>Hairy caterpillar, Hopper, Cutworm, Mosquito bug</t>
  </si>
  <si>
    <t>1 ml/L of water; 0.75 L/ha; 500 ml/ha</t>
  </si>
  <si>
    <t>Jute | Hairy caterpillar | 1 ml/L of water
Mango | Hopper | 1 ml/L of water
Maize | Cutworm | 0.75 L/ha
Potato | Cutworm | 0.75 L/ha
Tea | Mosquito bug | 500 ml/ha</t>
  </si>
  <si>
    <t>Fighter 2.5EC</t>
  </si>
  <si>
    <t>AP-502</t>
  </si>
  <si>
    <t>Mango, Tea, Potato</t>
  </si>
  <si>
    <t>Hopper, Helopeltis, Cutworm</t>
  </si>
  <si>
    <t>1 ml/L of water; 500 ml/ha; 1.50 ml/L of water</t>
  </si>
  <si>
    <t>Mango | Hopper | 1 ml/L of water
Tea | Helopeltis | 500 ml/ha
Potato | Cutworm | 1.50 ml/L of water</t>
  </si>
  <si>
    <t>Reeva 2.5EC</t>
  </si>
  <si>
    <t>AP-520</t>
  </si>
  <si>
    <t>Mango, Brinjal, Jute, Tea, Potato</t>
  </si>
  <si>
    <t>Hopper, Shoot &amp; fruit borer, Hairy caterpillar, Helopeltis, Cutworm</t>
  </si>
  <si>
    <t>1 ml/L of water; 0.5 ml/L of water; 1.25 L/ha; 500 ml/ha; 750 ml/ha</t>
  </si>
  <si>
    <t>Mango | Hopper | 1 ml/L of water
Brinjal | Shoot &amp; fruit borer | 0.5 ml/L of water
Jute | Hairy caterpillar | 1.25 L/ha
Tea | Helopeltis | 500 ml/ha
Potato | Cutworm | 750 ml/ha</t>
  </si>
  <si>
    <t>Message 2.5EC</t>
  </si>
  <si>
    <t>AP-638</t>
  </si>
  <si>
    <t>1 ml/L of water; 500 ml/ha; 750 ml/ha</t>
  </si>
  <si>
    <t>Mango | Hopper | 1 ml/L of water
Tea | Helopeltis | 500 ml/ha
Potato | Cutworm | 750 ml/ha</t>
  </si>
  <si>
    <t>Jubas 2.5EC</t>
  </si>
  <si>
    <t>AP-874</t>
  </si>
  <si>
    <t>Jute, Potato</t>
  </si>
  <si>
    <t>Hairy caterpillar, Cutworm</t>
  </si>
  <si>
    <t>550 ml/ha; 1.50 ml/L of water</t>
  </si>
  <si>
    <t>Jute | Hairy caterpillar | 550 ml/ha
Potato | Cutworm | 1.50 ml/L of water</t>
  </si>
  <si>
    <t>Karathrin 2.5EC</t>
  </si>
  <si>
    <t>AP-947</t>
  </si>
  <si>
    <t>1 ml/L of water; 400 ml/ha</t>
  </si>
  <si>
    <t>Brinjal | Aphid | 1 ml/L of water
Jute | Hairy caterpillar | 400 ml/ha</t>
  </si>
  <si>
    <t>Antik 2.5EC</t>
  </si>
  <si>
    <t>AP-1055</t>
  </si>
  <si>
    <t>Searat 2.5EC</t>
  </si>
  <si>
    <t>AP-1113</t>
  </si>
  <si>
    <t>Hairy caterpillar, Hopper</t>
  </si>
  <si>
    <t>Jute | Hairy caterpillar | 1.00 L/ha
Mango | Hopper | 1 ml/L of water</t>
  </si>
  <si>
    <t>Boss 2.5EC</t>
  </si>
  <si>
    <t>AP-1129</t>
  </si>
  <si>
    <t>Kriket 2.5EC</t>
  </si>
  <si>
    <t>AP-1186</t>
  </si>
  <si>
    <t>Helopeltis (Mosquito bug), Aphid</t>
  </si>
  <si>
    <t>Tea | Helopeltis (Mosquito bug) | 500 ml/ha
Bean | Aphid | 1 ml/L of water</t>
  </si>
  <si>
    <t>King Lambda 2.5EC</t>
  </si>
  <si>
    <t>AP-1187</t>
  </si>
  <si>
    <t>Tea, Jute, Bean</t>
  </si>
  <si>
    <t>Helopeltis (Mosquito bug), Hairy Caterpillar, Aphid</t>
  </si>
  <si>
    <t>Tea | Helopeltis (Mosquito bug) | 500 ml/ha
Jute | Hairy Caterpillar | 1.00 L/ha
Bean | Aphid | 1 ml/L of water</t>
  </si>
  <si>
    <t>Tiger 2.5 EC</t>
  </si>
  <si>
    <t>AP-1233</t>
  </si>
  <si>
    <t>Helopeltis (Mosquito bug), Cutworm</t>
  </si>
  <si>
    <t>500 ml/ha; 1.50 ml/L of water</t>
  </si>
  <si>
    <t>Tea | Helopeltis (Mosquito bug) | 500 ml/ha
Potato | Cutworm | 1.50 ml/L of water</t>
  </si>
  <si>
    <t>Ninja 2.5EC</t>
  </si>
  <si>
    <t>AP-1247</t>
  </si>
  <si>
    <t>Jassid, Aphid, Bollworm</t>
  </si>
  <si>
    <t>Cotton | Jassid, Aphid, Bollworm | 600 ml/ha</t>
  </si>
  <si>
    <t>Cyclone 2.5EC</t>
  </si>
  <si>
    <t>AP-1280</t>
  </si>
  <si>
    <t>Tea, Bean, Mango, Potato</t>
  </si>
  <si>
    <t>Helopeltis (Mosquito bug), Aphid, Hopper, Cutworm</t>
  </si>
  <si>
    <t>500 mlha; 1 ml/L of water; 1.50 ml/L of water</t>
  </si>
  <si>
    <t>Tea | Helopeltis (Mosquito bug) | 500 mlha
Bean | Aphid | 1 ml/L of water
Mango | Hopper | 1 ml/L of water
Potato | Cutworm | 1.50 ml/L of water</t>
  </si>
  <si>
    <t>Akik 2.5EC</t>
  </si>
  <si>
    <t>AP-1317</t>
  </si>
  <si>
    <t>Bicorate 2.5EC</t>
  </si>
  <si>
    <t>AP-1327</t>
  </si>
  <si>
    <t>Focker 2.5EC</t>
  </si>
  <si>
    <t>AP-1328</t>
  </si>
  <si>
    <t>Heera 2.5EC</t>
  </si>
  <si>
    <t>AP-1340</t>
  </si>
  <si>
    <t>Laminor 2.5EC</t>
  </si>
  <si>
    <t>AP-1341</t>
  </si>
  <si>
    <t>He-man 2.5EC</t>
  </si>
  <si>
    <t>AP-1343</t>
  </si>
  <si>
    <t>Cutworm, Hopper</t>
  </si>
  <si>
    <t>1.50 ml/L of water; 1 ml/L of water</t>
  </si>
  <si>
    <t>Potato | Cutworm | 1.50 ml/L of water
Mango | Hopper | 1 ml/L of water</t>
  </si>
  <si>
    <t>Boxer 2.5EC</t>
  </si>
  <si>
    <t>AP-1404</t>
  </si>
  <si>
    <t>Helopeltis, Caterpillar</t>
  </si>
  <si>
    <t>Tea | Helopeltis | 500 ml/ha
Jute | Caterpillar | 1.00 L/ha</t>
  </si>
  <si>
    <t>Amakil 2.5EC</t>
  </si>
  <si>
    <t>AP-1415</t>
  </si>
  <si>
    <t>Super Lambda 2.5EC</t>
  </si>
  <si>
    <t>AP-1422</t>
  </si>
  <si>
    <t>Helopeltis, Jassid, Aphid</t>
  </si>
  <si>
    <t>Tea | Helopeltis | 500 ml/ha
Cotton | Jassid, Aphid | 500 ml/ha</t>
  </si>
  <si>
    <t>Seathrin 2.5EC</t>
  </si>
  <si>
    <t>AP-1521</t>
  </si>
  <si>
    <t>Fighter Plus 2.5EC</t>
  </si>
  <si>
    <t>AP-1522</t>
  </si>
  <si>
    <t>Kick 2.5EC</t>
  </si>
  <si>
    <t>AP-1753</t>
  </si>
  <si>
    <t>Vajra 2.5EC</t>
  </si>
  <si>
    <t>AP-1754</t>
  </si>
  <si>
    <t>Tabu 2.5EC</t>
  </si>
  <si>
    <t>AP-1570</t>
  </si>
  <si>
    <t>Fight 2.5EC</t>
  </si>
  <si>
    <t>AP-1792</t>
  </si>
  <si>
    <t>Moya 2.5EC</t>
  </si>
  <si>
    <t>AP-1793</t>
  </si>
  <si>
    <t>Topset 2. EC</t>
  </si>
  <si>
    <t>AP-1794</t>
  </si>
  <si>
    <t>AP-1795</t>
  </si>
  <si>
    <t>Top Top 2.5EC</t>
  </si>
  <si>
    <t>AP-1797</t>
  </si>
  <si>
    <t>Leo 2.5EC</t>
  </si>
  <si>
    <t>AP-1937</t>
  </si>
  <si>
    <t>Target 2.5EC</t>
  </si>
  <si>
    <t>AP-1956</t>
  </si>
  <si>
    <t>Lembor 2.5EC</t>
  </si>
  <si>
    <t>AP-1959</t>
  </si>
  <si>
    <t>Mango, Bean</t>
  </si>
  <si>
    <t>Hopper, Aphid</t>
  </si>
  <si>
    <t>Mango | Hopper | 1 ml/L of water
Bean | Aphid | 1 ml/L of water</t>
  </si>
  <si>
    <t>Rota 2.5EC</t>
  </si>
  <si>
    <t>AP-1960</t>
  </si>
  <si>
    <t>Potato | Cutworm | 1.50 ml/L of water</t>
  </si>
  <si>
    <t>Ibalambda 2.5EC</t>
  </si>
  <si>
    <t>AP-1961</t>
  </si>
  <si>
    <t>Lambda Fresh 2.5EC</t>
  </si>
  <si>
    <t>AP-2262</t>
  </si>
  <si>
    <t>Keyart 2.5EC</t>
  </si>
  <si>
    <t>AP-2263</t>
  </si>
  <si>
    <t>Idole 2.5EC</t>
  </si>
  <si>
    <t>AP-2264</t>
  </si>
  <si>
    <t>Pilothrin 2.5EC</t>
  </si>
  <si>
    <t>AP-2265</t>
  </si>
  <si>
    <t>Brinjal | Aphid | 1 ml/L of water
Tea | Helopeltis | 500 ml/ha</t>
  </si>
  <si>
    <t>Constant 2.5EC</t>
  </si>
  <si>
    <t>AP-2266</t>
  </si>
  <si>
    <t>Manza 2.5EC</t>
  </si>
  <si>
    <t>AP-2335</t>
  </si>
  <si>
    <t>Agrostar 2.5EC</t>
  </si>
  <si>
    <t>AP-2336</t>
  </si>
  <si>
    <t>Macthrin 2.5EC</t>
  </si>
  <si>
    <t>AP-2337</t>
  </si>
  <si>
    <t>Allion 2.5EC</t>
  </si>
  <si>
    <t>AP-2338</t>
  </si>
  <si>
    <t>Anirate 2.5EC</t>
  </si>
  <si>
    <t>AP-2339</t>
  </si>
  <si>
    <t>Cutworm, Helopeltis</t>
  </si>
  <si>
    <t>1.50 ml/L of water; 500 ml/ha</t>
  </si>
  <si>
    <t>Potato | Cutworm | 1.50 ml/L of water
Tea | Helopeltis | 500 ml/ha</t>
  </si>
  <si>
    <t>Bicon 2.5EC</t>
  </si>
  <si>
    <t>AP-2341</t>
  </si>
  <si>
    <t>Siam Crop Care / Limon Agro</t>
  </si>
  <si>
    <t>b-Lambda 2.5EC</t>
  </si>
  <si>
    <t>AP-2740</t>
  </si>
  <si>
    <t>Dinamind 2.5EC</t>
  </si>
  <si>
    <t>AP-2742</t>
  </si>
  <si>
    <t>Bitter 2.5 EC</t>
  </si>
  <si>
    <t>AP-2743</t>
  </si>
  <si>
    <t>Ratina Agrochemicals</t>
  </si>
  <si>
    <t>Jonaki 2.5EC</t>
  </si>
  <si>
    <t>AP-2744</t>
  </si>
  <si>
    <t>Fai-red 2.5EC</t>
  </si>
  <si>
    <t>AP-2745</t>
  </si>
  <si>
    <t>Lamka 2.5EC</t>
  </si>
  <si>
    <t>AP-2746</t>
  </si>
  <si>
    <t>Shogun 2.5EC</t>
  </si>
  <si>
    <t>AP-2747</t>
  </si>
  <si>
    <t>Digilambda 2.5EC</t>
  </si>
  <si>
    <t>AP-3021</t>
  </si>
  <si>
    <t>Eva Lambda 2.5EC</t>
  </si>
  <si>
    <t>AP-3023</t>
  </si>
  <si>
    <t>Lambdacid 2.5 EC</t>
  </si>
  <si>
    <t>AP-3024</t>
  </si>
  <si>
    <t>Twitter 2.5EC</t>
  </si>
  <si>
    <t>AP-3025</t>
  </si>
  <si>
    <t>Lambda Green 2.5EC</t>
  </si>
  <si>
    <t>AP-3026</t>
  </si>
  <si>
    <t>Panel 2.5EC</t>
  </si>
  <si>
    <t>AP-3027</t>
  </si>
  <si>
    <t>Bean | Country bean | 1 ml/L of water</t>
  </si>
  <si>
    <t>G-Lambda 2.5EC</t>
  </si>
  <si>
    <t>AP-3028</t>
  </si>
  <si>
    <t>Phenox 2.5EC</t>
  </si>
  <si>
    <t>AP-3029</t>
  </si>
  <si>
    <t>Nebula 2.5EC</t>
  </si>
  <si>
    <t>AP-3030</t>
  </si>
  <si>
    <t>Maxcure 2.5 EC</t>
  </si>
  <si>
    <t>AP-3033</t>
  </si>
  <si>
    <t>Heritin 2.5EC</t>
  </si>
  <si>
    <t>AP-3035</t>
  </si>
  <si>
    <t>Shadow 2.5EC</t>
  </si>
  <si>
    <t>AP-3037</t>
  </si>
  <si>
    <t>Lilydon 2.5EC</t>
  </si>
  <si>
    <t>AP-3038</t>
  </si>
  <si>
    <t>Hazilam 2.5EC</t>
  </si>
  <si>
    <t>AP-3391</t>
  </si>
  <si>
    <t>Jaguar 2.5 EC</t>
  </si>
  <si>
    <t>AP-3392</t>
  </si>
  <si>
    <t>Nikita 2.5EC</t>
  </si>
  <si>
    <t>AP-3394</t>
  </si>
  <si>
    <t>Lamsolve 2.5EC</t>
  </si>
  <si>
    <t>AP-3395</t>
  </si>
  <si>
    <t>Lasso 2.5EC</t>
  </si>
  <si>
    <t>AP-3396</t>
  </si>
  <si>
    <t>Shilmon 2.5 EC</t>
  </si>
  <si>
    <t>AP-3397</t>
  </si>
  <si>
    <t>Ostrich Agro Chemicals Ltd</t>
  </si>
  <si>
    <t>Delco Lambda 2.5EC</t>
  </si>
  <si>
    <t>AP-3399</t>
  </si>
  <si>
    <t>Zee Serf 2.5EC</t>
  </si>
  <si>
    <t>AP-3400</t>
  </si>
  <si>
    <t>Neda 2.5EC</t>
  </si>
  <si>
    <t>AP-3401</t>
  </si>
  <si>
    <t>Save Lambda 2.5EC</t>
  </si>
  <si>
    <t>AP-3402</t>
  </si>
  <si>
    <t>Flag 2.5 EC</t>
  </si>
  <si>
    <t>AP-3403</t>
  </si>
  <si>
    <t>Wheel 2.5EC</t>
  </si>
  <si>
    <t>AP-3404</t>
  </si>
  <si>
    <t>Tea | Aphid | 500 ml/ha</t>
  </si>
  <si>
    <t>Wincy 2.5EC</t>
  </si>
  <si>
    <t>AP-3807</t>
  </si>
  <si>
    <t>Equity 2.5EC</t>
  </si>
  <si>
    <t>AP-3809</t>
  </si>
  <si>
    <t>Exit 2.5EC</t>
  </si>
  <si>
    <t>AP-3810</t>
  </si>
  <si>
    <t>Effect 2.5EC</t>
  </si>
  <si>
    <t>AP-3811</t>
  </si>
  <si>
    <t>Lamvix 2.5EC</t>
  </si>
  <si>
    <t>AP-3812</t>
  </si>
  <si>
    <t>Fairtech 2.5EC</t>
  </si>
  <si>
    <t>AP-3813</t>
  </si>
  <si>
    <t>Night Queen 2.5EC</t>
  </si>
  <si>
    <t>AP-3815</t>
  </si>
  <si>
    <t>Silva Plus 5EC</t>
  </si>
  <si>
    <t>AP-3816</t>
  </si>
  <si>
    <t>Hally 2.5EC</t>
  </si>
  <si>
    <t>AP-3818</t>
  </si>
  <si>
    <t>Koren-T 2.5EC</t>
  </si>
  <si>
    <t>AP-3819</t>
  </si>
  <si>
    <t>SB-Tas 2.5EC</t>
  </si>
  <si>
    <t>AP-3820</t>
  </si>
  <si>
    <t>Pointer 2.5EC</t>
  </si>
  <si>
    <t>AP-3821</t>
  </si>
  <si>
    <t>Bestlam 2.5EC</t>
  </si>
  <si>
    <t>AP-4053</t>
  </si>
  <si>
    <t>Lister 2.5EC</t>
  </si>
  <si>
    <t>AP-4056</t>
  </si>
  <si>
    <t>Tradelam 5EC</t>
  </si>
  <si>
    <t>AP-4058</t>
  </si>
  <si>
    <t>M U Trading Corporation</t>
  </si>
  <si>
    <t>250 ml</t>
  </si>
  <si>
    <t>Tea | Helopeltis | 250 ml</t>
  </si>
  <si>
    <t>Pai-Lambda 2.5EC</t>
  </si>
  <si>
    <t>AP-4059</t>
  </si>
  <si>
    <t>Featlam 5EC</t>
  </si>
  <si>
    <t>AP-4060</t>
  </si>
  <si>
    <t>Shan 2.5EC</t>
  </si>
  <si>
    <t>AP-4063</t>
  </si>
  <si>
    <t>Larsico 2.8EC</t>
  </si>
  <si>
    <t>AP-4064</t>
  </si>
  <si>
    <t>Termites, Hopper</t>
  </si>
  <si>
    <t>4.00 Litre/ha; 1 ml/L of water</t>
  </si>
  <si>
    <t>Tea | Termites | 4.00 Litre/ha
Mango | Hopper | 1 ml/L of water</t>
  </si>
  <si>
    <t>Enter 2.5EC</t>
  </si>
  <si>
    <t>AP-4467</t>
  </si>
  <si>
    <t>Mango | Hopper, Helopeltis | 1 ml/L of water</t>
  </si>
  <si>
    <t>Marlo 2.5EC</t>
  </si>
  <si>
    <t>AP-4472</t>
  </si>
  <si>
    <t>Tea | - | 500 ml/ha</t>
  </si>
  <si>
    <t>Very Fast 5EC</t>
  </si>
  <si>
    <t>AP-4474</t>
  </si>
  <si>
    <t>D-Lam 5EC</t>
  </si>
  <si>
    <t>AP-4475</t>
  </si>
  <si>
    <t>250 ml/ha; 0.5 ml/L of water</t>
  </si>
  <si>
    <t>Tea | Aphid | 250 ml/ha
Brinjal | Aphid | 0.5 ml/L of water</t>
  </si>
  <si>
    <t>Halo 2.5EC</t>
  </si>
  <si>
    <t>AP-4476</t>
  </si>
  <si>
    <t>250 ml/ha; 1 ml/L of water</t>
  </si>
  <si>
    <t>Tea | Aphid | 250 ml/ha
Mango | Hopper | 1 ml/L of water</t>
  </si>
  <si>
    <t>Jubas-D 5EC</t>
  </si>
  <si>
    <t>AP-4477</t>
  </si>
  <si>
    <t>Halotouch 2.5EC</t>
  </si>
  <si>
    <t>AP-4896</t>
  </si>
  <si>
    <t>Radon 2.5EC</t>
  </si>
  <si>
    <t>AP-4897</t>
  </si>
  <si>
    <t>Thikin 2.5EC</t>
  </si>
  <si>
    <t>AP-4898</t>
  </si>
  <si>
    <t>Misigun 2.5EC</t>
  </si>
  <si>
    <t>AP-4899</t>
  </si>
  <si>
    <t>Manza Plus 2.5EC</t>
  </si>
  <si>
    <t>AP-4900</t>
  </si>
  <si>
    <t>Agrote 2.5EC</t>
  </si>
  <si>
    <t>AP-4901</t>
  </si>
  <si>
    <t>Super Fighter 2.5EC</t>
  </si>
  <si>
    <t>AP-4902</t>
  </si>
  <si>
    <t>Sarzon 2.5EC</t>
  </si>
  <si>
    <t>AP-4904</t>
  </si>
  <si>
    <t>Padma Lamda 5EC</t>
  </si>
  <si>
    <t>AP-5329</t>
  </si>
  <si>
    <t>Sharithrin 2.5EC</t>
  </si>
  <si>
    <t>AP-5331</t>
  </si>
  <si>
    <t>Atlus 5EC</t>
  </si>
  <si>
    <t>AP-5332</t>
  </si>
  <si>
    <t>Lamiron 5EC</t>
  </si>
  <si>
    <t>AP-5333</t>
  </si>
  <si>
    <t>Porbot 2.5EC</t>
  </si>
  <si>
    <t>AP-5334</t>
  </si>
  <si>
    <t>Lamdex Extra 2.5EC</t>
  </si>
  <si>
    <t>AP-5336</t>
  </si>
  <si>
    <t>Fighter Max 5EC</t>
  </si>
  <si>
    <t>AP-5337</t>
  </si>
  <si>
    <t>Tea | Helopeltis | 250 ml/ha
Mango | Hopper | 1 ml/L of water</t>
  </si>
  <si>
    <t>M-Halathrin 2.5EC</t>
  </si>
  <si>
    <t>AP-5338</t>
  </si>
  <si>
    <t>Shoilam 2.5EC</t>
  </si>
  <si>
    <t>AP-5339</t>
  </si>
  <si>
    <t>Loc 2.5EC</t>
  </si>
  <si>
    <t>AP-5488</t>
  </si>
  <si>
    <t>A R AgroChem (BD) Ltd.</t>
  </si>
  <si>
    <t>1.25 L</t>
  </si>
  <si>
    <t>Jute | Hairy Caterpillar | 1.25 L</t>
  </si>
  <si>
    <t>Panic 2.5EC</t>
  </si>
  <si>
    <t>AP-5489</t>
  </si>
  <si>
    <t>Jute | Hairy Caterpillar | 200 ml/ha</t>
  </si>
  <si>
    <t>Wormkiller 2.5EC</t>
  </si>
  <si>
    <t>AP-5490</t>
  </si>
  <si>
    <t>1.5 ml/L of water; 500 ml/ha</t>
  </si>
  <si>
    <t>Potato | Cutworm | 1.5 ml/L of water
Tea | Helopeltis | 500 ml/ha</t>
  </si>
  <si>
    <t>Judan 2.5EC</t>
  </si>
  <si>
    <t>AP-5491</t>
  </si>
  <si>
    <t>Potato | Cutworm | 1.5 ml/L of water</t>
  </si>
  <si>
    <t>Farm Snap 2.5EC</t>
  </si>
  <si>
    <t>AP-5492</t>
  </si>
  <si>
    <t>Aim Super Plus 5EC</t>
  </si>
  <si>
    <t>AP-5493</t>
  </si>
  <si>
    <t>Java 2.5EC</t>
  </si>
  <si>
    <t>AP-5494</t>
  </si>
  <si>
    <t>Sword 2.5EC</t>
  </si>
  <si>
    <t>AP-5495</t>
  </si>
  <si>
    <t>Naturedin 5EC</t>
  </si>
  <si>
    <t>AP-5496</t>
  </si>
  <si>
    <t>Nature Care Manufacturing Industries Ltd</t>
  </si>
  <si>
    <t>Lindof 2.5EC</t>
  </si>
  <si>
    <t>AP-5539</t>
  </si>
  <si>
    <t>Jassid</t>
  </si>
  <si>
    <t>Cotton | Jassid | 500 ml/ha</t>
  </si>
  <si>
    <t>Hilam 2.5EC</t>
  </si>
  <si>
    <t>AP-5551</t>
  </si>
  <si>
    <t>Jute | Hairy Caterpillar | 200 ml/ha
Mango | Hopper | 1 ml/L of water</t>
  </si>
  <si>
    <t>Seed Lambda 2.5EC</t>
  </si>
  <si>
    <t>AP-5559</t>
  </si>
  <si>
    <t>Seed Bangla Agro Ltd.</t>
  </si>
  <si>
    <t>Samgurd 5EC</t>
  </si>
  <si>
    <t>AP-5564</t>
  </si>
  <si>
    <t>Pulsar 2.5EC</t>
  </si>
  <si>
    <t>AP-5597</t>
  </si>
  <si>
    <t>Rupom 2.5EC</t>
  </si>
  <si>
    <t>AP-5598</t>
  </si>
  <si>
    <t>C-Pure 2.5EC</t>
  </si>
  <si>
    <t>AP-5599</t>
  </si>
  <si>
    <t>Hossathrin 2.5EC</t>
  </si>
  <si>
    <t>AP-5600</t>
  </si>
  <si>
    <t>Evic Plus 5EC</t>
  </si>
  <si>
    <t>AP-5601</t>
  </si>
  <si>
    <t>Ballworm, Hopper</t>
  </si>
  <si>
    <t>Cotton | Ballworm | 500 ml/ha
Mango | Hopper | 1 ml/L of water</t>
  </si>
  <si>
    <t>Perkon 2.5EC</t>
  </si>
  <si>
    <t>AP-5602</t>
  </si>
  <si>
    <t>Cotton | Ball worm | 500 ml/ha</t>
  </si>
  <si>
    <t>Jubas Plus 2.5EC</t>
  </si>
  <si>
    <t>Vigtwo 10WP</t>
  </si>
  <si>
    <t>AP-5612</t>
  </si>
  <si>
    <t>Cotton | Mites | 300 gm/ha</t>
  </si>
  <si>
    <t>KB-Lam 2.5EC</t>
  </si>
  <si>
    <t>AP-5765</t>
  </si>
  <si>
    <t>Hasna 2.5EC</t>
  </si>
  <si>
    <t>AP-5766</t>
  </si>
  <si>
    <t>KG Shipahi 2.5EC</t>
  </si>
  <si>
    <t>AP-5767</t>
  </si>
  <si>
    <t>MMI Subas 2.5EC</t>
  </si>
  <si>
    <t>AP-5768</t>
  </si>
  <si>
    <t>Uniban 2.5EC</t>
  </si>
  <si>
    <t>AP-5769</t>
  </si>
  <si>
    <t>Lambdathrin 2.5EC</t>
  </si>
  <si>
    <t>AP-5770</t>
  </si>
  <si>
    <t>H-Lam 2.5EC</t>
  </si>
  <si>
    <t>AP-5771</t>
  </si>
  <si>
    <t>Shera Lam 2.5EC</t>
  </si>
  <si>
    <t>AP-5772</t>
  </si>
  <si>
    <t>Pecker 8ME</t>
  </si>
  <si>
    <t>AP-5773</t>
  </si>
  <si>
    <t>Blow Star 2.5EC</t>
  </si>
  <si>
    <t>AP-5774</t>
  </si>
  <si>
    <t>Broadway Exim Co. Ltd.</t>
  </si>
  <si>
    <t>Subas 2.5EC</t>
  </si>
  <si>
    <t>AP-5775</t>
  </si>
  <si>
    <t>Linger 2.5EC</t>
  </si>
  <si>
    <t>AP-5869</t>
  </si>
  <si>
    <t>Red Sun Crop Care</t>
  </si>
  <si>
    <t>Jauar Super 2.5EC</t>
  </si>
  <si>
    <t>AP-5870</t>
  </si>
  <si>
    <t>Akrosh 2.5EC</t>
  </si>
  <si>
    <t>AP-5871</t>
  </si>
  <si>
    <t>Herogold 5EC</t>
  </si>
  <si>
    <t>AP-5872</t>
  </si>
  <si>
    <t>Lufenuron</t>
  </si>
  <si>
    <t>Seron 5EC</t>
  </si>
  <si>
    <t>AP-2748</t>
  </si>
  <si>
    <t>500 ml/ha; 0.5 L/ha</t>
  </si>
  <si>
    <t>Jute | Hairy caterpillar | 500 ml/ha
Rice | BPH | 0.5 L/ha</t>
  </si>
  <si>
    <t>Hayron 5EC</t>
  </si>
  <si>
    <t>AP-3062</t>
  </si>
  <si>
    <t>Hairy caterpillar, BPH, Aphid</t>
  </si>
  <si>
    <t>0.5 L/ha; 0.5 ml/L of water</t>
  </si>
  <si>
    <t>Jute | Hairy caterpillar | 0.5 L/ha
Rice | BPH | 0.5 L/ha
Potato | Aphid | 0.5 ml/L of water</t>
  </si>
  <si>
    <t>Winron 5EC</t>
  </si>
  <si>
    <t>AP-4547</t>
  </si>
  <si>
    <t>Rice | BPH | 0.5 L/ha
Brinjal | Aphid | 0.5 ml/L of water</t>
  </si>
  <si>
    <t>Cheron 5EC</t>
  </si>
  <si>
    <t>AP-4548</t>
  </si>
  <si>
    <t>Xenon 5EC</t>
  </si>
  <si>
    <t>AP-4549</t>
  </si>
  <si>
    <t>Jute | Hairy caterpillar | 500 ml/ha
Brinjal | Aphid | 1 ml/L of water</t>
  </si>
  <si>
    <t>Faron 5EC</t>
  </si>
  <si>
    <t>AP-4550</t>
  </si>
  <si>
    <t>Meron 5EC</t>
  </si>
  <si>
    <t>AP-4551</t>
  </si>
  <si>
    <t>500 ml/ha; 0.5 ml/Lof water</t>
  </si>
  <si>
    <t>Jute | Hairy caterpillar | 500 ml/ha
Potato | Aphid | 0.5 ml/Lof water</t>
  </si>
  <si>
    <t>Hatiar 5EC</t>
  </si>
  <si>
    <t>AP-5221</t>
  </si>
  <si>
    <t>Brinjal | Aphid | 0.5 ml/Lof water</t>
  </si>
  <si>
    <t>Menon 5EC</t>
  </si>
  <si>
    <t>AP-4979</t>
  </si>
  <si>
    <t>Aphid, Hispa and BPH</t>
  </si>
  <si>
    <t>0.5 ml/Lof water; 500 ml/ha</t>
  </si>
  <si>
    <t>Brinjal | Aphid | 0.5 ml/Lof water
Rice | Hispa and BPH | 500 ml/ha</t>
  </si>
  <si>
    <t>Bilson 10EC</t>
  </si>
  <si>
    <t>AP-5587</t>
  </si>
  <si>
    <t>Hispa and BPH</t>
  </si>
  <si>
    <t>Rice | Hispa and BPH | 0.5 L/ha</t>
  </si>
  <si>
    <t>Lufenuron (40%) + Emamectin Benzoate (10%)</t>
  </si>
  <si>
    <t>Xenon Plus 50WDG</t>
  </si>
  <si>
    <t>AP-4976</t>
  </si>
  <si>
    <t>Aphid, Hiary caterpillar</t>
  </si>
  <si>
    <t>500 gm/ha; 125 gm/ha</t>
  </si>
  <si>
    <t>Tea | Aphid | 500 gm/ha
Jute | Hiary caterpillar | 125 gm/ha</t>
  </si>
  <si>
    <t>Fultime 50WDG</t>
  </si>
  <si>
    <t>AP-5276</t>
  </si>
  <si>
    <t>100 gm/ha; 125 gm/ha</t>
  </si>
  <si>
    <t>Tea | Red Spider Mite | 100 gm/ha
Rice | BPH | 125 gm/ha</t>
  </si>
  <si>
    <t>(10% + 30%) (30% + 10%) (30% + 10%)</t>
  </si>
  <si>
    <t>Kazebin 50WDG</t>
  </si>
  <si>
    <t>AP-5277</t>
  </si>
  <si>
    <t>Bean | Aphid | 0.2 g/L of water</t>
  </si>
  <si>
    <t>Lufender 50WDG</t>
  </si>
  <si>
    <t>AP-5278</t>
  </si>
  <si>
    <t>1 g/L of water; 0.125 Kg/ha</t>
  </si>
  <si>
    <t>Brinjal | Aphid | 1 g/L of water
Rice | BPH | 0.125 Kg/ha</t>
  </si>
  <si>
    <t>Lauret 50WDG</t>
  </si>
  <si>
    <t>AP-5279</t>
  </si>
  <si>
    <t>0.5 g/L of water; 125 gm/ha</t>
  </si>
  <si>
    <t>Brinjal | Aphid | 0.5 g/L of water
Jute | Hairy caterpillar | 125 gm/ha</t>
  </si>
  <si>
    <t>Genin 40WDG</t>
  </si>
  <si>
    <t>AP-5280</t>
  </si>
  <si>
    <t>Jute | Hairy caterpillar | 125 gm/ha</t>
  </si>
  <si>
    <t>Cinaplus 40WDG</t>
  </si>
  <si>
    <t>AP-5281</t>
  </si>
  <si>
    <t>Lumeron 40WDG</t>
  </si>
  <si>
    <t>AP-5282</t>
  </si>
  <si>
    <t>Denim Fit 50WG</t>
  </si>
  <si>
    <t>AP-5283</t>
  </si>
  <si>
    <t>Onion | Thrips | 0.2 g/L of water</t>
  </si>
  <si>
    <t>Aim Power 50WDG</t>
  </si>
  <si>
    <t>AP-5285</t>
  </si>
  <si>
    <t>Tea | Red Spider Mite | 100 gm/ha</t>
  </si>
  <si>
    <t>Himam 50WDG</t>
  </si>
  <si>
    <t>AP-5286</t>
  </si>
  <si>
    <t>Tea | Helopeltis | 500 gm/ha
Bean | Aphid | 1 g/L of water</t>
  </si>
  <si>
    <t>Supermectin 50WDG</t>
  </si>
  <si>
    <t>AP-5520</t>
  </si>
  <si>
    <t>100 gm/ha; 0.1 g/L of water</t>
  </si>
  <si>
    <t>Tea | Red Spider Mite | 100 gm/ha
Potato | Aphid | 0.1 g/L of water</t>
  </si>
  <si>
    <t>Aloron 50WG</t>
  </si>
  <si>
    <t>AP-5521</t>
  </si>
  <si>
    <t>0.1 g/L of water</t>
  </si>
  <si>
    <t>Bean | Aphid | 0.1 g/L of water</t>
  </si>
  <si>
    <t>Tear Plus 50WDG</t>
  </si>
  <si>
    <t>AP-5760</t>
  </si>
  <si>
    <t>E-Tap Plus 50WDG</t>
  </si>
  <si>
    <t>AP-5761</t>
  </si>
  <si>
    <t>Lumia 50WDG</t>
  </si>
  <si>
    <t>AP-5762</t>
  </si>
  <si>
    <t>Rice | BPH | 125 gm/ha
Tea | Helopeltis | 500 gm/ha</t>
  </si>
  <si>
    <t>Define 50WDG</t>
  </si>
  <si>
    <t>AP-5763</t>
  </si>
  <si>
    <t>125 gm/ha; 1 g/L of water</t>
  </si>
  <si>
    <t>Rice | BPH | 125 gm/ha
Potato | Cutworm | 1 g/L of water</t>
  </si>
  <si>
    <t>MH-Mectin 50WDG</t>
  </si>
  <si>
    <t>AP-5764</t>
  </si>
  <si>
    <t>Unigate 50WDG</t>
  </si>
  <si>
    <t>Apron 50WDG</t>
  </si>
  <si>
    <t>AP-5777</t>
  </si>
  <si>
    <t>Emaron 50WDG</t>
  </si>
  <si>
    <t>AP-5778</t>
  </si>
  <si>
    <t>Tea | Helopeltis | 500 gm/ha
Brinjal | Aphid | 0.5 g/L of water</t>
  </si>
  <si>
    <t>Latim 50WDG</t>
  </si>
  <si>
    <t>AP-5947</t>
  </si>
  <si>
    <t>Luitin 50WDG</t>
  </si>
  <si>
    <t>AP-5948</t>
  </si>
  <si>
    <t>Setup 22WDG</t>
  </si>
  <si>
    <t>AP-6151</t>
  </si>
  <si>
    <t>White grubs</t>
  </si>
  <si>
    <t>340 g/ha</t>
  </si>
  <si>
    <t>Sugarcane | White grubs | 340 g/ha</t>
  </si>
  <si>
    <t>Malathion</t>
  </si>
  <si>
    <t>Fyfanon 57EC</t>
  </si>
  <si>
    <t>AP-10</t>
  </si>
  <si>
    <t>Rice, Vegetables, Pulse &amp; oilseed, Mango, Tea</t>
  </si>
  <si>
    <t>Leaf Roller, GLH, Thrips, Hispa, Casewarm, Rice bug, Aphids, Hopper, Helopeltis (Mosquito bug)</t>
  </si>
  <si>
    <t>Rice | Leaf Roller, GLH, Thrips, Hispa, Casewarm, Rice bug | 1.12 L/ha
Vegetables | Aphids | 1.12 L/ha
Pulse &amp; oilseed | Aphids | 1.12 L/ha
Mango | Hopper | 1.12 L/ha
Tea | Helopeltis (Mosquito bug) | 2.25 L/ha</t>
  </si>
  <si>
    <t>Hilthion 57EC</t>
  </si>
  <si>
    <t>AP-37</t>
  </si>
  <si>
    <t>Hispa, LR, BPH, GLH, WBPH, Thrips, Rice bug &amp; Caseworm</t>
  </si>
  <si>
    <t>Rice | Hispa, LR, BPH, GLH, WBPH, Thrips, Rice bug &amp; Caseworm | 1.0 L/ha</t>
  </si>
  <si>
    <t>Syfanon 57EC</t>
  </si>
  <si>
    <t>AP-181</t>
  </si>
  <si>
    <t>Rice, Vegetables, Pulse &amp; oilseed, Tea</t>
  </si>
  <si>
    <t>LR, Hispa, Thrips, caseworm, and Gall midge, Aphids, Mosquito bug</t>
  </si>
  <si>
    <t>1.00 L/ha; 1.12 L/ha; 2.25 L/ha</t>
  </si>
  <si>
    <t>Rice | LR, Hispa, Thrips, caseworm, and Gall midge | 1.00 L/ha
Vegetables | Aphids | 1.12 L/ha
Pulse &amp; oilseed | Aphids | 1.12 L/ha
Tea | Mosquito bug | 2.25 L/ha</t>
  </si>
  <si>
    <t>Malasun 57 EC</t>
  </si>
  <si>
    <t>AP-287</t>
  </si>
  <si>
    <t>Semtox 57EC</t>
  </si>
  <si>
    <t>AP-289</t>
  </si>
  <si>
    <t>Hispa, Mosquito bug</t>
  </si>
  <si>
    <t>1.00 L/ha; 2.25 L/ha</t>
  </si>
  <si>
    <t>Rice | Hispa | 1.00 L/ha
Tea | Mosquito bug | 2.25 L/ha</t>
  </si>
  <si>
    <t>Ficom Malathion 57EC</t>
  </si>
  <si>
    <t>AP-329</t>
  </si>
  <si>
    <t>Hyfanon 57EC</t>
  </si>
  <si>
    <t>AP-347</t>
  </si>
  <si>
    <t>Sicothion 57EC</t>
  </si>
  <si>
    <t>AP-535</t>
  </si>
  <si>
    <t>Amcomala 57EC</t>
  </si>
  <si>
    <t>AP-677</t>
  </si>
  <si>
    <t>Helopelties</t>
  </si>
  <si>
    <t>Tea | Helopelties | 2.25 L/ha</t>
  </si>
  <si>
    <t>Ashation 57EC</t>
  </si>
  <si>
    <t>AP-683</t>
  </si>
  <si>
    <t>G-Thion 57 EC</t>
  </si>
  <si>
    <t>AP-685</t>
  </si>
  <si>
    <t>Topas 57 EC</t>
  </si>
  <si>
    <t>AP-732</t>
  </si>
  <si>
    <t>Tea | Mosquito bug | 2.25 L/ha</t>
  </si>
  <si>
    <t>Redstar 57EC</t>
  </si>
  <si>
    <t>AP-733</t>
  </si>
  <si>
    <t>Sharmal 57EC</t>
  </si>
  <si>
    <t>AP-783</t>
  </si>
  <si>
    <t>Aphid, Hispa, Helopeltis</t>
  </si>
  <si>
    <t>1 ml/L of water; 1.00 L/ha; 2.25 L/ha</t>
  </si>
  <si>
    <t>Bean | Aphid | 1 ml/L of water
Rice | Hispa | 1.00 L/ha
Tea | Helopeltis | 2.25 L/ha</t>
  </si>
  <si>
    <t>Wenthion 57EC</t>
  </si>
  <si>
    <t>AP-955</t>
  </si>
  <si>
    <t>Quiathion 57 EC</t>
  </si>
  <si>
    <t>AP-1036</t>
  </si>
  <si>
    <t>Tea | Helopelties | 2.25 L/ha
Rice | BPH | 1.00 L/ha</t>
  </si>
  <si>
    <t>Baimala 57EC</t>
  </si>
  <si>
    <t>AP-1042</t>
  </si>
  <si>
    <t>Reka Thion 57EC</t>
  </si>
  <si>
    <t>AP-1202</t>
  </si>
  <si>
    <t>Helopelties (Mosquito bug), Hopper, Aphid</t>
  </si>
  <si>
    <t>2.25 L/ha; 2 ml/L of water; 1 ml/L of water</t>
  </si>
  <si>
    <t>Tea | Helopelties (Mosquito bug) | 2.25 L/ha
Mango | Hopper | 2 ml/L of water
Bean | Aphid | 1 ml/L of water</t>
  </si>
  <si>
    <t>Kilthion 57EC</t>
  </si>
  <si>
    <t>AP-1227</t>
  </si>
  <si>
    <t>Helopelties (Mosquito bug)</t>
  </si>
  <si>
    <t>Tea | Helopelties (Mosquito bug) | 2.25 L/ha</t>
  </si>
  <si>
    <t>Ecomala 57EC</t>
  </si>
  <si>
    <t>AP-1405</t>
  </si>
  <si>
    <t>Amco Agricultiral Industries</t>
  </si>
  <si>
    <t>Methiol 57EC</t>
  </si>
  <si>
    <t>AP-1409</t>
  </si>
  <si>
    <t>Helopelties, Hispa</t>
  </si>
  <si>
    <t>2.25 L/ha; 1.12 L/ha</t>
  </si>
  <si>
    <t>Tea | Helopelties | 2.25 L/ha
Rice | Hispa | 1.12 L/ha</t>
  </si>
  <si>
    <t>Ravthion 57EC</t>
  </si>
  <si>
    <t>AP-1418</t>
  </si>
  <si>
    <t>Bicothion 57EC</t>
  </si>
  <si>
    <t>AP-1644</t>
  </si>
  <si>
    <t>Maladion 57EC</t>
  </si>
  <si>
    <t>AP-1746</t>
  </si>
  <si>
    <t>Ramathion 57EC</t>
  </si>
  <si>
    <t>AP-2253</t>
  </si>
  <si>
    <t>Heopletis</t>
  </si>
  <si>
    <t>Tea | Heopletis | 2.25 L/ha</t>
  </si>
  <si>
    <t>Sithion 57EC</t>
  </si>
  <si>
    <t>AP-2752</t>
  </si>
  <si>
    <t>Guruthion 57EC</t>
  </si>
  <si>
    <t>AP-2905</t>
  </si>
  <si>
    <t>Rthion 57EC</t>
  </si>
  <si>
    <t>AP-3492</t>
  </si>
  <si>
    <t>Faythion 57EC</t>
  </si>
  <si>
    <t>AP-3841</t>
  </si>
  <si>
    <t>County Bean</t>
  </si>
  <si>
    <t>County Bean | Aphid | 2 ml/L of water</t>
  </si>
  <si>
    <t>D-Thion 57EC</t>
  </si>
  <si>
    <t>AP-4562</t>
  </si>
  <si>
    <t>Kaifanen 57EC</t>
  </si>
  <si>
    <t>AP-4908</t>
  </si>
  <si>
    <t>Orothion 57EC</t>
  </si>
  <si>
    <t>AP-5344</t>
  </si>
  <si>
    <t>Tea | Helopeltis | 2.25 L/ha
Rice | BPH | 1.12 L/ha</t>
  </si>
  <si>
    <t>Cibathion 57EC</t>
  </si>
  <si>
    <t>AP-6001</t>
  </si>
  <si>
    <t>Monomehypo</t>
  </si>
  <si>
    <t>Monome 90SP</t>
  </si>
  <si>
    <t>AP-2608</t>
  </si>
  <si>
    <t>Mahin Enterprise Limited</t>
  </si>
  <si>
    <t>Nitenpyram 10SL (20%) + (50%)</t>
  </si>
  <si>
    <t>Python 10SL</t>
  </si>
  <si>
    <t>AP-3861</t>
  </si>
  <si>
    <t>Tea | Helopeltis | 750 ml/ha
Brinjal | Aphid | 1 ml/L of water</t>
  </si>
  <si>
    <t>Bicoguard 10SL</t>
  </si>
  <si>
    <t>AP-4074</t>
  </si>
  <si>
    <t>Red Spider Mites</t>
  </si>
  <si>
    <t>Tea | Red Spider Mites | 750 ml/ha</t>
  </si>
  <si>
    <t>Pilarnit 10SL</t>
  </si>
  <si>
    <t>AP-4442</t>
  </si>
  <si>
    <t>300 ml/ha; 500 ml/ha</t>
  </si>
  <si>
    <t>Jute | Hairy caterpillar | 300 ml/ha
Rice | BPH | 500 ml/ha</t>
  </si>
  <si>
    <t>Sega 10SL</t>
  </si>
  <si>
    <t>AP-4909</t>
  </si>
  <si>
    <t>Helopeltis, Aphid, BPH</t>
  </si>
  <si>
    <t>750 ml/ha; 1 ml/L of water; 0.30 L/ha</t>
  </si>
  <si>
    <t>Tea | Helopeltis | 750 ml/ha
Brinjal | Aphid | 1 ml/L of water
Rice | BPH | 0.30 L/ha</t>
  </si>
  <si>
    <t>Forpyram 10SL</t>
  </si>
  <si>
    <t>AP-5345</t>
  </si>
  <si>
    <t>Nitenpyram (20%) + Pymetrozine (60%) (20% + 50%)</t>
  </si>
  <si>
    <t>Bicoaloo 80WDG</t>
  </si>
  <si>
    <t>AP-3843</t>
  </si>
  <si>
    <t>0.4 g/L of water; 2 g/L of water</t>
  </si>
  <si>
    <t>Brinjal | Aphid | 0.4 g/L of water
Mango | Hopper | 2 g/L of water</t>
  </si>
  <si>
    <t>Pinak 80WDG</t>
  </si>
  <si>
    <t>AP-4910</t>
  </si>
  <si>
    <t>Pieten 80WDG</t>
  </si>
  <si>
    <t>AP-4911</t>
  </si>
  <si>
    <t>Tea | Helopeltis | 250 gm/ha
Brinjal | Aphid | 0.5 g/L of water</t>
  </si>
  <si>
    <t>Fulstop 80WDG</t>
  </si>
  <si>
    <t>AP-4912</t>
  </si>
  <si>
    <t>Pyrazin 70WDG</t>
  </si>
  <si>
    <t>AP-4913</t>
  </si>
  <si>
    <t>250 gm/ha; 220 g/ha</t>
  </si>
  <si>
    <t>Tea | Helopeltis | 250 gm/ha
Rice | BPH | 220 g/ha</t>
  </si>
  <si>
    <t>Uniten 80WDG</t>
  </si>
  <si>
    <t>AP-4914</t>
  </si>
  <si>
    <t>Nyzin 80WDG</t>
  </si>
  <si>
    <t>AP-4915</t>
  </si>
  <si>
    <t>Brinjal, Mango, Rice</t>
  </si>
  <si>
    <t>Aphid, Hopper, BPH</t>
  </si>
  <si>
    <t>0.5 g/L of water; 60 g/ha</t>
  </si>
  <si>
    <t>Brinjal | Aphid | 0.5 g/L of water
Mango | Hopper | 0.5 g/L of water
Rice | BPH | 60 g/ha</t>
  </si>
  <si>
    <t>Ignite 80WDG</t>
  </si>
  <si>
    <t>AP-5346</t>
  </si>
  <si>
    <t>250 gm/ha; 0.25 Kg/ha</t>
  </si>
  <si>
    <t>Tea | Aphid | 250 gm/ha
Rice | BPH | 0.25 Kg/ha</t>
  </si>
  <si>
    <t>Splender 80WDG</t>
  </si>
  <si>
    <t>AP-5347</t>
  </si>
  <si>
    <t>Mango | Hopper | 0.2 g/L of water</t>
  </si>
  <si>
    <t>Roughter 80WDG</t>
  </si>
  <si>
    <t>AP-5348</t>
  </si>
  <si>
    <t>Kangaru 80WDG</t>
  </si>
  <si>
    <t>AP-5349</t>
  </si>
  <si>
    <t>Symten 80WDG</t>
  </si>
  <si>
    <t>AP-5350</t>
  </si>
  <si>
    <t>Foring 80WDG</t>
  </si>
  <si>
    <t>AP-5571</t>
  </si>
  <si>
    <t>Peda Ting Ting 80WDG</t>
  </si>
  <si>
    <t>AP-5718</t>
  </si>
  <si>
    <t>600 gm/ha; 100 gm/ha</t>
  </si>
  <si>
    <t>Rice | BPH | 600 gm/ha
Jute | Hairy caterpillar | 100 gm/ha</t>
  </si>
  <si>
    <t>Rimson 80WDG</t>
  </si>
  <si>
    <t>AP-5719</t>
  </si>
  <si>
    <t>Shikha 80WDG</t>
  </si>
  <si>
    <t>AP-5952</t>
  </si>
  <si>
    <t>60 g/ha</t>
  </si>
  <si>
    <t>Rice | BPH | 60 g/ha</t>
  </si>
  <si>
    <t>Gungun 80WP</t>
  </si>
  <si>
    <t>AP-5953</t>
  </si>
  <si>
    <t>Nior 80WDG</t>
  </si>
  <si>
    <t>AP-5954</t>
  </si>
  <si>
    <t>Torit 80WDG</t>
  </si>
  <si>
    <t>AP-5955</t>
  </si>
  <si>
    <t>Bijeta 80WDG</t>
  </si>
  <si>
    <t>AP-5956</t>
  </si>
  <si>
    <t>Tea | Helopeltis | 250 g/ha</t>
  </si>
  <si>
    <t>Pymet 80WDG</t>
  </si>
  <si>
    <t>AP-5957</t>
  </si>
  <si>
    <t>Alzin 80WDG</t>
  </si>
  <si>
    <t>AP-5958</t>
  </si>
  <si>
    <t>Agromine Pvt. Ltd.</t>
  </si>
  <si>
    <t>Mango | Hopper | 0.5 g/L of water
Rice | BPH | 60 g/ha</t>
  </si>
  <si>
    <t>Bazraghat 80WDG</t>
  </si>
  <si>
    <t>AP-5959</t>
  </si>
  <si>
    <t>Eastchem Bangladesh Co. Ltd.</t>
  </si>
  <si>
    <t>160 g/ha</t>
  </si>
  <si>
    <t>Rice | BPH | 160 g/ha</t>
  </si>
  <si>
    <t>(20%) + (50%)</t>
  </si>
  <si>
    <t>Hoppercare 70WDG</t>
  </si>
  <si>
    <t>AP-5960</t>
  </si>
  <si>
    <t>The Shine Agro Industries</t>
  </si>
  <si>
    <t>220 g/ha</t>
  </si>
  <si>
    <t>Rice | BPH | 220 g/ha</t>
  </si>
  <si>
    <t>Quickdown 70WDG</t>
  </si>
  <si>
    <t>AP-5961</t>
  </si>
  <si>
    <t>Success Agro</t>
  </si>
  <si>
    <t>(20%) + (50%) (20%) + (50%)</t>
  </si>
  <si>
    <t>Hakkar 80WDG</t>
  </si>
  <si>
    <t>AP-5962</t>
  </si>
  <si>
    <t>Growtech Agro</t>
  </si>
  <si>
    <t>Pyniram 80WDG</t>
  </si>
  <si>
    <t>AP-5963</t>
  </si>
  <si>
    <t>Semilooper</t>
  </si>
  <si>
    <t>Jute | Semilooper | 125 g/ha</t>
  </si>
  <si>
    <t>Ramo 80WDG</t>
  </si>
  <si>
    <t>AP-5964</t>
  </si>
  <si>
    <t>Kenaf &amp; Mesta, Rice</t>
  </si>
  <si>
    <t>Mealy bug, BPH</t>
  </si>
  <si>
    <t>125 g/ha; 160 g/ha</t>
  </si>
  <si>
    <t>Kenaf &amp; Mesta | Mealy bug | 125 g/ha
Rice | BPH | 160 g/ha</t>
  </si>
  <si>
    <t>Phorate 70WDG</t>
  </si>
  <si>
    <t>AP-5965</t>
  </si>
  <si>
    <t>Tabasum 70WDG</t>
  </si>
  <si>
    <t>AP-5966</t>
  </si>
  <si>
    <t>Viron Agro Ltd.</t>
  </si>
  <si>
    <t>Pahar 80WDG</t>
  </si>
  <si>
    <t>AP-5967</t>
  </si>
  <si>
    <t>Currency 80WDG</t>
  </si>
  <si>
    <t>AP-5968</t>
  </si>
  <si>
    <t>Nitenpyram (20%) + Diafenthiuron (30%)</t>
  </si>
  <si>
    <t>Dorex 50WDG</t>
  </si>
  <si>
    <t>AP-5720</t>
  </si>
  <si>
    <t>198 g/ha</t>
  </si>
  <si>
    <t>Cotton | Aphid, Jassid | 198 g/ha</t>
  </si>
  <si>
    <t>Osfencarb (BPMC)</t>
  </si>
  <si>
    <t>Mis-Kill 50EC</t>
  </si>
  <si>
    <t>AP-681</t>
  </si>
  <si>
    <t>Phenthoate</t>
  </si>
  <si>
    <t>Cidial 5G</t>
  </si>
  <si>
    <t>AP-139</t>
  </si>
  <si>
    <t>Stemborer, Gall midge, BPH</t>
  </si>
  <si>
    <t>Rice | Stemborer, Gall midge, BPH | 10.00 kg/ha</t>
  </si>
  <si>
    <t>Kiran 50EC</t>
  </si>
  <si>
    <t>AP-623</t>
  </si>
  <si>
    <t>Cotton, Tea, Rice</t>
  </si>
  <si>
    <t>Bollworm, Helopeltis, BPH</t>
  </si>
  <si>
    <t>1.70 L/ha; 750 ml/ha; 1.00 L/ha</t>
  </si>
  <si>
    <t>Cotton | Bollworm | 1.70 L/ha
Tea | Helopeltis | 750 ml/ha
Rice | BPH | 1.00 L/ha</t>
  </si>
  <si>
    <t>Ruby 50EC</t>
  </si>
  <si>
    <t>AP-827</t>
  </si>
  <si>
    <t>Visan 50EC</t>
  </si>
  <si>
    <t>AP-948</t>
  </si>
  <si>
    <t>Mung bean</t>
  </si>
  <si>
    <t>Mung bean | Whitefly | 1 ml/L of water</t>
  </si>
  <si>
    <t>Bilsan 50EC</t>
  </si>
  <si>
    <t>AP-1236</t>
  </si>
  <si>
    <t>Tea | Helopeltis | 500 ml/ha
Rice | BPH | 1.00 L/ha</t>
  </si>
  <si>
    <t>Bicoelsan 50EC</t>
  </si>
  <si>
    <t>AP-1525</t>
  </si>
  <si>
    <t>SemKap 50EC</t>
  </si>
  <si>
    <t>AP-1557</t>
  </si>
  <si>
    <t>Phenkil 50EC</t>
  </si>
  <si>
    <t>AP-2751</t>
  </si>
  <si>
    <t>Cinedal 5G</t>
  </si>
  <si>
    <t>AP-4090</t>
  </si>
  <si>
    <t>Abatis 50EC</t>
  </si>
  <si>
    <t>AP-4953</t>
  </si>
  <si>
    <t>Phosmet (50%)</t>
  </si>
  <si>
    <t>Imidan 50WP</t>
  </si>
  <si>
    <t>AP-5530</t>
  </si>
  <si>
    <t>Lemon</t>
  </si>
  <si>
    <t>Leaf miner</t>
  </si>
  <si>
    <t>Lemon | Leaf miner | 1 g/L of water</t>
  </si>
  <si>
    <t>Phosphorous Acid</t>
  </si>
  <si>
    <t>Actifos 400SL</t>
  </si>
  <si>
    <t>AP-2793</t>
  </si>
  <si>
    <t>Potato | Late blight | 3 ml/L of water</t>
  </si>
  <si>
    <t>Profenofos (40% + 4%)</t>
  </si>
  <si>
    <t>Maple 50EC</t>
  </si>
  <si>
    <t>AP-722</t>
  </si>
  <si>
    <t>Cotton | Bollworm | 800 ml/ha</t>
  </si>
  <si>
    <t>Celcron 50EC</t>
  </si>
  <si>
    <t>AP-1304</t>
  </si>
  <si>
    <t>Rice, Jute, Mango, Mustard</t>
  </si>
  <si>
    <t>Hispa, Hairy caterpillar, Hopper, Aphid</t>
  </si>
  <si>
    <t>800 ml/ha; 500 ml/ha; 1 ml/L of water</t>
  </si>
  <si>
    <t>Rice | Hispa | 800 ml/ha
Jute | Hairy caterpillar | 500 ml/ha
Mango | Hopper | 1 ml/L of water
Mustard | Aphid | 1 ml/L of water</t>
  </si>
  <si>
    <t>Farmfos 50EC</t>
  </si>
  <si>
    <t>AP-3789</t>
  </si>
  <si>
    <t>Profenofos (40%) + Cypermthrin (2.5%)</t>
  </si>
  <si>
    <t>Shobicron 425 EC</t>
  </si>
  <si>
    <t>AP-322</t>
  </si>
  <si>
    <t>Teasle &amp; Bitter gourd, Brinjal, Guava, Cotton, Mango, Banana</t>
  </si>
  <si>
    <t>Fruit fly, Shoot &amp; fruit borer, White fly, Aphid, Jassid, Bollworm, Hopper, Fruit borer, Bittle leaf</t>
  </si>
  <si>
    <t>2 ml/L of water; 600 ml/ha; 800 ml/ha; 1 ml/L of water</t>
  </si>
  <si>
    <t>Teasle &amp; Bitter gourd | Fruit fly | 2 ml/L of water
Brinjal | Shoot &amp; fruit borer | 2 ml/L of water
Guava | White fly | 2 ml/L of water
Cotton | Aphid, Jassid | 600 ml/ha
Cotton | Bollworm | 800 ml/ha
Mango | Hopper | 1 ml/L of water
Mango | Fruit borer | 2 ml/L of water
Banana | Bittle leaf | 2 ml/L of water</t>
  </si>
  <si>
    <t>(40% + 4%) (40% + 4%)</t>
  </si>
  <si>
    <t>Rocket 42.5EC</t>
  </si>
  <si>
    <t>AP-1330</t>
  </si>
  <si>
    <t>Semicron 425EC</t>
  </si>
  <si>
    <t>AP-1572</t>
  </si>
  <si>
    <t>Damdama 440EC</t>
  </si>
  <si>
    <t>AP-2762</t>
  </si>
  <si>
    <t>1 ml/L of water; 550 ml/ha</t>
  </si>
  <si>
    <t>Bean | Aphid | 1 ml/L of water
Jute | Hairy caterpillar | 550 ml/ha</t>
  </si>
  <si>
    <t>Damdama Gold 44EC</t>
  </si>
  <si>
    <t>AP-5583</t>
  </si>
  <si>
    <t>Jute | Hairy caterpillar | 550 ml/ha</t>
  </si>
  <si>
    <t>Profenofos (40%) + Lambda Cyhalothrin (3%)</t>
  </si>
  <si>
    <t>Lambdafos 33EC</t>
  </si>
  <si>
    <t>AP-6020</t>
  </si>
  <si>
    <t>Profenofos (50%) + Lufenuron (5%)</t>
  </si>
  <si>
    <t>Lufa 55EC</t>
  </si>
  <si>
    <t>AP-4563</t>
  </si>
  <si>
    <t>250 ml/ha; 150 ml/ha</t>
  </si>
  <si>
    <t>Tea | Helopeltis | 250 ml/ha
Rice | BPH | 250 ml/ha
Jute | Hairy caterpillar | 150 ml/ha</t>
  </si>
  <si>
    <t>Parash 55EC</t>
  </si>
  <si>
    <t>AP-5950</t>
  </si>
  <si>
    <t>Pymetrozine</t>
  </si>
  <si>
    <t>Plenum 50WG</t>
  </si>
  <si>
    <t>AP-1621</t>
  </si>
  <si>
    <t>0.30 Kg/ha; 0.5 g/L of water</t>
  </si>
  <si>
    <t>Rice | BPH | 0.30 Kg/ha
Mango | Hopper | 0.5 g/L of water</t>
  </si>
  <si>
    <t>Agricon 50WG</t>
  </si>
  <si>
    <t>AP-3514</t>
  </si>
  <si>
    <t>Jute | Hairy caterpillar | 300 gm/ha
Rice | BPH | 300 gm/ha</t>
  </si>
  <si>
    <t>Pytaf 50WDG</t>
  </si>
  <si>
    <t>AP-3796</t>
  </si>
  <si>
    <t>Hoppershot 50WG</t>
  </si>
  <si>
    <t>AP-4553</t>
  </si>
  <si>
    <t>Kotan 50WG</t>
  </si>
  <si>
    <t>AP-4916</t>
  </si>
  <si>
    <t>Tea | Helopeltis | 500 gm/ha
Rice | BPH | 500 gm/ha</t>
  </si>
  <si>
    <t>Metrozin 50WG</t>
  </si>
  <si>
    <t>AP-5352</t>
  </si>
  <si>
    <t>Sytrozin 50WG</t>
  </si>
  <si>
    <t>AP-5353</t>
  </si>
  <si>
    <t>Pullet 50% (Effervescent Tablet)</t>
  </si>
  <si>
    <t>AP-5570</t>
  </si>
  <si>
    <t>Rice | BPH | 200 gm/ha</t>
  </si>
  <si>
    <t>SAM-ONE 50WG</t>
  </si>
  <si>
    <t>AP-5721</t>
  </si>
  <si>
    <t>SR-Metrozine 50WG</t>
  </si>
  <si>
    <t>AP-5722</t>
  </si>
  <si>
    <t>S R Agro Care</t>
  </si>
  <si>
    <t>Forman 50WDG</t>
  </si>
  <si>
    <t>AP-5723</t>
  </si>
  <si>
    <t>250 g/L of water</t>
  </si>
  <si>
    <t>Brinjal | Aphid | 250 g/L of water</t>
  </si>
  <si>
    <t>Chicozin 50WDG</t>
  </si>
  <si>
    <t>AP-5969</t>
  </si>
  <si>
    <t>300 g/ha</t>
  </si>
  <si>
    <t>Jute | Hairy caterpillar | 300 g/ha</t>
  </si>
  <si>
    <t>Painer 50WDG</t>
  </si>
  <si>
    <t>AP-5970</t>
  </si>
  <si>
    <t>Pymetrozine (50%) + Imidacloprid (18%)</t>
  </si>
  <si>
    <t>Pyrid 68WG</t>
  </si>
  <si>
    <t>AP-4917</t>
  </si>
  <si>
    <t>Bean | Aphid | 1 g/L of water
Rice | BPH | 0.125 Kg/ha</t>
  </si>
  <si>
    <t>V-Tara 68WG</t>
  </si>
  <si>
    <t>AP-5971</t>
  </si>
  <si>
    <t>Rice, Kenaf &amp; Mesta</t>
  </si>
  <si>
    <t>BPH, Mealy Bug</t>
  </si>
  <si>
    <t>500 g/ha; 550 g/ha</t>
  </si>
  <si>
    <t>Rice | BPH | 500 g/ha
Kenaf &amp; Mesta | Mealy Bug | 550 g/ha</t>
  </si>
  <si>
    <t>Pymetrozine (50%) + Thiamethoxam (20%)</t>
  </si>
  <si>
    <t>Karentshot 70WG</t>
  </si>
  <si>
    <t>AP-5354</t>
  </si>
  <si>
    <t>Tea | Red Spider Mite | 250 gm/ha</t>
  </si>
  <si>
    <t>Needpath Gold 70WG</t>
  </si>
  <si>
    <t>AP-5355</t>
  </si>
  <si>
    <t>Such 40WDG</t>
  </si>
  <si>
    <t>AP-5972</t>
  </si>
  <si>
    <t>400 g/ha</t>
  </si>
  <si>
    <t>Rice | BPH | 400 g/ha</t>
  </si>
  <si>
    <t>Pyridaban (20%)</t>
  </si>
  <si>
    <t>Pyrin 20WP</t>
  </si>
  <si>
    <t>AP-4982</t>
  </si>
  <si>
    <t>Tea | Red spider mite | 500 gm/ha
Rice | BPH | 500 gm/ha</t>
  </si>
  <si>
    <t>Pyriproxyfen (10.8%)</t>
  </si>
  <si>
    <t>Pyrifen 10.8EC</t>
  </si>
  <si>
    <t>AP-3972</t>
  </si>
  <si>
    <t>1.00 L/ha; 1.5 ml/L of water</t>
  </si>
  <si>
    <t>Rice | BPH | 1.00 L/ha
Potato | Aphid | 1.5 ml/L of water</t>
  </si>
  <si>
    <t>Forhit 10EC</t>
  </si>
  <si>
    <t>AP-5682</t>
  </si>
  <si>
    <t>Pyriproxyfen (10.0%) + Bifenthrin (8.00%)</t>
  </si>
  <si>
    <t>Rebox 18EC</t>
  </si>
  <si>
    <t>AP-6155</t>
  </si>
  <si>
    <t>Jute | Hairy caterpillar | 700 ml/ha</t>
  </si>
  <si>
    <t>Quinalphos (25%)</t>
  </si>
  <si>
    <t>Kinalux 25EC</t>
  </si>
  <si>
    <t>AP-308</t>
  </si>
  <si>
    <t>Yellow Stemborer, Red Spider Mites</t>
  </si>
  <si>
    <t>1.50 L/ha; 2.00 L/ha</t>
  </si>
  <si>
    <t>Rice | Yellow Stemborer | 1.50 L/ha
Tea | Red Spider Mites | 2.00 L/ha</t>
  </si>
  <si>
    <t>Corolux 25EC</t>
  </si>
  <si>
    <t>AP-391</t>
  </si>
  <si>
    <t>Hispa, SB, GLH, GH, Gall midge, Shoot &amp; fruitborer, Hairy caterpillar</t>
  </si>
  <si>
    <t>1.50 L/ha; 840 ml/ha; 1.68 L/ha</t>
  </si>
  <si>
    <t>Rice | Hispa, SB, GLH, GH, Gall midge | 1.50 L/ha
Brinjal | Shoot &amp; fruitborer | 840 ml/ha
Jute | Hairy caterpillar | 1.68 L/ha</t>
  </si>
  <si>
    <t>Deviquine 25EC</t>
  </si>
  <si>
    <t>AP-509</t>
  </si>
  <si>
    <t>Rice | BPH | 1.50 L/ha</t>
  </si>
  <si>
    <t>Quilax 25EC</t>
  </si>
  <si>
    <t>AP-536</t>
  </si>
  <si>
    <t>Konika 25EC</t>
  </si>
  <si>
    <t>AP-606</t>
  </si>
  <si>
    <t>Amcolux 25EC</t>
  </si>
  <si>
    <t>AP-656</t>
  </si>
  <si>
    <t>BPH, Shoot &amp; fruitborer</t>
  </si>
  <si>
    <t>1.50 L/ha; 3 ml/L of water</t>
  </si>
  <si>
    <t>Rice | BPH | 1.50 L/ha
Brinjal | Shoot &amp; fruitborer | 3 ml/L of water</t>
  </si>
  <si>
    <t>Mimlux 25EC</t>
  </si>
  <si>
    <t>AP-788</t>
  </si>
  <si>
    <t>Bailux 25 EC</t>
  </si>
  <si>
    <t>AP-789</t>
  </si>
  <si>
    <t>Dhanulux 25 EC</t>
  </si>
  <si>
    <t>AP-835</t>
  </si>
  <si>
    <t>BPH, Hispa, Hairy caterpillar</t>
  </si>
  <si>
    <t>1.00 L/ha; 1.68 L/ha</t>
  </si>
  <si>
    <t>Rice | BPH, Hispa | 1.00 L/ha
Jute | Hairy caterpillar | 1.68 L/ha</t>
  </si>
  <si>
    <t>Agrilux 25 EC`</t>
  </si>
  <si>
    <t>AP-892</t>
  </si>
  <si>
    <t>1.00 L</t>
  </si>
  <si>
    <t>Tea | Helopeltis | 1.00 L</t>
  </si>
  <si>
    <t>Wenquine 25EC</t>
  </si>
  <si>
    <t>AP-898</t>
  </si>
  <si>
    <t>Cure 25 EC</t>
  </si>
  <si>
    <t>AP-963</t>
  </si>
  <si>
    <t>Cobraking 25EC</t>
  </si>
  <si>
    <t>AP-1007</t>
  </si>
  <si>
    <t>Rice, Tea, Jute</t>
  </si>
  <si>
    <t>1.50 ml/ha; 1.50 L/ha; 1.70 L/ha</t>
  </si>
  <si>
    <t>Rice | BPH | 1.50 ml/ha
Tea | Helopeltis | 1.50 L/ha
Jute | Hairy caterpillar | 1.70 L/ha</t>
  </si>
  <si>
    <t>Supersun 25EC</t>
  </si>
  <si>
    <t>AP-1009</t>
  </si>
  <si>
    <t>Rice | Hispa and BPH | 1.50 L/ha</t>
  </si>
  <si>
    <t>Agriquin 25EC</t>
  </si>
  <si>
    <t>AP-1026</t>
  </si>
  <si>
    <t>Mamun Agro Products Ltd,</t>
  </si>
  <si>
    <t>Bollworm (Helopeltis &amp; Earias SPP)</t>
  </si>
  <si>
    <t>Cotton | Bollworm (Helopeltis &amp; Earias SPP) | 1.00 L/ha</t>
  </si>
  <si>
    <t>Gilquin 25EC</t>
  </si>
  <si>
    <t>AP-1132</t>
  </si>
  <si>
    <t>Chilli, Sugarcane</t>
  </si>
  <si>
    <t>Aphid, White grub</t>
  </si>
  <si>
    <t>1 ml/L of water; 2.50 L/ha</t>
  </si>
  <si>
    <t>Chilli | Aphid | 1 ml/L of water
Sugarcane | White grub | 2.50 L/ha</t>
  </si>
  <si>
    <t>Delux 25EC</t>
  </si>
  <si>
    <t>AP-1182</t>
  </si>
  <si>
    <t>Hispa, Termites</t>
  </si>
  <si>
    <t>1.00 L/ha; 1.50 L/ha</t>
  </si>
  <si>
    <t>Rice | Hispa | 1.00 L/ha
Tea | Termites | 1.50 L/ha</t>
  </si>
  <si>
    <t>Hilux 25 EC</t>
  </si>
  <si>
    <t>AP-1222</t>
  </si>
  <si>
    <t>2.00 L/ha</t>
  </si>
  <si>
    <t>Tea | Helopeltis | 2.00 L/ha</t>
  </si>
  <si>
    <t>Hitalux 25EC</t>
  </si>
  <si>
    <t>AP-1285</t>
  </si>
  <si>
    <t>Tea | Red Spider Mites | 1.20 L/ha</t>
  </si>
  <si>
    <t>Relux 25 EC</t>
  </si>
  <si>
    <t>AP-1299</t>
  </si>
  <si>
    <t>Queenphos 25EC</t>
  </si>
  <si>
    <t>AP-1315</t>
  </si>
  <si>
    <t>Bicolux 25EC</t>
  </si>
  <si>
    <t>AP-1329</t>
  </si>
  <si>
    <t>Quicklac 25EC</t>
  </si>
  <si>
    <t>AP-1421</t>
  </si>
  <si>
    <t>Ecolux 25EC</t>
  </si>
  <si>
    <t>AP-1545</t>
  </si>
  <si>
    <t>Phinacol 25EC</t>
  </si>
  <si>
    <t>AP-1820</t>
  </si>
  <si>
    <t>Matrix 25EC</t>
  </si>
  <si>
    <t>AP-2042</t>
  </si>
  <si>
    <t>Tea | Thrips | 500 ml/ha</t>
  </si>
  <si>
    <t>Nilax 25 EC</t>
  </si>
  <si>
    <t>AP-2044</t>
  </si>
  <si>
    <t>1.68 L/ha</t>
  </si>
  <si>
    <t>Jute | Hairy caterpillar | 1.68 L/ha</t>
  </si>
  <si>
    <t>Q-Phos 25EC</t>
  </si>
  <si>
    <t>AP-2245</t>
  </si>
  <si>
    <t>BPH, Red Spider Mites</t>
  </si>
  <si>
    <t>Rice | BPH | 1.50 L/ha
Tea | Red Spider Mites | 1.00 L/ha</t>
  </si>
  <si>
    <t>Quisiam 25EC</t>
  </si>
  <si>
    <t>AP-2767</t>
  </si>
  <si>
    <t>Quinalphos (20%) Cypermethrin (3%)</t>
  </si>
  <si>
    <t>Viraat 23EC</t>
  </si>
  <si>
    <t>AP-1243</t>
  </si>
  <si>
    <t>Helopeltis (Mosquito bug)</t>
  </si>
  <si>
    <t>625 ml/ha</t>
  </si>
  <si>
    <t>Tea | Helopeltis (Mosquito bug) | 625 ml/ha</t>
  </si>
  <si>
    <t>Bishal 23EC</t>
  </si>
  <si>
    <t>AP-2334</t>
  </si>
  <si>
    <t>Tea | Helopeltis | 625 ml/ha</t>
  </si>
  <si>
    <t>Quiner C 23EC</t>
  </si>
  <si>
    <t>AP-2769</t>
  </si>
  <si>
    <t>Agro Arena Associates Ltd</t>
  </si>
  <si>
    <t>Tea | Helopeltis | 700 ml/ha</t>
  </si>
  <si>
    <t>Spinosad</t>
  </si>
  <si>
    <t>Tracer 45SC</t>
  </si>
  <si>
    <t>AP-1335</t>
  </si>
  <si>
    <t>Brinjal, Cotton, Tea</t>
  </si>
  <si>
    <t>Shoot &amp; fruitborer, Aphid, Jassid, Bollworm, Thrips</t>
  </si>
  <si>
    <t>0.4 ml/L of water; 175 ml/ha; 200 ml/ha</t>
  </si>
  <si>
    <t>Brinjal | Shoot &amp; fruitborer | 0.4 ml/L of water
Cotton | Aphid, Jassid, Bollworm | 175 ml/ha
Tea | Thrips | 200 ml/ha</t>
  </si>
  <si>
    <t>IRAC 5</t>
  </si>
  <si>
    <t>Success 2.5SC</t>
  </si>
  <si>
    <t>AP-1484</t>
  </si>
  <si>
    <t>Aphid, Jassid, Bollworm, Thrips</t>
  </si>
  <si>
    <t>650 ml/ha; 200 ml/ha</t>
  </si>
  <si>
    <t>Cotton | Aphid, Jassid, Bollworm | 650 ml/ha
Tea | Thrips | 200 ml/ha</t>
  </si>
  <si>
    <t>Libsen 45SC</t>
  </si>
  <si>
    <t>AP-2309</t>
  </si>
  <si>
    <t>Koosar 45SC</t>
  </si>
  <si>
    <t>AP-2424</t>
  </si>
  <si>
    <t>Harba 45SC</t>
  </si>
  <si>
    <t>AP-2425</t>
  </si>
  <si>
    <t>Jute | Hairy caterpillar | 200 ml/ha</t>
  </si>
  <si>
    <t>G-Sar 45EC</t>
  </si>
  <si>
    <t>AP-2915</t>
  </si>
  <si>
    <t>Eser 45SC</t>
  </si>
  <si>
    <t>AP-2916</t>
  </si>
  <si>
    <t>Entrust 45SC</t>
  </si>
  <si>
    <t>AP-2917</t>
  </si>
  <si>
    <t>Leaffolder</t>
  </si>
  <si>
    <t>Rice | Leaffolder | 200 ml/ha</t>
  </si>
  <si>
    <t>Conserve 45SC</t>
  </si>
  <si>
    <t>AP-2918</t>
  </si>
  <si>
    <t>Ampa 45 SC</t>
  </si>
  <si>
    <t>AP-3479</t>
  </si>
  <si>
    <t>Jute | Hairy caterpillar | 250 ml/ha</t>
  </si>
  <si>
    <t>Spy 45 SC</t>
  </si>
  <si>
    <t>AP-3480</t>
  </si>
  <si>
    <t>S K Agro Chemical</t>
  </si>
  <si>
    <t>Priser 45 SC</t>
  </si>
  <si>
    <t>AP-3481</t>
  </si>
  <si>
    <t>Rush 45SC</t>
  </si>
  <si>
    <t>AP-3482</t>
  </si>
  <si>
    <t>0.5 Litre/ha</t>
  </si>
  <si>
    <t>Rice | BPH | 0.5 Litre/ha</t>
  </si>
  <si>
    <t>Sacer 45SC</t>
  </si>
  <si>
    <t>AP-3483</t>
  </si>
  <si>
    <t>0.4 ml/Lof water</t>
  </si>
  <si>
    <t>Potato | Aphid | 0.4 ml/Lof water</t>
  </si>
  <si>
    <t>Sound 45SC</t>
  </si>
  <si>
    <t>AP-3484</t>
  </si>
  <si>
    <t>Base 45SC</t>
  </si>
  <si>
    <t>AP-3486</t>
  </si>
  <si>
    <t>Winsed 45 SC</t>
  </si>
  <si>
    <t>AP-3487</t>
  </si>
  <si>
    <t>Shishir 45SC</t>
  </si>
  <si>
    <t>AP-3488</t>
  </si>
  <si>
    <t>Typino 45SC</t>
  </si>
  <si>
    <t>AP-3489</t>
  </si>
  <si>
    <t>Tinosad 4.5SC</t>
  </si>
  <si>
    <t>AP-4146</t>
  </si>
  <si>
    <t>Cotton | Bollworm | 250 ml/ha</t>
  </si>
  <si>
    <t>Obey 45SC</t>
  </si>
  <si>
    <t>AP-5357</t>
  </si>
  <si>
    <t>250 ml/ha; 500 g/ha</t>
  </si>
  <si>
    <t>Jute | Hairy caterpillar | 250 ml/ha
Rice | BPH | 500 g/ha</t>
  </si>
  <si>
    <t>Spirotetramat</t>
  </si>
  <si>
    <t>Movento 150 OD</t>
  </si>
  <si>
    <t>AP-2019</t>
  </si>
  <si>
    <t>Aphid, Aphid, White fly</t>
  </si>
  <si>
    <t>1 ml/L of water; 500 gm/ha</t>
  </si>
  <si>
    <t>Brinjal | Aphid | 1 ml/L of water
Cotton | Aphid, White fly | 500 gm/ha</t>
  </si>
  <si>
    <t>IRAC 23</t>
  </si>
  <si>
    <t>Aktic 24SC</t>
  </si>
  <si>
    <t>AP-4123</t>
  </si>
  <si>
    <t>Yellow mite, Aphid</t>
  </si>
  <si>
    <t>Jute | Yellow mite | 750 ml/ha
Bean | Aphid | 1 ml/L of water</t>
  </si>
  <si>
    <t>Brinka 25SC</t>
  </si>
  <si>
    <t>AP-6068</t>
  </si>
  <si>
    <t>Jute | Yellow mite | 500 ml/ha</t>
  </si>
  <si>
    <t>Spiromesifen</t>
  </si>
  <si>
    <t>Oberon 240SC</t>
  </si>
  <si>
    <t>AP-3895</t>
  </si>
  <si>
    <t>Brinjal | Red Spider mite | 1 ml/L of water
Tea | Red Spider mite | 400 ml/ha</t>
  </si>
  <si>
    <t>Vister 24SC</t>
  </si>
  <si>
    <t>AP-6017</t>
  </si>
  <si>
    <t>Red spider mite, Red mite</t>
  </si>
  <si>
    <t>400 ml/ha; 0.2 ml/L of water</t>
  </si>
  <si>
    <t>Tea | Red spider mite | 400 ml/ha
Brinjal | Red mite | 0.2 ml/L of water</t>
  </si>
  <si>
    <t>Thiamethoxam (14.1%) + Lambda Cyhalothrin (10.6%)</t>
  </si>
  <si>
    <t>Takat 24.7SC</t>
  </si>
  <si>
    <t>AP-3020</t>
  </si>
  <si>
    <t>Faver 30SC</t>
  </si>
  <si>
    <t>AP-3371</t>
  </si>
  <si>
    <t>Aphid, Aphid</t>
  </si>
  <si>
    <t>Cotton | Aphid, Aphid | 150 ml/ha</t>
  </si>
  <si>
    <t>Lamix 24.7SC</t>
  </si>
  <si>
    <t>AP-3501</t>
  </si>
  <si>
    <t>Country Bean | - | 0.5 ml/L of water
Tea | Helopeltis | 250 ml/ha</t>
  </si>
  <si>
    <t>Dao-Ming 24.7EC</t>
  </si>
  <si>
    <t>AP-3897</t>
  </si>
  <si>
    <t>Libra 24.7SC</t>
  </si>
  <si>
    <t>AP-4033</t>
  </si>
  <si>
    <t>200 ml/ha; 0.25 ml/L of water</t>
  </si>
  <si>
    <t>Tea | Helopeltis | 200 ml/ha
Bean | Aphid | 0.25 ml/L of water</t>
  </si>
  <si>
    <t>Shutdown 25SC</t>
  </si>
  <si>
    <t>AP-4034</t>
  </si>
  <si>
    <t>Cotton | Bollworm | 120 ml/ha</t>
  </si>
  <si>
    <t>Larmethoxy 25SC</t>
  </si>
  <si>
    <t>AP-4444</t>
  </si>
  <si>
    <t>Lambox 24.7SC</t>
  </si>
  <si>
    <t>AP-4905</t>
  </si>
  <si>
    <t>Haydon 24.7SC</t>
  </si>
  <si>
    <t>AP-4906</t>
  </si>
  <si>
    <t>Cotton, Bean</t>
  </si>
  <si>
    <t>Aphid, Jassid, Aphid</t>
  </si>
  <si>
    <t>150 ml/ha; 0.5 g/L of water</t>
  </si>
  <si>
    <t>Cotton | Aphid, Jassid | 150 ml/ha
Bean | Aphid | 0.5 g/L of water</t>
  </si>
  <si>
    <t>M-Gold 24.7SC</t>
  </si>
  <si>
    <t>AP-4907</t>
  </si>
  <si>
    <t>Path 24.7SC</t>
  </si>
  <si>
    <t>AP-5358</t>
  </si>
  <si>
    <t>Thialem 24.7SC</t>
  </si>
  <si>
    <t>AP-5575</t>
  </si>
  <si>
    <t>Bean | Aphid | 0.5 ml/L of water
Tea | Helopeltis | 250 ml/ha</t>
  </si>
  <si>
    <t>Constant Super 24EC</t>
  </si>
  <si>
    <t>AP-5741</t>
  </si>
  <si>
    <t>Alika 24.70ZC</t>
  </si>
  <si>
    <t>AP-6042</t>
  </si>
  <si>
    <t>Tomato | Leaf miner | 0.5 ml/L of water</t>
  </si>
  <si>
    <t>Thiacloprid</t>
  </si>
  <si>
    <t>Malanto 240SC</t>
  </si>
  <si>
    <t>AP-2310</t>
  </si>
  <si>
    <t>Jassid, White fly</t>
  </si>
  <si>
    <t>1 ml/L of water &amp; 200 ml/ha</t>
  </si>
  <si>
    <t>Cotton | Jassid, White fly | 1 ml/L of water &amp; 200 ml/ha</t>
  </si>
  <si>
    <t>Calypso 240SC</t>
  </si>
  <si>
    <t>AP-2423</t>
  </si>
  <si>
    <t>Jassid, White fly, Helopeltis</t>
  </si>
  <si>
    <t>1 ml/L of water &amp; 200 ml/ha; 375 ml/ha</t>
  </si>
  <si>
    <t>Cotton | Jassid, White fly | 1 ml/L of water &amp; 200 ml/ha
Tea | Helopeltis | 375 ml/ha</t>
  </si>
  <si>
    <t>Helocide 24SC</t>
  </si>
  <si>
    <t>AP-4148</t>
  </si>
  <si>
    <t>375 ml/ha</t>
  </si>
  <si>
    <t>Tea | Helopeltis | 375 ml/ha</t>
  </si>
  <si>
    <t>Asana 24SC</t>
  </si>
  <si>
    <t>AP-4443</t>
  </si>
  <si>
    <t>Jute | Hairy caterpillar | 120 ml/ha</t>
  </si>
  <si>
    <t>Futanto 24SC</t>
  </si>
  <si>
    <t>AP-5606</t>
  </si>
  <si>
    <t>Giver 24SC</t>
  </si>
  <si>
    <t>AP-5726</t>
  </si>
  <si>
    <t>Thiacloprid (9.00%) Beta Cyfluthrin (1.00%)</t>
  </si>
  <si>
    <t>Copa 10SE</t>
  </si>
  <si>
    <t>AP-5984</t>
  </si>
  <si>
    <t>Tea | Helopeltis | 800 ml/ha</t>
  </si>
  <si>
    <t>Thiamethoxam (25%)</t>
  </si>
  <si>
    <t>Actara 25WG</t>
  </si>
  <si>
    <t>AP-428</t>
  </si>
  <si>
    <t>Rice, Cotton, Sugarcane, Mango, Mustard, Banana, Tea, Brinjal, Marigold</t>
  </si>
  <si>
    <t>BPH, Aphid, Jassid, Termite, Hopper, Aphid, Beetle, Helopeltis</t>
  </si>
  <si>
    <t>60 gm/ha; 100 gm/ha; 300 gm/ha; 5 g/L of water; 0.2 g/L of water; 200 gm/ha; 125 gm/ha; 0.25 g/L of water</t>
  </si>
  <si>
    <t>Rice | BPH | 60 gm/ha
Cotton | Aphid, Jassid | 100 gm/ha
Sugarcane | Termite | 300 gm/ha
Mango | Hopper | 5 g/L of water
Mustard | Aphid | 0.2 g/L of water
Banana | Beetle | 0.2 g/L of water
Tea | Termite | 200 gm/ha
Tea | Helopeltis | 125 gm/ha
Brinjal | Aphid, Jassid | 0.25 g/L of water
Marigold | Aphid | 0.25 g/L of water</t>
  </si>
  <si>
    <t>Cruiser 70WS</t>
  </si>
  <si>
    <t>AP-429</t>
  </si>
  <si>
    <t>Cotton, Sugarcane, Rice</t>
  </si>
  <si>
    <t>Aphid &amp; Jassid, Termite, GLH</t>
  </si>
  <si>
    <t>4 g/kg Seeds; (Seed Treatment); 1 g/L of water; (Sett Treatment); 2g/kg seed</t>
  </si>
  <si>
    <t>Cotton | Aphid &amp; Jassid | 4 g/kg Seeds
- | - | (Seed Treatment)
Sugarcane | Termite | 1 g/L of water
Sugarcane | Termite | (Sett Treatment)
Rice | GLH | 2g/kg seed</t>
  </si>
  <si>
    <t>Spike 25WG</t>
  </si>
  <si>
    <t>AP-1050</t>
  </si>
  <si>
    <t>60 gm/ha</t>
  </si>
  <si>
    <t>Rice | Hispa | 60 gm/ha</t>
  </si>
  <si>
    <t>Maxima 25WG</t>
  </si>
  <si>
    <t>AP-1085</t>
  </si>
  <si>
    <t>BPH, Hispa, Aphid, Jassid, Thrips</t>
  </si>
  <si>
    <t>60 gm/ha; 200 gm/ha</t>
  </si>
  <si>
    <t>Rice | BPH, Hispa | 60 gm/ha
Cotton | Aphid, Jassid, Thrips | 200 gm/ha</t>
  </si>
  <si>
    <t>Renova 25WDG</t>
  </si>
  <si>
    <t>AP-1462</t>
  </si>
  <si>
    <t>0.06 kg/ha</t>
  </si>
  <si>
    <t>Rice | BPH | 0.06 kg/ha</t>
  </si>
  <si>
    <t>Ratnatara 25WG</t>
  </si>
  <si>
    <t>AP-1592</t>
  </si>
  <si>
    <t>Aphid, Jassid, Hispa</t>
  </si>
  <si>
    <t>100 gm/ha; 0.06 gm/ha</t>
  </si>
  <si>
    <t>Cotton | Aphid, Jassid | 100 gm/ha
Rice | Hispa | 0.06 gm/ha</t>
  </si>
  <si>
    <t>Rexitara 25WG</t>
  </si>
  <si>
    <t>AP-1915</t>
  </si>
  <si>
    <t>0.06 kg/ha; 200 gm/ha</t>
  </si>
  <si>
    <t>Rice | BPH | 0.06 kg/ha
Tea | Termite | 200 gm/ha</t>
  </si>
  <si>
    <t>Methox 25WG</t>
  </si>
  <si>
    <t>AP-2067</t>
  </si>
  <si>
    <t>BPH, Aphid, Jassid</t>
  </si>
  <si>
    <t>0.06 kg/ha; 100 gm/ha</t>
  </si>
  <si>
    <t>Rice | BPH | 0.06 kg/ha
Cotton | Aphid, Jassid | 100 gm/ha</t>
  </si>
  <si>
    <t>Rex 25WG</t>
  </si>
  <si>
    <t>AP-2200</t>
  </si>
  <si>
    <t>Rice | Hispa | 0.06 kg/ha</t>
  </si>
  <si>
    <t>Slayer 25WDG</t>
  </si>
  <si>
    <t>AP-2201</t>
  </si>
  <si>
    <t>Dotara 25WG</t>
  </si>
  <si>
    <t>AP-2202</t>
  </si>
  <si>
    <t>100 gm/ha; 0.06 kg/ha</t>
  </si>
  <si>
    <t>Cotton | Aphid | 100 gm/ha
Rice | BPH | 0.06 kg/ha</t>
  </si>
  <si>
    <t>Zabat 25WG</t>
  </si>
  <si>
    <t>AP-2410</t>
  </si>
  <si>
    <t>Mustard, Rice, Tea</t>
  </si>
  <si>
    <t>Aphid, BPH, Helopeltis</t>
  </si>
  <si>
    <t>0.2 g/L of water; 0.06 kg/ha; 125 gm/ha</t>
  </si>
  <si>
    <t>Mustard | Aphid | 0.2 g/L of water
Rice | BPH | 0.06 kg/ha
Tea | Helopeltis | 125 gm/ha</t>
  </si>
  <si>
    <t>Marvel XL 25WG</t>
  </si>
  <si>
    <t>AP-2755</t>
  </si>
  <si>
    <t>Quiz Xtra 25WG</t>
  </si>
  <si>
    <t>AP-2953</t>
  </si>
  <si>
    <t>Random Star 25WG</t>
  </si>
  <si>
    <t>AP-2954</t>
  </si>
  <si>
    <t>Tala 25WP</t>
  </si>
  <si>
    <t>AP-2975</t>
  </si>
  <si>
    <t>Baul 25WG</t>
  </si>
  <si>
    <t>AP-2976</t>
  </si>
  <si>
    <t>Pro-Xam 25 WDG</t>
  </si>
  <si>
    <t>AP-3419</t>
  </si>
  <si>
    <t>Tea | Helopeltis | 125 gm/ha
Rice | BPH | 125 gm/ha</t>
  </si>
  <si>
    <t>Dhumtara 25WG</t>
  </si>
  <si>
    <t>AP-3420</t>
  </si>
  <si>
    <t>Tea | Aphid | 125 gm/ha</t>
  </si>
  <si>
    <t>Damex 25WG</t>
  </si>
  <si>
    <t>AP-3421</t>
  </si>
  <si>
    <t>Jute | Hairy caterpillar | 60 gm/ha</t>
  </si>
  <si>
    <t>Pachtara 25WP</t>
  </si>
  <si>
    <t>AP-3846</t>
  </si>
  <si>
    <t>Formethoxam 25WG</t>
  </si>
  <si>
    <t>AP-4138</t>
  </si>
  <si>
    <t>Rice | BPH | 60 gm/ha</t>
  </si>
  <si>
    <t>Laltara 25WG</t>
  </si>
  <si>
    <t>AP-4574</t>
  </si>
  <si>
    <t>Noytara 25WDG</t>
  </si>
  <si>
    <t>AP-4575</t>
  </si>
  <si>
    <t>Tea | Helopeltis | 125 gm/ha</t>
  </si>
  <si>
    <t>Aratca 25WDG</t>
  </si>
  <si>
    <t>AP-4903</t>
  </si>
  <si>
    <t>Nilton 70WDG</t>
  </si>
  <si>
    <t>AP-4987</t>
  </si>
  <si>
    <t>Thiocide 75WDG</t>
  </si>
  <si>
    <t>AP-5296</t>
  </si>
  <si>
    <t>Tea | Termite | 70 gm/ha</t>
  </si>
  <si>
    <t>Thiamethoxam (20%) + Chlorantraniliprole (20%)</t>
  </si>
  <si>
    <t>Virtako 40WG</t>
  </si>
  <si>
    <t>AP-1618</t>
  </si>
  <si>
    <t>Yellow Stemborer, Stem borer 100 gm/ha</t>
  </si>
  <si>
    <t>Rice, Sugarcane | Yellow Stemborer, Stem borer 100 gm/ha | 75 gm/ha</t>
  </si>
  <si>
    <t>(20% + 10%)</t>
  </si>
  <si>
    <t>Voliam Flexi 300SC</t>
  </si>
  <si>
    <t>AP-1620</t>
  </si>
  <si>
    <t>Tomato, Brinjal, Country Bean</t>
  </si>
  <si>
    <t>Fruit borer, Shoot &amp; Fruit Borer, Pod borer</t>
  </si>
  <si>
    <t>Tomato | Fruit borer | 0.5 ml/L of water
Brinjal | Shoot &amp; Fruit Borer | 0.5 ml/L of water
Country Bean | Pod borer | 0.5 ml/L of water</t>
  </si>
  <si>
    <t>Thiamethoxam 25% + Imidacloprid 45%</t>
  </si>
  <si>
    <t>Todon 70WDG</t>
  </si>
  <si>
    <t>AP-4049</t>
  </si>
  <si>
    <t>Thiaprid 70WDG</t>
  </si>
  <si>
    <t>AP-4050</t>
  </si>
  <si>
    <t>500 gm/ha; 0.2 g/L of water; 125 gm/ha</t>
  </si>
  <si>
    <t>Tea | Termite | 500 gm/ha
Brinjal | Aphid | 0.2 g/L of water
Rice | BPH | 125 gm/ha</t>
  </si>
  <si>
    <t>Imixam 70WDG</t>
  </si>
  <si>
    <t>AP-4487</t>
  </si>
  <si>
    <t>Cobra Agro Care Lrd.</t>
  </si>
  <si>
    <t>500 gm/ha; 60 gm/ha</t>
  </si>
  <si>
    <t>Tea | Aphid | 500 gm/ha
Rice | BPH | 60 gm/ha</t>
  </si>
  <si>
    <t>Thiami 70WDG</t>
  </si>
  <si>
    <t>AP-4488</t>
  </si>
  <si>
    <t>Bicojom 73WDG</t>
  </si>
  <si>
    <t>AP-4954</t>
  </si>
  <si>
    <t>500 gm/ha; 0.2 g/L of water</t>
  </si>
  <si>
    <t>Tea | Helopeltis | 500 gm/ha
Brinjal | Aphid | 0.2 g/L of water</t>
  </si>
  <si>
    <t>(3% + 70%)</t>
  </si>
  <si>
    <t>Mushy 73WDG</t>
  </si>
  <si>
    <t>AP-5297</t>
  </si>
  <si>
    <t>0.125 Kg/ha; 100 gm/ha</t>
  </si>
  <si>
    <t>Rice | BPH | 0.125 Kg/ha
Tea | Aphid | 100 gm/ha</t>
  </si>
  <si>
    <t>Niamot 70WDG</t>
  </si>
  <si>
    <t>AP-5298</t>
  </si>
  <si>
    <t>0.125 Kg/ha</t>
  </si>
  <si>
    <t>Rice | BPH | 0.125 Kg/ha</t>
  </si>
  <si>
    <t>Luvan 70WDG</t>
  </si>
  <si>
    <t>AP-5299</t>
  </si>
  <si>
    <t>Rice | BPH | 0.125 Kg/ha
Tea | Helopeltis | 100 gm/ha</t>
  </si>
  <si>
    <t>Tatamid Plus 73WP</t>
  </si>
  <si>
    <t>AP-5300</t>
  </si>
  <si>
    <t>Methoprid 73WDG</t>
  </si>
  <si>
    <t>AP-5301</t>
  </si>
  <si>
    <t>Cotton | Ballworm | 100 gm/ha</t>
  </si>
  <si>
    <t>Natureprid 73WDG</t>
  </si>
  <si>
    <t>AP-5302</t>
  </si>
  <si>
    <t>125 gm/ha; 0.2 g/L of water</t>
  </si>
  <si>
    <t>Jute | Hairy caterpillar | 125 gm/ha
Brinjal | Aphid | 0.2 g/L of water</t>
  </si>
  <si>
    <t>Jumka 70WDG</t>
  </si>
  <si>
    <t>AP-5595</t>
  </si>
  <si>
    <t>Muntaha 70WDG</t>
  </si>
  <si>
    <t>AP-5596</t>
  </si>
  <si>
    <t>1 g/L of water; 60 gm/ha</t>
  </si>
  <si>
    <t>Bean | Aphid | 1 g/L of water
Rice | BPH | 60 gm/ha</t>
  </si>
  <si>
    <t>Rimixam 70WDG</t>
  </si>
  <si>
    <t>AP-5983</t>
  </si>
  <si>
    <t>Emamectin Benzoate (5%) + Imidacloprid (70%)</t>
  </si>
  <si>
    <t>Capture 75WDG</t>
  </si>
  <si>
    <t>AP-4459</t>
  </si>
  <si>
    <t>Rice, Jute, Brinjal</t>
  </si>
  <si>
    <t>35.7 gm/ha; 250 gm/ha; 0.2 g/L of water</t>
  </si>
  <si>
    <t>Rice | BPH | 35.7 gm/ha
Jute | Hairy caterpillar | 250 gm/ha
Brinjal | Aphid | 0.2 g/L of water</t>
  </si>
  <si>
    <t>Benzima 75WDG</t>
  </si>
  <si>
    <t>AP-4961</t>
  </si>
  <si>
    <t>Huntking 75WDG</t>
  </si>
  <si>
    <t>AP-5982</t>
  </si>
  <si>
    <t>Hanto Agro Chemicals</t>
  </si>
  <si>
    <t>Chlorantraniliprole</t>
  </si>
  <si>
    <t>Ferterra 0.4G</t>
  </si>
  <si>
    <t>AP-1638</t>
  </si>
  <si>
    <t>Yellow Stemborer, Nematode, Top shoot borer, White grub</t>
  </si>
  <si>
    <t>10.00 kg/ha; 70 g/m2; 20.00 kg/ha</t>
  </si>
  <si>
    <t>Rice | Yellow Stemborer | 10.00 kg/ha
Tea | Nematode | 70 g/m2
Sugarcane | Top shoot borer | 20.00 kg/ha
Sugarcane | White grub | 20.00 kg/ha</t>
  </si>
  <si>
    <t>Coragen 18.5SC</t>
  </si>
  <si>
    <t>AP-2068</t>
  </si>
  <si>
    <t>Rice, Sugarcane, Tomato</t>
  </si>
  <si>
    <t>YSB, Top shoot borer, Termite, Fruit borer</t>
  </si>
  <si>
    <t>0.15 L/ha; 500 ml/ha; 0.5 ml/L of water</t>
  </si>
  <si>
    <t>Rice | YSB | 0.15 L/ha
Sugarcane | Top shoot borer, Termite | 500 ml/ha
Tomato | Fruit borer | 0.5 ml/L of water</t>
  </si>
  <si>
    <t>Thiodicarb</t>
  </si>
  <si>
    <t>Larvin 75WP</t>
  </si>
  <si>
    <t>AP-1583</t>
  </si>
  <si>
    <t>Bollworm, Cutworm</t>
  </si>
  <si>
    <t>1.00 L/ha; 2 g/L of water</t>
  </si>
  <si>
    <t>Cotton | Bollworm | 1.00 L/ha
Potato | Cutworm | 2 g/L of water</t>
  </si>
  <si>
    <t>Thiamethoxam (20% / 10%) + Emamectin Benzoate (20%)</t>
  </si>
  <si>
    <t>Kaplan 300SC</t>
  </si>
  <si>
    <t>AP-2982</t>
  </si>
  <si>
    <t>250 L/ha</t>
  </si>
  <si>
    <t>Rice | BPH | 250 L/ha</t>
  </si>
  <si>
    <t>Ultima Plus 40WG</t>
  </si>
  <si>
    <t>AP-3216</t>
  </si>
  <si>
    <t>Aphid, Jassid, Bollworm, BPH</t>
  </si>
  <si>
    <t>Cotton | Aphid, Jassid, Bollworm | 125 gm/ha
Rice | BPH | 125 gm/ha</t>
  </si>
  <si>
    <t>Valor 40WDG</t>
  </si>
  <si>
    <t>AP-3502</t>
  </si>
  <si>
    <t>Fix Two 40WG</t>
  </si>
  <si>
    <t>AP-3503</t>
  </si>
  <si>
    <t>Gillette 40WDG</t>
  </si>
  <si>
    <t>AP-3504</t>
  </si>
  <si>
    <t>Cotton | Aphid, Bollworm | 100 gm/ha</t>
  </si>
  <si>
    <t>ET-Gold 40WG</t>
  </si>
  <si>
    <t>AP-3505</t>
  </si>
  <si>
    <t>124 gm/ha</t>
  </si>
  <si>
    <t>Cotton | Aphid, Jassid, Bollworm | 124 gm/ha</t>
  </si>
  <si>
    <t>Solid Plus 30 SC</t>
  </si>
  <si>
    <t>AP-3506</t>
  </si>
  <si>
    <t>Fair Plus 40WG</t>
  </si>
  <si>
    <t>AP-3847</t>
  </si>
  <si>
    <t>Express 40WDG</t>
  </si>
  <si>
    <t>AP-3848</t>
  </si>
  <si>
    <t>Exponent 40WD</t>
  </si>
  <si>
    <t>AP-3849</t>
  </si>
  <si>
    <t>Flame 30SC</t>
  </si>
  <si>
    <t>AP-3850</t>
  </si>
  <si>
    <t>0.25 L/ha; 0.5 g/L of water</t>
  </si>
  <si>
    <t>Rice | BPH | 0.25 L/ha
Potato | Aphid | 0.5 g/L of water</t>
  </si>
  <si>
    <t>Shengh-Li 30SC</t>
  </si>
  <si>
    <t>AP-3851</t>
  </si>
  <si>
    <t>0.25 L/ha; 100 ml/ha</t>
  </si>
  <si>
    <t>Rice | BPH | 0.25 L/ha
Tea | Helopeltis | 100 ml/ha</t>
  </si>
  <si>
    <t>Xu-Long 40WG</t>
  </si>
  <si>
    <t>AP-3852</t>
  </si>
  <si>
    <t>BPH, Helopeltis, Aphid</t>
  </si>
  <si>
    <t>125 gm/ha; 100 gm/ha; 1 g/L of water</t>
  </si>
  <si>
    <t>Rice | BPH | 125 gm/ha
Tea | Helopeltis | 100 gm/ha
Bean | Aphid | 1 g/L of water</t>
  </si>
  <si>
    <t>Benthiam 40WDG</t>
  </si>
  <si>
    <t>AP-3853</t>
  </si>
  <si>
    <t>White Wash 40WG</t>
  </si>
  <si>
    <t>AP-3854</t>
  </si>
  <si>
    <t>Rice | YSB | 125 gm/ha</t>
  </si>
  <si>
    <t>Planet 40WDG</t>
  </si>
  <si>
    <t>AP-3855</t>
  </si>
  <si>
    <t>Over 40WDG</t>
  </si>
  <si>
    <t>AP-3856</t>
  </si>
  <si>
    <t>Herculex 40WG</t>
  </si>
  <si>
    <t>AP-3857</t>
  </si>
  <si>
    <t>Chromium 30SC</t>
  </si>
  <si>
    <t>AP-3858</t>
  </si>
  <si>
    <t>0.25 L/ha</t>
  </si>
  <si>
    <t>Rice | BPH | 0.25 L/ha</t>
  </si>
  <si>
    <t>Betco 40WDG</t>
  </si>
  <si>
    <t>AP-3859</t>
  </si>
  <si>
    <t>Emperior 40WG</t>
  </si>
  <si>
    <t>AP-4107</t>
  </si>
  <si>
    <t>120 gm/ha; 125 gm/ha</t>
  </si>
  <si>
    <t>Jute | Yellow mite | 120 gm/ha
Rice | BPH | 125 gm/ha</t>
  </si>
  <si>
    <t>Corus 40WDG</t>
  </si>
  <si>
    <t>AP-4108</t>
  </si>
  <si>
    <t>Lactima 40WDG</t>
  </si>
  <si>
    <t>AP-4109</t>
  </si>
  <si>
    <t>Fair Plus 30SC</t>
  </si>
  <si>
    <t>AP-4111</t>
  </si>
  <si>
    <t>Express 30SC</t>
  </si>
  <si>
    <t>AP-4112</t>
  </si>
  <si>
    <t>Exponent 30SC</t>
  </si>
  <si>
    <t>AP-4113</t>
  </si>
  <si>
    <t>Fizoate 40WG</t>
  </si>
  <si>
    <t>AP-4114</t>
  </si>
  <si>
    <t>Mix Two 40WDG</t>
  </si>
  <si>
    <t>AP-4115</t>
  </si>
  <si>
    <t>Methotin 30WDG</t>
  </si>
  <si>
    <t>AP-4116</t>
  </si>
  <si>
    <t>Rice | BPH | 125 gm/ha
Tea | Helopeltis | 125 gm/ha</t>
  </si>
  <si>
    <t>Hope Plus 40WDG</t>
  </si>
  <si>
    <t>AP-4117</t>
  </si>
  <si>
    <t>31 32</t>
  </si>
  <si>
    <t>Nirjhor Super 40WG</t>
  </si>
  <si>
    <t>AP-4118</t>
  </si>
  <si>
    <t>Mallik Agro Industries</t>
  </si>
  <si>
    <t>Winmax 40WDG</t>
  </si>
  <si>
    <t>AP-4119</t>
  </si>
  <si>
    <t>33 34</t>
  </si>
  <si>
    <t>Square Super 40WDG</t>
  </si>
  <si>
    <t>AP-4120</t>
  </si>
  <si>
    <t>Rexigold 30SC</t>
  </si>
  <si>
    <t>AP-4121</t>
  </si>
  <si>
    <t>Cotton | Aphid, Jassid | 125 ml/ha</t>
  </si>
  <si>
    <t>35 36</t>
  </si>
  <si>
    <t>Retako 40WG</t>
  </si>
  <si>
    <t>AP-4122</t>
  </si>
  <si>
    <t>Suktara 40WG</t>
  </si>
  <si>
    <t>AP-4512</t>
  </si>
  <si>
    <t>Tanel 40WG</t>
  </si>
  <si>
    <t>AP-4514</t>
  </si>
  <si>
    <t>Serf Two 40WDG</t>
  </si>
  <si>
    <t>AP-4515</t>
  </si>
  <si>
    <t>Voyage Two 40WDG</t>
  </si>
  <si>
    <t>AP-4517</t>
  </si>
  <si>
    <t>Rice | BPH | 125 gm/ha
Tea | Red spider mite | 100 gm/ha</t>
  </si>
  <si>
    <t>Jordan 40WDG</t>
  </si>
  <si>
    <t>AP-4519</t>
  </si>
  <si>
    <t>Vigoraj 40WDG</t>
  </si>
  <si>
    <t>AP-4521</t>
  </si>
  <si>
    <t>Absotima 40WG</t>
  </si>
  <si>
    <t>AP-4522</t>
  </si>
  <si>
    <t>Absolve Crop care</t>
  </si>
  <si>
    <t>Natima 40WG</t>
  </si>
  <si>
    <t>AP-4212</t>
  </si>
  <si>
    <t>M-Bat 40WDG</t>
  </si>
  <si>
    <t>AP-4962</t>
  </si>
  <si>
    <t>Cotton | Aphid, Jassid, Ballworm | 100 gm/ha</t>
  </si>
  <si>
    <t>Mangal 40WDG</t>
  </si>
  <si>
    <t>AP-4963</t>
  </si>
  <si>
    <t>Amazon 40WDG</t>
  </si>
  <si>
    <t>AP-4964</t>
  </si>
  <si>
    <t>Methoben 40WDG</t>
  </si>
  <si>
    <t>AP-4965</t>
  </si>
  <si>
    <t>KB Xam 40WG</t>
  </si>
  <si>
    <t>AP-4966</t>
  </si>
  <si>
    <t>Aphid, Hairy caterpillar, BPH</t>
  </si>
  <si>
    <t>100 gm/ha; 75 gm/ha; 0.125 gm/ha</t>
  </si>
  <si>
    <t>Tea | Aphid | 100 gm/ha
Jute | Hairy caterpillar | 75 gm/ha
Rice | BPH | 0.125 gm/ha</t>
  </si>
  <si>
    <t>Aline 40WDG</t>
  </si>
  <si>
    <t>AP-4967</t>
  </si>
  <si>
    <t>100 gm/ha; 0.125 Kg/ha; 125 gm/ha</t>
  </si>
  <si>
    <t>Tea | Aphid | 100 gm/ha
Rice | BPH | 0.125 Kg/ha
Jute | Hairy caterpillar | 125 gm/ha</t>
  </si>
  <si>
    <t>Thiema Plus 40WG</t>
  </si>
  <si>
    <t>AP-4968</t>
  </si>
  <si>
    <t>100 gm/ha; 75 gm/ha</t>
  </si>
  <si>
    <t>Tea | Helopeltis | 100 gm/ha
Jute | Hairy caterpillar | 75 gm/ha</t>
  </si>
  <si>
    <t>Ether Plus 40WG</t>
  </si>
  <si>
    <t>AP-4969</t>
  </si>
  <si>
    <t>Tea | Helopeltis | 100 gm/ha
Rice | BPH | 125 gm/ha</t>
  </si>
  <si>
    <t>G-Zot 40WG</t>
  </si>
  <si>
    <t>AP-4970</t>
  </si>
  <si>
    <t>Jute, Tea, Rice</t>
  </si>
  <si>
    <t>Hairy caterpillar, Helopeltis, BPH</t>
  </si>
  <si>
    <t>75 gm/ha; 100 gm/ha; 125 gm/ha</t>
  </si>
  <si>
    <t>Jute | Hairy caterpillar | 75 gm/ha
Tea | Helopeltis | 100 gm/ha
Rice | BPH | 125 gm/ha</t>
  </si>
  <si>
    <t>Lender Plus 40WDG</t>
  </si>
  <si>
    <t>AP-4972</t>
  </si>
  <si>
    <t>Thiatin 40WG</t>
  </si>
  <si>
    <t>AP-4973</t>
  </si>
  <si>
    <t>Tea | Aphid | 100 gm/ha
Rice | BPH | 125 gm/ha</t>
  </si>
  <si>
    <t>Vibac 40WDG</t>
  </si>
  <si>
    <t>AP-4974</t>
  </si>
  <si>
    <t>Suck Plus 40WG</t>
  </si>
  <si>
    <t>AP-4975</t>
  </si>
  <si>
    <t>D-Shine 40WG</t>
  </si>
  <si>
    <t>AP-5287</t>
  </si>
  <si>
    <t>Aphid, Yellow Stemborer</t>
  </si>
  <si>
    <t>Tea | Aphid | 100 gm/ha
Rice | Yellow Stemborer | 125 gm/ha</t>
  </si>
  <si>
    <t>Red Ball 40WG</t>
  </si>
  <si>
    <t>AP-5288</t>
  </si>
  <si>
    <t>Simahin 40WG</t>
  </si>
  <si>
    <t>AP-5289</t>
  </si>
  <si>
    <t>Jute | Hairy caterpillar | 75 gm/ha</t>
  </si>
  <si>
    <t>Kenvous 40WG</t>
  </si>
  <si>
    <t>AP-5290</t>
  </si>
  <si>
    <t>Nirjhor Super Plus 40WG</t>
  </si>
  <si>
    <t>AP-5291</t>
  </si>
  <si>
    <t>Thimetin 40WG</t>
  </si>
  <si>
    <t>AP-5292</t>
  </si>
  <si>
    <t>Kontima Plus 40WDG</t>
  </si>
  <si>
    <t>AP-5293</t>
  </si>
  <si>
    <t>Confirm 40WDG</t>
  </si>
  <si>
    <t>AP-5294</t>
  </si>
  <si>
    <t>0.125 Kg/ha; 150 gm</t>
  </si>
  <si>
    <t>Rice | BPH | 0.125 Kg/ha
Tea | Helopeltis | 150 gm</t>
  </si>
  <si>
    <t>65 66 67 68 69</t>
  </si>
  <si>
    <t>Nopa 40WDG</t>
  </si>
  <si>
    <t>AP-5295</t>
  </si>
  <si>
    <t>Mantasha 40WDG</t>
  </si>
  <si>
    <t>AP-5497</t>
  </si>
  <si>
    <t>Surma Plus 40WG</t>
  </si>
  <si>
    <t>AP-5498</t>
  </si>
  <si>
    <t>Sky Green 40WDG</t>
  </si>
  <si>
    <t>AP-5499</t>
  </si>
  <si>
    <t>The Sky Agro Products</t>
  </si>
  <si>
    <t>X-Zone 40WDG</t>
  </si>
  <si>
    <t>AP-5500</t>
  </si>
  <si>
    <t>Number One 40WG</t>
  </si>
  <si>
    <t>AP-5501</t>
  </si>
  <si>
    <t>150 gm/ha; 1 g/L of water</t>
  </si>
  <si>
    <t>Tea | Red spider mite | 150 gm/ha
Brinjal | Aphid | 1 g/L of water</t>
  </si>
  <si>
    <t>V-Two 40WDG</t>
  </si>
  <si>
    <t>AP-5502</t>
  </si>
  <si>
    <t>Silvex 40WDG</t>
  </si>
  <si>
    <t>AP-5503</t>
  </si>
  <si>
    <t>Cutworm, Aphid</t>
  </si>
  <si>
    <t>1 g/L of water; 150 gm/ha</t>
  </si>
  <si>
    <t>Potato | Cutworm | 1 g/L of water
Tea | Aphid | 150 gm/ha</t>
  </si>
  <si>
    <t>Metal 40WG</t>
  </si>
  <si>
    <t>AP-5504</t>
  </si>
  <si>
    <t>Velosun 40WG</t>
  </si>
  <si>
    <t>AP-5505</t>
  </si>
  <si>
    <t>SB Super 40WDG</t>
  </si>
  <si>
    <t>AP-5506</t>
  </si>
  <si>
    <t>Florent 40WDG</t>
  </si>
  <si>
    <t>AP-5507</t>
  </si>
  <si>
    <t>Farmix 40WDG</t>
  </si>
  <si>
    <t>AP-5508</t>
  </si>
  <si>
    <t>Uni-Super 40WDG</t>
  </si>
  <si>
    <t>AP-5509</t>
  </si>
  <si>
    <t>0.2 g/L of water; 150 gm/ha</t>
  </si>
  <si>
    <t>Bean | Aphid | 0.2 g/L of water
Tea | Red spider mite | 150 gm/ha</t>
  </si>
  <si>
    <t>Bagha 40WDG</t>
  </si>
  <si>
    <t>AP-5510</t>
  </si>
  <si>
    <t>SK-Super 40WDG</t>
  </si>
  <si>
    <t>AP-5748</t>
  </si>
  <si>
    <t>S K Crop Care</t>
  </si>
  <si>
    <t>Tea | Red spider mite | 150 gm/ha</t>
  </si>
  <si>
    <t>Vision Plus 40WDG</t>
  </si>
  <si>
    <t>AP-5749</t>
  </si>
  <si>
    <t>Atlanta Plus 40WDG</t>
  </si>
  <si>
    <t>AP-5750</t>
  </si>
  <si>
    <t>Gurdian 40WDG</t>
  </si>
  <si>
    <t>AP-5751</t>
  </si>
  <si>
    <t>BPH, Yellow Mite</t>
  </si>
  <si>
    <t>125 gm/ha; 120 gm/ha</t>
  </si>
  <si>
    <t>Rice | BPH | 125 gm/ha
Jute | Yellow Mite | 120 gm/ha</t>
  </si>
  <si>
    <t>Best Finisher 40WDG</t>
  </si>
  <si>
    <t>AP-5752</t>
  </si>
  <si>
    <t>125 gm/ha; 100 g/ha</t>
  </si>
  <si>
    <t>Rice | BPH | 125 gm/ha
Tea | Helopeltis | 100 g/ha</t>
  </si>
  <si>
    <t>Nap Think Plus 40WDG</t>
  </si>
  <si>
    <t>AP-5753</t>
  </si>
  <si>
    <t>Repeal 40WDG</t>
  </si>
  <si>
    <t>AP-5754</t>
  </si>
  <si>
    <t>BPH, Ball worm</t>
  </si>
  <si>
    <t>Rice | BPH | 125 gm/ha
Cotton | Ball worm | 125 gm/ha</t>
  </si>
  <si>
    <t>Prostar 40WDG</t>
  </si>
  <si>
    <t>AP-5755</t>
  </si>
  <si>
    <t>Thioben 40WDG</t>
  </si>
  <si>
    <t>AP-5756</t>
  </si>
  <si>
    <t>Astop Plus 40WDG</t>
  </si>
  <si>
    <t>AP-5757</t>
  </si>
  <si>
    <t>Hundred Plus 40WDG</t>
  </si>
  <si>
    <t>AP-5758</t>
  </si>
  <si>
    <t>Jute | Hairy Caterpillar | 75 gm/ha</t>
  </si>
  <si>
    <t>Pasthima 40WDG</t>
  </si>
  <si>
    <t>AP-5759</t>
  </si>
  <si>
    <t>Rice | Yellow Stemborer | 125 gm/ha</t>
  </si>
  <si>
    <t>Chiefboss 40WDG</t>
  </si>
  <si>
    <t>AP-5927</t>
  </si>
  <si>
    <t>Duishw Duishw 40WDG</t>
  </si>
  <si>
    <t>AP-5928</t>
  </si>
  <si>
    <t>Hytron 40WDG</t>
  </si>
  <si>
    <t>AP-5929</t>
  </si>
  <si>
    <t>Gmex 40WDG</t>
  </si>
  <si>
    <t>AP-5930</t>
  </si>
  <si>
    <t>Unimaa Plus 40WDG</t>
  </si>
  <si>
    <t>AP-5931</t>
  </si>
  <si>
    <t>125 g/ha; 1 g/L of water</t>
  </si>
  <si>
    <t>Rice | BPH | 125 g/ha
Bean | Aphid | 1 g/L of water</t>
  </si>
  <si>
    <t>Zoom Plus 40WDG</t>
  </si>
  <si>
    <t>AP-5932</t>
  </si>
  <si>
    <t>Rice | BPH | 125 g/ha
Jute | Hairy caterpillar | 125 g/ha</t>
  </si>
  <si>
    <t>Prime Plus 40WDG</t>
  </si>
  <si>
    <t>AP-5933</t>
  </si>
  <si>
    <t>Thiamectin 40WDG</t>
  </si>
  <si>
    <t>AP-5934</t>
  </si>
  <si>
    <t>Anti borer 40WDG</t>
  </si>
  <si>
    <t>AP-5935</t>
  </si>
  <si>
    <t>Erix 40WDG</t>
  </si>
  <si>
    <t>AP-5936</t>
  </si>
  <si>
    <t>Kompon 40WDG</t>
  </si>
  <si>
    <t>AP-5937</t>
  </si>
  <si>
    <t>Power Ematin 40WDG</t>
  </si>
  <si>
    <t>AP-5938</t>
  </si>
  <si>
    <t>Limitako 40WDG</t>
  </si>
  <si>
    <t>AP-5939</t>
  </si>
  <si>
    <t>The Limit Agroproducts Linited</t>
  </si>
  <si>
    <t>Tabthiam 40WDG</t>
  </si>
  <si>
    <t>AP-5940</t>
  </si>
  <si>
    <t>TAB Brand Ltd.</t>
  </si>
  <si>
    <t>Sisnova Super 40WDG</t>
  </si>
  <si>
    <t>AP-5941</t>
  </si>
  <si>
    <t>KG Plus 40WDG</t>
  </si>
  <si>
    <t>AP-5942</t>
  </si>
  <si>
    <t>MMI New World 40WDG</t>
  </si>
  <si>
    <t>AP-5943</t>
  </si>
  <si>
    <t>Thiamethoxam (12%) + Fipronil (6%)</t>
  </si>
  <si>
    <t>Fixam 180SC</t>
  </si>
  <si>
    <t>AP-3899</t>
  </si>
  <si>
    <t>Duel Core 180SC</t>
  </si>
  <si>
    <t>AP-3900</t>
  </si>
  <si>
    <t>Progress 18SC</t>
  </si>
  <si>
    <t>AP-4147</t>
  </si>
  <si>
    <t>Thipro 18SC</t>
  </si>
  <si>
    <t>AP-4445</t>
  </si>
  <si>
    <t>100 ml/ha</t>
  </si>
  <si>
    <t>Jute | Hairy caterpiller | 100 ml/ha</t>
  </si>
  <si>
    <t>Reload 18SC</t>
  </si>
  <si>
    <t>AP-5322</t>
  </si>
  <si>
    <t>250 ml/ha; 125 g/ha</t>
  </si>
  <si>
    <t>Tea | Helopeltis | 250 ml/ha
Rice | BPH | 125 g/ha</t>
  </si>
  <si>
    <t>Yellow Flexi 18SC</t>
  </si>
  <si>
    <t>AP-5590</t>
  </si>
  <si>
    <t>Rice | BPH | 500 ml</t>
  </si>
  <si>
    <t>Trizophos</t>
  </si>
  <si>
    <t>Stop 40EC</t>
  </si>
  <si>
    <t>AP-1890</t>
  </si>
  <si>
    <t>Tea | Red spider mite | 1.20 L/ha</t>
  </si>
  <si>
    <t>Bicozophos 40EC</t>
  </si>
  <si>
    <t>AP-2974</t>
  </si>
  <si>
    <t>Zeta Cypermethrin</t>
  </si>
  <si>
    <t>Fury 5EC</t>
  </si>
  <si>
    <t>AP-1613</t>
  </si>
  <si>
    <t>Petrochem (Bangladesh) Ltd</t>
  </si>
  <si>
    <t>Brinjal, Longyard bean, Tea</t>
  </si>
  <si>
    <t>Jassid, Pod borer, Helopeltis</t>
  </si>
  <si>
    <t>1.5 ml/L of water; 1 ml/L of water; 500 ml/ha</t>
  </si>
  <si>
    <t>Brinjal | Jassid | 1.5 ml/L of water
Longyard bean | Pod borer | 1 ml/L of water
Tea | Helopeltis | 500 ml/ha</t>
  </si>
  <si>
    <t>Cyromazine</t>
  </si>
  <si>
    <t>Hayromazine 75WP</t>
  </si>
  <si>
    <t>AP-3370</t>
  </si>
  <si>
    <t>0.15 kg/ha; 150 gm/ha</t>
  </si>
  <si>
    <t>Rice | BPH | 0.15 kg/ha
Brinjal | Aphid | 150 gm/ha</t>
  </si>
  <si>
    <t>Koradex 50SP</t>
  </si>
  <si>
    <t>AP-6034</t>
  </si>
  <si>
    <t>Cyromazin (5%) + Thiosultap Monosodium (25%)</t>
  </si>
  <si>
    <t>Helper 30WP</t>
  </si>
  <si>
    <t>AP-5588</t>
  </si>
  <si>
    <t>Tea | Red spider mite | 1.0 Kg/ha</t>
  </si>
  <si>
    <t>Imidacloprid (25%) + Thiram (20%)</t>
  </si>
  <si>
    <t>Hadak 45WP</t>
  </si>
  <si>
    <t>AP-3390</t>
  </si>
  <si>
    <t>26 g/L of water</t>
  </si>
  <si>
    <t>Tomato | Wilt | 26 g/L of water</t>
  </si>
  <si>
    <t>Prosper 73WG</t>
  </si>
  <si>
    <t>AP-3860</t>
  </si>
  <si>
    <t>Amadak 45WP</t>
  </si>
  <si>
    <t>AP-4149</t>
  </si>
  <si>
    <t>Die Back, Black rot, Hiary caterpillar</t>
  </si>
  <si>
    <t>1.00 kg/ha; 400 gm/ha</t>
  </si>
  <si>
    <t>Tea | Die Back, Black rot | 1.00 kg/ha
Jute | Hiary caterpillar | 400 gm/ha</t>
  </si>
  <si>
    <t>Hakdak 45WP</t>
  </si>
  <si>
    <t>AP-4130</t>
  </si>
  <si>
    <t>Die Back, Black rot, Hairy caterpiller, Stem rot</t>
  </si>
  <si>
    <t>1.00 kg/ha; 250 gm/ha; 20 g/10 L of water</t>
  </si>
  <si>
    <t>Tea | Die Back, Black rot | 1.00 kg/ha
Jute | Hairy caterpiller | 250 gm/ha
Jute | Stem rot | 20 g/10 L of water</t>
  </si>
  <si>
    <t>Absodak 45WG</t>
  </si>
  <si>
    <t>AP-4631</t>
  </si>
  <si>
    <t>Red rust, Stem rot</t>
  </si>
  <si>
    <t>1.00 kg/ha; 20 g/10 L of water</t>
  </si>
  <si>
    <t>Tea | Red rust | 1.00 kg/ha
Jute | Stem rot | 20 g/10 L of water</t>
  </si>
  <si>
    <t>Gurfidor Plus 75WG</t>
  </si>
  <si>
    <t>AP-4632</t>
  </si>
  <si>
    <t>Red rust, Hairy caterpillar</t>
  </si>
  <si>
    <t>500 gm/ha; 35 gm/ha</t>
  </si>
  <si>
    <t>Tea | Red rust | 500 gm/ha
Jute | Hairy caterpillar | 35 gm/ha</t>
  </si>
  <si>
    <t>Thimid 35SC</t>
  </si>
  <si>
    <t>AP-4633</t>
  </si>
  <si>
    <t>Red rusr</t>
  </si>
  <si>
    <t>Tea | Red rusr | 1.00 L/ha</t>
  </si>
  <si>
    <t>Ebra 45WP</t>
  </si>
  <si>
    <t>AP-4634</t>
  </si>
  <si>
    <t>Tomato, Chilli</t>
  </si>
  <si>
    <t>Wilt, Aphid</t>
  </si>
  <si>
    <t>Tomato | Wilt | 2 g/L of water
Chilli | Aphid | 2 g/L of water</t>
  </si>
  <si>
    <t>Iaahu 45WP</t>
  </si>
  <si>
    <t>AP-4635</t>
  </si>
  <si>
    <t>Tea | Red rust | 1.00 kg/ha</t>
  </si>
  <si>
    <t>Pathirid 45WP</t>
  </si>
  <si>
    <t>AP-5038</t>
  </si>
  <si>
    <t>Die Back, Hiary caterpillar</t>
  </si>
  <si>
    <t>Tea | Die Back | 1.0 Kg/ha
Jute | Hiary caterpillar | 1.0 Kg/ha</t>
  </si>
  <si>
    <t>M-Ram 45WG</t>
  </si>
  <si>
    <t>AP-5324</t>
  </si>
  <si>
    <t>Irum 45FS</t>
  </si>
  <si>
    <t>AP-5325</t>
  </si>
  <si>
    <t>Tomato | Wilt | 1 ml/L of water</t>
  </si>
  <si>
    <t>Tebufenozide (20%)</t>
  </si>
  <si>
    <t>Acurate 20SC</t>
  </si>
  <si>
    <t>AP-3477</t>
  </si>
  <si>
    <t>Tea | Aphid | 1 ml/L of water</t>
  </si>
  <si>
    <t>IRAC 18</t>
  </si>
  <si>
    <t>Fenpyroximate (5%)</t>
  </si>
  <si>
    <t>Mitisol 5EC</t>
  </si>
  <si>
    <t>AP-3510</t>
  </si>
  <si>
    <t>Fenmite 5SC</t>
  </si>
  <si>
    <t>AP-5308</t>
  </si>
  <si>
    <t>Tea | Red spider mite | 1.00 L/ha
Chilli | Mite | 1 ml/L of water</t>
  </si>
  <si>
    <t>Lufenuron (10%) + Thiamethoxam (30%)</t>
  </si>
  <si>
    <t>Jastin 40WG</t>
  </si>
  <si>
    <t>AP-3511</t>
  </si>
  <si>
    <t>Bollworm, Jassid, Aphid, BPH</t>
  </si>
  <si>
    <t>Cotton | Bollworm, Jassid, Aphid | 100 gm/ha
Rice | BPH | 125 gm/ha</t>
  </si>
  <si>
    <t>Amber 40WDG</t>
  </si>
  <si>
    <t>AP-4032</t>
  </si>
  <si>
    <t>75 gm/ha; 125 gm/ha</t>
  </si>
  <si>
    <t>Jute | Hairy caterpiller | 75 gm/ha
Rice | BPH | 125 gm/ha</t>
  </si>
  <si>
    <t>Dorfen 40WDG</t>
  </si>
  <si>
    <t>AP-4977</t>
  </si>
  <si>
    <t>Phonix 30WDG</t>
  </si>
  <si>
    <t>AP-5340</t>
  </si>
  <si>
    <t>Termite, Hairy Caterpillar</t>
  </si>
  <si>
    <t>200 gm; 100 gm/ha</t>
  </si>
  <si>
    <t>Tea | Termite | 200 gm
Jute | Hairy Caterpillar | 100 gm/ha</t>
  </si>
  <si>
    <t>Lufenin 40WG</t>
  </si>
  <si>
    <t>AP-5341</t>
  </si>
  <si>
    <t>Vimstar 40WDG</t>
  </si>
  <si>
    <t>AP-5342</t>
  </si>
  <si>
    <t>Luthium 40WDG</t>
  </si>
  <si>
    <t>AP-5343</t>
  </si>
  <si>
    <t>Jute | Yellow Mite | 80 gm/ha</t>
  </si>
  <si>
    <t>Lutham 40WDG</t>
  </si>
  <si>
    <t>AP-5522</t>
  </si>
  <si>
    <t>150 gm/ha; 50 g/ha</t>
  </si>
  <si>
    <t>Tea | Aphid | 150 gm/ha
Rice | BPH | 50 g/ha</t>
  </si>
  <si>
    <t>Lufzan 40WDG</t>
  </si>
  <si>
    <t>AP-5523</t>
  </si>
  <si>
    <t>Jute, Bean, Rice</t>
  </si>
  <si>
    <t>Hairy Caterpillar, Aphid, BPH</t>
  </si>
  <si>
    <t>100 gm/ha; 0.2 g/L of water; 125 g/ha</t>
  </si>
  <si>
    <t>Jute | Hairy Caterpillar | 100 gm/ha
Bean | Aphid | 0.2 g/L of water
Rice | BPH | 125 g/ha</t>
  </si>
  <si>
    <t>Ronomax 40WDG</t>
  </si>
  <si>
    <t>AP-5683</t>
  </si>
  <si>
    <t>150 gm/ha; 125 g/ha</t>
  </si>
  <si>
    <t>Tea | Aphid | 150 gm/ha
Rice | BPH | 125 g/ha</t>
  </si>
  <si>
    <t>Lufenuron (5%) + Emamectin Benzoate (5%)</t>
  </si>
  <si>
    <t>Lumectin 10WDG</t>
  </si>
  <si>
    <t>AP-4142</t>
  </si>
  <si>
    <t>BPH, Hairy caterpiller</t>
  </si>
  <si>
    <t>0.5 kg/ha; 250 kg/ha</t>
  </si>
  <si>
    <t>Rice | BPH | 0.5 kg/ha
Jute | Hairy caterpiller | 250 kg/ha</t>
  </si>
  <si>
    <t>Sona 5EC</t>
  </si>
  <si>
    <t>AP-4539</t>
  </si>
  <si>
    <t>Tea | Red spider mite | 1.00 L/ha
Bean | Aphid | 1 ml/L of water</t>
  </si>
  <si>
    <t>Forecho 6EC</t>
  </si>
  <si>
    <t>AP-4540</t>
  </si>
  <si>
    <t>Rice | BPH | 750 ml/ha
Jute | Hairy Caterpillar | 750 ml/ha</t>
  </si>
  <si>
    <t>Lufenuron (5.26%) Lambda Cyhalothrin (2.63%) (8.00%+4.10%)</t>
  </si>
  <si>
    <t>Plato 7.89EC</t>
  </si>
  <si>
    <t>AP-5740</t>
  </si>
  <si>
    <t>Proton 12.10EC</t>
  </si>
  <si>
    <t>AP-5791</t>
  </si>
  <si>
    <t>300 ml/L of water</t>
  </si>
  <si>
    <t>Chilli | Aphid | 300 ml/L of water</t>
  </si>
  <si>
    <t>Dimehypo</t>
  </si>
  <si>
    <t>Tattoo 18AS</t>
  </si>
  <si>
    <t>AP-3512</t>
  </si>
  <si>
    <t>Audi 40SL</t>
  </si>
  <si>
    <t>AP-3877</t>
  </si>
  <si>
    <t>1.85 L/ha</t>
  </si>
  <si>
    <t>Jute | Hairy caterpiller | 1.85 L/ha</t>
  </si>
  <si>
    <t>Physta 18AS</t>
  </si>
  <si>
    <t>AP-4988</t>
  </si>
  <si>
    <t>Brinjal | Aphid | 2 ml/L of water</t>
  </si>
  <si>
    <t>Chloroisobromine Cynuruc Acid</t>
  </si>
  <si>
    <t>Bactaf 50SP</t>
  </si>
  <si>
    <t>AP-5439</t>
  </si>
  <si>
    <t>Flonicamide</t>
  </si>
  <si>
    <t>Ulala 50WDG</t>
  </si>
  <si>
    <t>AP-5792</t>
  </si>
  <si>
    <t>Chlorpyrifos (40%) + Fipronil (5%)</t>
  </si>
  <si>
    <t>Fiphos 45SC</t>
  </si>
  <si>
    <t>AP-6152</t>
  </si>
  <si>
    <t>Sugarcan</t>
  </si>
  <si>
    <t>Sugarcan | White grubs | 4.0 L/ha</t>
  </si>
  <si>
    <t>Flubendiamide (24%) + Thiacloprid (24%)</t>
  </si>
  <si>
    <t>Belt Expert 48SC</t>
  </si>
  <si>
    <t>AP-6037</t>
  </si>
  <si>
    <t>Rice | YSB | 250 ml/ha</t>
  </si>
  <si>
    <t>Flupyradifurone (10%) + Flonicamide (10%)</t>
  </si>
  <si>
    <t>Red Card 20WDG</t>
  </si>
  <si>
    <t>AP-6036</t>
  </si>
  <si>
    <t>Rice | BPH | 250 g/ha</t>
  </si>
  <si>
    <t>Pymetrozine (50%) + Acetamiprid (25%)</t>
  </si>
  <si>
    <t>Supershot 75WDG</t>
  </si>
  <si>
    <t>AP-6038</t>
  </si>
  <si>
    <t>40 g/ha</t>
  </si>
  <si>
    <t>Rice | BPH | 40 g/ha</t>
  </si>
  <si>
    <t>Clothianidin (5%) + Lambda Cyhalothrin (10%)</t>
  </si>
  <si>
    <t>Thanox 15SC</t>
  </si>
  <si>
    <t>AP-6039</t>
  </si>
  <si>
    <t>Bifenthrin (5%) + Pyridaben (10%) + Thiodicarb (50%</t>
  </si>
  <si>
    <t>Aim Goal 65WDG</t>
  </si>
  <si>
    <t>AP-6040</t>
  </si>
  <si>
    <t>Tea | Red spider mite | 125 g/ha</t>
  </si>
  <si>
    <t>One Shot 65WDG</t>
  </si>
  <si>
    <t>AP-6156</t>
  </si>
  <si>
    <t>Imidacloprid (20%) + Fipronil (7.00%) + Deltamethrin (5.00%)</t>
  </si>
  <si>
    <t>Proloy 32SC</t>
  </si>
  <si>
    <t>AP-6045</t>
  </si>
  <si>
    <t>Cyantraniliprole</t>
  </si>
  <si>
    <t>Fortenza 60FS</t>
  </si>
  <si>
    <t>Fall Armyworm, (Spodoptera frugiperda)</t>
  </si>
  <si>
    <t>2.50 ml/Kg seed</t>
  </si>
  <si>
    <t>Maize | Fall Armyworm, (Spodoptera frugiperda) | 2.50 ml/Kg seed</t>
  </si>
  <si>
    <t>Sulfoxaflor</t>
  </si>
  <si>
    <t>Transform 24SC</t>
  </si>
  <si>
    <t>AP-5580</t>
  </si>
  <si>
    <t>Acetamiprid (20%) + Cypermethrin (10%)</t>
  </si>
  <si>
    <t>Juti 30SL</t>
  </si>
  <si>
    <t>AP-3513</t>
  </si>
  <si>
    <t>150 ml</t>
  </si>
  <si>
    <t>Cotton | Bollworm | 150 ml</t>
  </si>
  <si>
    <t>Registered Herbicides in Bangladesh — up to 81st PTAC Meeting</t>
  </si>
  <si>
    <t>2,4-D Amine</t>
  </si>
  <si>
    <t>U 46 D Fluid</t>
  </si>
  <si>
    <t>AP-243</t>
  </si>
  <si>
    <t>Mikania creeper, Bagracote</t>
  </si>
  <si>
    <t>3.00 L/ha</t>
  </si>
  <si>
    <t>Tea | Mikania creeper, Bagracote | 3.00 L/ha</t>
  </si>
  <si>
    <t>HRAC O</t>
  </si>
  <si>
    <t>Kem Amin 58SL</t>
  </si>
  <si>
    <t>AP-482</t>
  </si>
  <si>
    <t>Hossain Enterprises C.C. Ltd</t>
  </si>
  <si>
    <t>Weed (Dicot)</t>
  </si>
  <si>
    <t>2.80 L/ha</t>
  </si>
  <si>
    <t>Tea | Weed (Dicot) | 2.80 L/ha</t>
  </si>
  <si>
    <t>Fielder 48SL</t>
  </si>
  <si>
    <t>AP-494</t>
  </si>
  <si>
    <t>Weed (Dicot), C. album, O.europace, R.maritimus, V.hirsuta</t>
  </si>
  <si>
    <t>Tea | Weed (Dicot) | 2.80 L/ha
Wheat | C. album, O.europace, R.maritimus, V.hirsuta | 2.80 L/ha</t>
  </si>
  <si>
    <t>Weedkill 480SL</t>
  </si>
  <si>
    <t>AP-702</t>
  </si>
  <si>
    <t>Salix</t>
  </si>
  <si>
    <t>AP-929</t>
  </si>
  <si>
    <t>Monochoria vaginalis, Ludwigia, octovalvis, Sphenoclea zeylanica</t>
  </si>
  <si>
    <t>450 g/acare</t>
  </si>
  <si>
    <t>Rice | Monochoria vaginalis, Ludwigia, octovalvis, Sphenoclea zeylanica | 450 g/acare</t>
  </si>
  <si>
    <t>Weed Clean 480SL</t>
  </si>
  <si>
    <t>AP-1196</t>
  </si>
  <si>
    <t>Broad leaves</t>
  </si>
  <si>
    <t>2.24 L/ha</t>
  </si>
  <si>
    <t>Tea | Broad leaves | 2.24 L/ha</t>
  </si>
  <si>
    <t>2,4-D Weeder</t>
  </si>
  <si>
    <t>AP-1197</t>
  </si>
  <si>
    <t>Filder Plus 48SL</t>
  </si>
  <si>
    <t>AP-2272</t>
  </si>
  <si>
    <t>Dicot</t>
  </si>
  <si>
    <t>Tea | Dicot | 2.80 L/ha</t>
  </si>
  <si>
    <t>Bonmara 480SL</t>
  </si>
  <si>
    <t>AP-2273</t>
  </si>
  <si>
    <t>Just 48SL</t>
  </si>
  <si>
    <t>AP-2274</t>
  </si>
  <si>
    <t>Chiruni 72SL</t>
  </si>
  <si>
    <t>AP-2547</t>
  </si>
  <si>
    <t>Dicot, Monocot</t>
  </si>
  <si>
    <t>Tea | Dicot, Monocot | 2.80 L/ha</t>
  </si>
  <si>
    <t>Totomine 72SL</t>
  </si>
  <si>
    <t>AP-2548</t>
  </si>
  <si>
    <t>Wellamaine</t>
  </si>
  <si>
    <t>AP-3684</t>
  </si>
  <si>
    <t>Borreeia articularis</t>
  </si>
  <si>
    <t>Tea | Borreeia articularis | 2.80 L/ha</t>
  </si>
  <si>
    <t>Kolmine 48SL</t>
  </si>
  <si>
    <t>AP-3685</t>
  </si>
  <si>
    <t>Jessmine 72SL</t>
  </si>
  <si>
    <t>AP-3692</t>
  </si>
  <si>
    <t>Raven Agro Chemicals Ltd</t>
  </si>
  <si>
    <t>Imperata cylindrical, Borreeia articularis</t>
  </si>
  <si>
    <t>Tea | Imperata cylindrical, Borreeia articularis | 2.80 L/ha</t>
  </si>
  <si>
    <t>Winmine 2,4-D</t>
  </si>
  <si>
    <t>AP-3952</t>
  </si>
  <si>
    <t>Top-Hit 48SL</t>
  </si>
  <si>
    <t>AP-4424</t>
  </si>
  <si>
    <t>B. hispida, M. pudica</t>
  </si>
  <si>
    <t>Tea | B. hispida, M. pudica | 2.80 L/ha</t>
  </si>
  <si>
    <t>Simin D 48SL</t>
  </si>
  <si>
    <t>AP-4797</t>
  </si>
  <si>
    <t>Void Plus 48SL</t>
  </si>
  <si>
    <t>AP-4798</t>
  </si>
  <si>
    <t>Amine Gold 48SL</t>
  </si>
  <si>
    <t>AP-4799</t>
  </si>
  <si>
    <t>B. hispida, M. pudica, E. crus-galli, M. vaginalis, C. difformis</t>
  </si>
  <si>
    <t>2.80 L/ha; 1.25 L/ha</t>
  </si>
  <si>
    <t>Tea | B. hispida, M. pudica | 2.80 L/ha
Rice | E. crus-galli, M. vaginalis, C. difformis | 1.25 L/ha</t>
  </si>
  <si>
    <t>Pafaim 48SL</t>
  </si>
  <si>
    <t>AP-4800</t>
  </si>
  <si>
    <t>B. hispida, I.cylindrica, E. crus-galli, M. vaginalis, C. difformis</t>
  </si>
  <si>
    <t>Tea | B. hispida, I.cylindrica | 2.80 L/ha
Rice | E. crus-galli, M. vaginalis, C. difformis | 1.25 L/ha</t>
  </si>
  <si>
    <t>L-Mine 72SL</t>
  </si>
  <si>
    <t>AP-4801</t>
  </si>
  <si>
    <t>B. hispida, I.cylindrica</t>
  </si>
  <si>
    <t>Tea | B. hispida, I.cylindrica | 1.50 L/ha</t>
  </si>
  <si>
    <t>M 72 D Fluid</t>
  </si>
  <si>
    <t>AP-4802</t>
  </si>
  <si>
    <t>Tea | B. hispida, M. pudica | 1.50 L/ha</t>
  </si>
  <si>
    <t>G-Amine 72SL</t>
  </si>
  <si>
    <t>AP-4803</t>
  </si>
  <si>
    <t>Blade 72SL</t>
  </si>
  <si>
    <t>AP-5148</t>
  </si>
  <si>
    <t>Niranimal 48SL</t>
  </si>
  <si>
    <t>AP-5149</t>
  </si>
  <si>
    <t>Super Amine 72SL</t>
  </si>
  <si>
    <t>AP-5150</t>
  </si>
  <si>
    <t>Bone Killer 48SL</t>
  </si>
  <si>
    <t>AP-5485</t>
  </si>
  <si>
    <t>Achieve Agro Chemicals Ltd.</t>
  </si>
  <si>
    <t>Like 48SL</t>
  </si>
  <si>
    <t>AP-5486</t>
  </si>
  <si>
    <t>Larmine 72SL</t>
  </si>
  <si>
    <t>AP-5813</t>
  </si>
  <si>
    <t>All Safe 48SL</t>
  </si>
  <si>
    <t>AP-5814</t>
  </si>
  <si>
    <t>M. vaginalis, S.marintimus, E.crusgalli, C.difformis</t>
  </si>
  <si>
    <t>Rice | M. vaginalis, S.marintimus, E.crusgalli, C.difformis | 1.20 L/ha</t>
  </si>
  <si>
    <t>Agrineed 72SL</t>
  </si>
  <si>
    <t>AP-6071</t>
  </si>
  <si>
    <t>B. hispida, C.esculenta</t>
  </si>
  <si>
    <t>Tea | B. hispida, C.esculenta | 1.50 L/ha</t>
  </si>
  <si>
    <t>D-Pro 72SL</t>
  </si>
  <si>
    <t>AP-6072</t>
  </si>
  <si>
    <t>A.philoxeroide, P.oleraceae, C.rotundus, M.quadrifolia, I. aquatica</t>
  </si>
  <si>
    <t>Wheat | A.philoxeroide, P.oleraceae, C.rotundus, M.quadrifolia, I. aquatica | 2.24 L/ha</t>
  </si>
  <si>
    <t>Alphamine 72SL</t>
  </si>
  <si>
    <t>AP-6073</t>
  </si>
  <si>
    <t>Maize, Tea</t>
  </si>
  <si>
    <t>C. iria, C. rotundus, B. hispida, C.esculenta</t>
  </si>
  <si>
    <t>2.24 L/ha; 1.50 L/ha</t>
  </si>
  <si>
    <t>Maize | C. iria, C. rotundus | 2.24 L/ha
Tea | B. hispida, C.esculenta | 1.50 L/ha</t>
  </si>
  <si>
    <t>2,4-D Dimethyl Amine Salt</t>
  </si>
  <si>
    <t>Remine 72SL</t>
  </si>
  <si>
    <t>AP-5815</t>
  </si>
  <si>
    <t>Hasclean 72SL</t>
  </si>
  <si>
    <t>AP-5816</t>
  </si>
  <si>
    <t>HAS Agro Limited</t>
  </si>
  <si>
    <t>B. hispida, M. pudica, M. vaginalis, e.crusgalli, C. difformis, S. maritimus</t>
  </si>
  <si>
    <t>1.50 L/ha; 1.0 L/ha</t>
  </si>
  <si>
    <t>Tea | B. hispida, M. pudica | 1.50 L/ha
Rice | M. vaginalis, e.crusgalli, C. difformis, S. maritimus | 1.0 L/ha</t>
  </si>
  <si>
    <t>Ding Dong 86SL</t>
  </si>
  <si>
    <t>AP-5817</t>
  </si>
  <si>
    <t>Rice, Wheal</t>
  </si>
  <si>
    <t>M. vaginalis, C. difformis, S. maritimus, C. album</t>
  </si>
  <si>
    <t>1.40 L/ha; 1.60 L/ha</t>
  </si>
  <si>
    <t>Rice | M. vaginalis, C. difformis, S. maritimus | 1.40 L/ha
Wheal | C. album | 1.60 L/ha</t>
  </si>
  <si>
    <t>Zura 72SL</t>
  </si>
  <si>
    <t>AP-5818</t>
  </si>
  <si>
    <t>A.viridis, A. spinosus, C. album, S. maritimus</t>
  </si>
  <si>
    <t>Sugarcane | A.viridis, A. spinosus, C. album, S. maritimus | 2.50 L/ha</t>
  </si>
  <si>
    <t>2,4-D Butyl Ester</t>
  </si>
  <si>
    <t>Rampitox 45WP</t>
  </si>
  <si>
    <t>AP-4805</t>
  </si>
  <si>
    <t>M. vaginalis, S.marintimus, M. quadrifoli</t>
  </si>
  <si>
    <t>Rice | M. vaginalis, S.marintimus, M. quadrifoli | 125 gm/ha</t>
  </si>
  <si>
    <t>Acetochlor</t>
  </si>
  <si>
    <t>Offer 50EC</t>
  </si>
  <si>
    <t>AP-4732</t>
  </si>
  <si>
    <t>E.crusgalli, S.maritimus, C.difformis</t>
  </si>
  <si>
    <t>Rice | E.crusgalli, S.maritimus, C.difformis | 250 gm/ha</t>
  </si>
  <si>
    <t>HRAC K3</t>
  </si>
  <si>
    <t>Bensulfuron methyl (4%) + Acetochlor (14%)</t>
  </si>
  <si>
    <t>Changer 18WP</t>
  </si>
  <si>
    <t>AP-1458</t>
  </si>
  <si>
    <t>C. difformis, E. fluctuans, M.vaginals, S. juncoides, L. anagallis, S. zeylanica, E. crus-galli, F. miliacea, M. minuta, S. guyanensis</t>
  </si>
  <si>
    <t>Rice | C. difformis, E. fluctuans, M.vaginals, S. juncoides, L. anagallis, S. zeylanica, E. crus-galli, F. miliacea, M. minuta, S. guyanensis | 750 gm/ha</t>
  </si>
  <si>
    <t>HRAC B</t>
  </si>
  <si>
    <t>Binash 18WP</t>
  </si>
  <si>
    <t>AP-1738</t>
  </si>
  <si>
    <t>M.minuta, M.vaginalis, C.difformis, S.juncoides, E.crusgallis, L.octovalvis</t>
  </si>
  <si>
    <t>990 gm/ha</t>
  </si>
  <si>
    <t>Rice | M.minuta, M.vaginalis, C.difformis, S.juncoides, E.crusgallis, L.octovalvis | 990 gm/ha</t>
  </si>
  <si>
    <t>Washout 18WP</t>
  </si>
  <si>
    <t>AP-2558</t>
  </si>
  <si>
    <t>C. difformis, M.vaginalis, E. crus-galli, D. trifolium, S. maritimus</t>
  </si>
  <si>
    <t>Rice | C. difformis, M.vaginalis, E. crus-galli, D. trifolium, S. maritimus | 2.50 kg/ha</t>
  </si>
  <si>
    <t>Jhilik 18WP</t>
  </si>
  <si>
    <t>AP-2901</t>
  </si>
  <si>
    <t>C. difformis, M.vaginalis, S. maritimus</t>
  </si>
  <si>
    <t>Rice | C. difformis, M.vaginalis, S. maritimus | 2.50 kg/ha</t>
  </si>
  <si>
    <t>Nirmul 18WP</t>
  </si>
  <si>
    <t>AP-3181</t>
  </si>
  <si>
    <t>Wiper 18WP</t>
  </si>
  <si>
    <t>AP-3220</t>
  </si>
  <si>
    <t>C. difformis, M.vaginalis, S. maritimus,</t>
  </si>
  <si>
    <t>Rice | C. difformis, M.vaginalis, S. maritimus, | 2.50 kg/ha</t>
  </si>
  <si>
    <t>Mixt 18WP</t>
  </si>
  <si>
    <t>AP-3636</t>
  </si>
  <si>
    <t>C. difformis, M.vaginalis, S. maritimus, S.zeylanica</t>
  </si>
  <si>
    <t>Rice | C. difformis, M.vaginalis, S. maritimus, S.zeylanica | 2.50 kg/ha</t>
  </si>
  <si>
    <t>Denso 18WP</t>
  </si>
  <si>
    <t>AP-3637</t>
  </si>
  <si>
    <t>C. difformis, M.vaginalis, S. maritimus, S.zeylanica, E.crusgallis, N.nouchali</t>
  </si>
  <si>
    <t>Rice | C. difformis, M.vaginalis, S. maritimus, S.zeylanica, E.crusgallis, N.nouchali | 2.50 kg/ha</t>
  </si>
  <si>
    <t>Double Kill 18WP</t>
  </si>
  <si>
    <t>AP-3638</t>
  </si>
  <si>
    <t>Eclipta alba,, Dactyloctenium aegyptium</t>
  </si>
  <si>
    <t>740 gm/ha</t>
  </si>
  <si>
    <t>Cotton | Eclipta alba,, Dactyloctenium aegyptium | 740 gm/ha</t>
  </si>
  <si>
    <t>Beta Power 18WP</t>
  </si>
  <si>
    <t>AP-3639</t>
  </si>
  <si>
    <t>E.crus-galli, M.vaginalis, C. difformis</t>
  </si>
  <si>
    <t>Rice | E.crus-galli, M.vaginalis, C. difformis | 2.50 kg/ha</t>
  </si>
  <si>
    <t>Compound 18WP</t>
  </si>
  <si>
    <t>AP-3640</t>
  </si>
  <si>
    <t>E.crus-galli, M.vaginalis, C. difformis, S.zylanica</t>
  </si>
  <si>
    <t>Rice | E.crus-galli, M.vaginalis, C. difformis, S.zylanica | 2.50 kg/ha</t>
  </si>
  <si>
    <t>Sarinda 18WP</t>
  </si>
  <si>
    <t>AP-3691</t>
  </si>
  <si>
    <t>Raven Formulations Ltd.</t>
  </si>
  <si>
    <t>B.hispida, C.rotundus</t>
  </si>
  <si>
    <t>Rice | B.hispida, C.rotundus | 3.00 kg/ha</t>
  </si>
  <si>
    <t>Forex 18WP</t>
  </si>
  <si>
    <t>AP-3965</t>
  </si>
  <si>
    <t>E.crus-galli, C.diffomis, F.miliacea, L.heyandra, B.hispida, C.rotundus</t>
  </si>
  <si>
    <t>2.50 Kg/ha; 3.00 kg/ha</t>
  </si>
  <si>
    <t>Rice | E.crus-galli, C.diffomis, F.miliacea, L.heyandra | 2.50 Kg/ha
Tea | B.hispida, C.rotundus | 3.00 kg/ha</t>
  </si>
  <si>
    <t>Biswas 18WP</t>
  </si>
  <si>
    <t>AP-3966</t>
  </si>
  <si>
    <t>M.vaginalis</t>
  </si>
  <si>
    <t>Rice | M.vaginalis | 2.50 kg/ha</t>
  </si>
  <si>
    <t>Gayle 18WP</t>
  </si>
  <si>
    <t>AP-4335</t>
  </si>
  <si>
    <t>Tea | B.hispida, C.rotundus | 3.00 kg/ha</t>
  </si>
  <si>
    <t>Lux-Out 18WP</t>
  </si>
  <si>
    <t>AP-4336</t>
  </si>
  <si>
    <t>Winger 18WP</t>
  </si>
  <si>
    <t>AP-4337</t>
  </si>
  <si>
    <t>Indoclin 18WP</t>
  </si>
  <si>
    <t>AP-4338</t>
  </si>
  <si>
    <t>Benace-G 18WP</t>
  </si>
  <si>
    <t>AP-4339</t>
  </si>
  <si>
    <t>B.hispida, C.rotundus, C. difformis, M.vaginalis, S. maritimus, S.zeylanica</t>
  </si>
  <si>
    <t>3.00 kg/ha; 750 gm/ha</t>
  </si>
  <si>
    <t>Tea | B.hispida, C.rotundus | 3.00 kg/ha
Rice | C. difformis, M.vaginalis, S. maritimus, S.zeylanica | 750 gm/ha</t>
  </si>
  <si>
    <t>Weed Fighter 18WP</t>
  </si>
  <si>
    <t>AP-4340</t>
  </si>
  <si>
    <t>D-Link 18WP</t>
  </si>
  <si>
    <t>AP-4342</t>
  </si>
  <si>
    <t>Reviser 18WP</t>
  </si>
  <si>
    <t>AP-4343</t>
  </si>
  <si>
    <t>Ethical Agro Vision</t>
  </si>
  <si>
    <t>C. rotundus, B. hispida, E. crus-galli, M.vaginalis,S.maritimus</t>
  </si>
  <si>
    <t>Tea | C. rotundus, B. hispida | 3.00 kg/ha
Rice | E. crus-galli, M.vaginalis,S.maritimus | 750 gm/ha</t>
  </si>
  <si>
    <t>Nirjhor 18WP</t>
  </si>
  <si>
    <t>AP-4344</t>
  </si>
  <si>
    <t>Chitatop 18WP</t>
  </si>
  <si>
    <t>AP-4345</t>
  </si>
  <si>
    <t>Marvel 18WP</t>
  </si>
  <si>
    <t>AP-4347</t>
  </si>
  <si>
    <t>Hotao 18WP</t>
  </si>
  <si>
    <t>AP-4348</t>
  </si>
  <si>
    <t>Chloran Plus 18WP</t>
  </si>
  <si>
    <t>AP-4349</t>
  </si>
  <si>
    <t>E. crus-galli, M.vaginalis, S.maritimus</t>
  </si>
  <si>
    <t>Rice | E. crus-galli, M.vaginalis, S.maritimus | 750 gm/ha</t>
  </si>
  <si>
    <t>Benchlor 18WP</t>
  </si>
  <si>
    <t>AP-4350</t>
  </si>
  <si>
    <t>E. crus-galli, M.vaginalis, S.maritimus, M.quadrifolia</t>
  </si>
  <si>
    <t>Rice | E. crus-galli, M.vaginalis, S.maritimus, M.quadrifolia | 750 gm/ha</t>
  </si>
  <si>
    <t>Nikash 18WP</t>
  </si>
  <si>
    <t>AP-4351</t>
  </si>
  <si>
    <t>Herbisul 18WP</t>
  </si>
  <si>
    <t>AP-4352</t>
  </si>
  <si>
    <t>Elan 18WP</t>
  </si>
  <si>
    <t>AP-4353</t>
  </si>
  <si>
    <t>Supermix 18WP</t>
  </si>
  <si>
    <t>AP-4354</t>
  </si>
  <si>
    <t>Mithuben 18WP</t>
  </si>
  <si>
    <t>AP-4355</t>
  </si>
  <si>
    <t>Shabil 18WP</t>
  </si>
  <si>
    <t>AP-4356</t>
  </si>
  <si>
    <t>Paddy Plus 18WP</t>
  </si>
  <si>
    <t>AP-4357</t>
  </si>
  <si>
    <t>M.vaginalis, S.maritimus</t>
  </si>
  <si>
    <t>Rice | M.vaginalis, S.maritimus | 750 gm/ha</t>
  </si>
  <si>
    <t>Bensanil 18WP</t>
  </si>
  <si>
    <t>AP-4358</t>
  </si>
  <si>
    <t>M.vaginalis, S.maritimus, C. difformis</t>
  </si>
  <si>
    <t>Rice | M.vaginalis, S.maritimus, C. difformis | 750 gm/ha</t>
  </si>
  <si>
    <t>Agami 18WP</t>
  </si>
  <si>
    <t>AP-4359</t>
  </si>
  <si>
    <t>Clean Boss 18WP</t>
  </si>
  <si>
    <t>AP-4360</t>
  </si>
  <si>
    <t>Excellent 18WP</t>
  </si>
  <si>
    <t>AP-4361</t>
  </si>
  <si>
    <t>Shuchona 18WP</t>
  </si>
  <si>
    <t>AP-4733</t>
  </si>
  <si>
    <t>A.viridus, A.spinnosus, E.fluetuans</t>
  </si>
  <si>
    <t>700 gm/ha</t>
  </si>
  <si>
    <t>Banana | A.viridus, A.spinnosus, E.fluetuans | 700 gm/ha</t>
  </si>
  <si>
    <t>Sabar 18WP</t>
  </si>
  <si>
    <t>AP-4734</t>
  </si>
  <si>
    <t>B.hispida, I.cylindrica</t>
  </si>
  <si>
    <t>Tea | B.hispida, I.cylindrica | 3.00 kg/ha</t>
  </si>
  <si>
    <t>Smile 18WP</t>
  </si>
  <si>
    <t>AP-4735</t>
  </si>
  <si>
    <t>Grade 18WP</t>
  </si>
  <si>
    <t>AP-4736</t>
  </si>
  <si>
    <t>Planger 18WP</t>
  </si>
  <si>
    <t>AP-4737</t>
  </si>
  <si>
    <t>Muclor 18WP</t>
  </si>
  <si>
    <t>AP-4738</t>
  </si>
  <si>
    <t>Uni-Fast 18WP</t>
  </si>
  <si>
    <t>AP-4739</t>
  </si>
  <si>
    <t>Manchlor 18WP</t>
  </si>
  <si>
    <t>AP-4740</t>
  </si>
  <si>
    <t>Nibaron 20WP</t>
  </si>
  <si>
    <t>AP-4741</t>
  </si>
  <si>
    <t>M.vaginalis, C.difformis, S.maritimus</t>
  </si>
  <si>
    <t>Rice | M.vaginalis, C.difformis, S.maritimus | 750 gm/ha</t>
  </si>
  <si>
    <t>Totalcare 18WP</t>
  </si>
  <si>
    <t>AP-4742</t>
  </si>
  <si>
    <t>E. crus-galli, M.vaginalis, S.maritimus, C. difformis</t>
  </si>
  <si>
    <t>Rice | E. crus-galli, M.vaginalis, S.maritimus, C. difformis | 750 gm/ha</t>
  </si>
  <si>
    <t>Melor 18WP</t>
  </si>
  <si>
    <t>AP-4743</t>
  </si>
  <si>
    <t>Agritop 18WP</t>
  </si>
  <si>
    <t>AP-4744</t>
  </si>
  <si>
    <t>KB Phuran 18WP</t>
  </si>
  <si>
    <t>AP-4745</t>
  </si>
  <si>
    <t>Ayna Plus 18WP</t>
  </si>
  <si>
    <t>AP-4748</t>
  </si>
  <si>
    <t>Photo Clean 18WP</t>
  </si>
  <si>
    <t>AP-4749</t>
  </si>
  <si>
    <t>Sunchance 18WP</t>
  </si>
  <si>
    <t>AP-4750</t>
  </si>
  <si>
    <t>B.hispida, I.cylindrica, E. crus-galli, M.vaginalis, S.maritimus, C. difformis</t>
  </si>
  <si>
    <t>Tea | B.hispida, I.cylindrica | 3.00 kg/ha
Rice | E. crus-galli, M.vaginalis, S.maritimus, C. difformis | 750 gm/ha</t>
  </si>
  <si>
    <t>Furti 18WP</t>
  </si>
  <si>
    <t>AP-4751</t>
  </si>
  <si>
    <t>Tagra Super 20WP</t>
  </si>
  <si>
    <t>AP-4752</t>
  </si>
  <si>
    <t>D.sanguinalis</t>
  </si>
  <si>
    <t>950 gm/ha</t>
  </si>
  <si>
    <t>Cotton | D.sanguinalis | 950 gm/ha</t>
  </si>
  <si>
    <t>Ben Plus 18WP</t>
  </si>
  <si>
    <t>AP-5174</t>
  </si>
  <si>
    <t>Bayson 18WP</t>
  </si>
  <si>
    <t>AP-5175</t>
  </si>
  <si>
    <t>Revenge 18WP</t>
  </si>
  <si>
    <t>AP-5176</t>
  </si>
  <si>
    <t>Naturechlor 18WP</t>
  </si>
  <si>
    <t>AP-5177</t>
  </si>
  <si>
    <t>Grasles 18WP</t>
  </si>
  <si>
    <t>AP-5178</t>
  </si>
  <si>
    <t>TP-Link 18WP</t>
  </si>
  <si>
    <t>AP-5179</t>
  </si>
  <si>
    <t xml:space="preserve"> (26% + 4%)</t>
  </si>
  <si>
    <t>Serfclean 18WP</t>
  </si>
  <si>
    <t>AP-5181</t>
  </si>
  <si>
    <t>Superfine 18WP</t>
  </si>
  <si>
    <t>AP-5182</t>
  </si>
  <si>
    <t>Dix 18WP</t>
  </si>
  <si>
    <t>AP-5183</t>
  </si>
  <si>
    <t>Sky Blue 18WP</t>
  </si>
  <si>
    <t>AP-5184</t>
  </si>
  <si>
    <t>Bendar 18WP</t>
  </si>
  <si>
    <t>AP-5185</t>
  </si>
  <si>
    <t>E. crus-galli, C. rotundus, D. san</t>
  </si>
  <si>
    <t>Onion | E. crus-galli, C. rotundus, D. san | 2.5 Kg/ha</t>
  </si>
  <si>
    <t>Georjerice Gold 18WP</t>
  </si>
  <si>
    <t>AP-5186</t>
  </si>
  <si>
    <t>E. crus-galli, M.vaginalis</t>
  </si>
  <si>
    <t>750 g/ha</t>
  </si>
  <si>
    <t>Rice | E. crus-galli, M.vaginalis | 750 g/ha</t>
  </si>
  <si>
    <t>Boomer 18WP</t>
  </si>
  <si>
    <t>AP-5187</t>
  </si>
  <si>
    <t>Lalteer 18WP</t>
  </si>
  <si>
    <t>AP-5189</t>
  </si>
  <si>
    <t>Naingla 18WP</t>
  </si>
  <si>
    <t>AP-5190</t>
  </si>
  <si>
    <t>Palam 18WP</t>
  </si>
  <si>
    <t>AP-5191</t>
  </si>
  <si>
    <t>Luxed 18WP</t>
  </si>
  <si>
    <t>AP-5192</t>
  </si>
  <si>
    <t>Dibar 18WP</t>
  </si>
  <si>
    <t>AP-5194</t>
  </si>
  <si>
    <t>Avanger 18WP</t>
  </si>
  <si>
    <t>AP-5196</t>
  </si>
  <si>
    <t>Jongalmara 18WP</t>
  </si>
  <si>
    <t>AP-5197</t>
  </si>
  <si>
    <t>Ascot 18WP</t>
  </si>
  <si>
    <t>AP-5198</t>
  </si>
  <si>
    <t>Aspasia Agrotech Co.</t>
  </si>
  <si>
    <t>Terryshine 18WP</t>
  </si>
  <si>
    <t>AP-5199</t>
  </si>
  <si>
    <t>Sakura 18WP</t>
  </si>
  <si>
    <t>AP-5201</t>
  </si>
  <si>
    <t>Hosazen 18WP</t>
  </si>
  <si>
    <t>AP-5202</t>
  </si>
  <si>
    <t>AP-5203</t>
  </si>
  <si>
    <t>Super Suspension 18WP</t>
  </si>
  <si>
    <t>AP-5652</t>
  </si>
  <si>
    <t>Evaclean 18WP</t>
  </si>
  <si>
    <t>AP-5653</t>
  </si>
  <si>
    <t>Paton 18WP</t>
  </si>
  <si>
    <t>AP-5843</t>
  </si>
  <si>
    <t>(26% + 4%)</t>
  </si>
  <si>
    <t>Avizan 18WP</t>
  </si>
  <si>
    <t>AP-5844</t>
  </si>
  <si>
    <t>Wideour 18WP</t>
  </si>
  <si>
    <t>AP-5845</t>
  </si>
  <si>
    <t>Genesaf 18WP</t>
  </si>
  <si>
    <t>AP-5846</t>
  </si>
  <si>
    <t>E. crus-galli, M.vaginalis, S.maritimus, C. difformis, C.album, D.sanguinalis</t>
  </si>
  <si>
    <t>Rice | E. crus-galli, M.vaginalis, S.maritimus, C. difformis | 750 gm/ha
Onion | C.album, D.sanguinalis | 750 gm/ha</t>
  </si>
  <si>
    <t>Hisaf 18WP</t>
  </si>
  <si>
    <t>AP-5847</t>
  </si>
  <si>
    <t>Pashun 18WP</t>
  </si>
  <si>
    <t>AP-5848</t>
  </si>
  <si>
    <t>Red Clean 18WP</t>
  </si>
  <si>
    <t>AP-5849</t>
  </si>
  <si>
    <t>Redsun Agrochem (BD) Ltd.</t>
  </si>
  <si>
    <t>Hurricane 30WP</t>
  </si>
  <si>
    <t>AP-5440</t>
  </si>
  <si>
    <t>2.00 kg/ha; 700 gm/ha</t>
  </si>
  <si>
    <t>Tea | B.hispida, I.cylindrica | 2.00 kg/ha
Rice | E. crus-galli, M.vaginalis, S.maritimus, C. difformis | 700 gm/ha</t>
  </si>
  <si>
    <t>Agrichlor 18WP</t>
  </si>
  <si>
    <t>AP-5441</t>
  </si>
  <si>
    <t>Nesaf 18WP</t>
  </si>
  <si>
    <t>AP-5442</t>
  </si>
  <si>
    <t>G-Chlor 18WP</t>
  </si>
  <si>
    <t>AP-5443</t>
  </si>
  <si>
    <t>A-Chlor 18WP</t>
  </si>
  <si>
    <t>AP-5444</t>
  </si>
  <si>
    <t>Aceben 18WP</t>
  </si>
  <si>
    <t>AP-5445</t>
  </si>
  <si>
    <t>Fair Clean 18WP</t>
  </si>
  <si>
    <t>AP-5446</t>
  </si>
  <si>
    <t>Land Clean 18WP</t>
  </si>
  <si>
    <t>AP-5447</t>
  </si>
  <si>
    <t>Osbenclor 18WP</t>
  </si>
  <si>
    <t>AP-6079</t>
  </si>
  <si>
    <t>Rajben 18WP</t>
  </si>
  <si>
    <t>AP-6080</t>
  </si>
  <si>
    <t>Power Bean 18WP</t>
  </si>
  <si>
    <t>AP-6081</t>
  </si>
  <si>
    <t>M.vaginalis, C. dectalon, S.maritimus,, E.crusgalli</t>
  </si>
  <si>
    <t>500 g/ha; 750 g/ha</t>
  </si>
  <si>
    <t>Rice | M.vaginalis, C. dectalon, S.maritimus, | 500 g/ha
Jute | E.crusgalli | 750 g/ha</t>
  </si>
  <si>
    <t>Uzar 18WP</t>
  </si>
  <si>
    <t>AP-6082</t>
  </si>
  <si>
    <t>Rice | E. crus-galli, M.vaginalis, S.maritimus, C. difformis | 500 g/ha</t>
  </si>
  <si>
    <t>Mayar 18WP</t>
  </si>
  <si>
    <t>AP-6083</t>
  </si>
  <si>
    <t>Rice | E. crus-galli, M.vaginalis, S.maritimus, C. difformis | 750 g/ha</t>
  </si>
  <si>
    <t>KG Kamla 18WP</t>
  </si>
  <si>
    <t>AP-6084</t>
  </si>
  <si>
    <t>Orindham 18WP</t>
  </si>
  <si>
    <t>AP-6085</t>
  </si>
  <si>
    <t>Crop Solution</t>
  </si>
  <si>
    <t>Sylon Plus 18WP</t>
  </si>
  <si>
    <t>AP-6086</t>
  </si>
  <si>
    <t>Darkclean 18WP</t>
  </si>
  <si>
    <t>AP-6087</t>
  </si>
  <si>
    <t>Rice, Tea, Maize</t>
  </si>
  <si>
    <t>E. crus-galli, M.vaginalis, S.maritimus, C. difformis, B.hispida, I.cylindrica, E.crusgalli, E.fluctuans</t>
  </si>
  <si>
    <t>500 g/ha; 3.00 kg/ha; 1.50 Kg/ha</t>
  </si>
  <si>
    <t>Rice | E. crus-galli, M.vaginalis, S.maritimus, C. difformis | 500 g/ha
Tea | B.hispida, I.cylindrica | 3.00 kg/ha
Maize | E.crusgalli, E.fluctuans | 1.50 Kg/ha</t>
  </si>
  <si>
    <t>Fachlor 18WP</t>
  </si>
  <si>
    <t>AP-6088</t>
  </si>
  <si>
    <t>F-4 Agro Products</t>
  </si>
  <si>
    <t>Swath 20WP</t>
  </si>
  <si>
    <t>AP-6089</t>
  </si>
  <si>
    <t>Florida 18WP</t>
  </si>
  <si>
    <t>AP-6090</t>
  </si>
  <si>
    <t>E. crus-galli, M.vaginalis, S.maritimus, C. difformis, B.hispida, I.cylindrica, E.crusgalli</t>
  </si>
  <si>
    <t>750 g/ha; 3.00 kg/ha; 1.50 g/L</t>
  </si>
  <si>
    <t>Rice | E. crus-galli, M.vaginalis, S.maritimus, C. difformis | 750 g/ha
Tea | B.hispida, I.cylindrica | 3.00 kg/ha
Jute | E.crusgalli | 1.50 g/L</t>
  </si>
  <si>
    <t>S K Raad Plus 18WP</t>
  </si>
  <si>
    <t>AP-6091</t>
  </si>
  <si>
    <t>S K Agro Chemicals Ltd.</t>
  </si>
  <si>
    <t>E. crus-galli, M.vaginalis, S.maritimus, C. difformis, B.hispida, I.cylindrica</t>
  </si>
  <si>
    <t>500 g/ha; 3.00 kg/ha</t>
  </si>
  <si>
    <t>Rice | E. crus-galli, M.vaginalis, S.maritimus, C. difformis | 500 g/ha
Tea | B.hispida, I.cylindrica | 3.00 kg/ha</t>
  </si>
  <si>
    <t>Paceben 18WP</t>
  </si>
  <si>
    <t>AP-6092</t>
  </si>
  <si>
    <t>Hytoclean 18WP</t>
  </si>
  <si>
    <t>AP-6093</t>
  </si>
  <si>
    <t>Livina 18WP</t>
  </si>
  <si>
    <t>AP-6094</t>
  </si>
  <si>
    <t>Auto Crop Care Ltd.</t>
  </si>
  <si>
    <t>Nishes 18WP</t>
  </si>
  <si>
    <t>AP-6095</t>
  </si>
  <si>
    <t>Biborna 18WP</t>
  </si>
  <si>
    <t>AP-6096</t>
  </si>
  <si>
    <t>TAB Brand Agro Ltd</t>
  </si>
  <si>
    <t>Pixar 18WP</t>
  </si>
  <si>
    <t>AP-6097</t>
  </si>
  <si>
    <t>Agacha Clear 18WP</t>
  </si>
  <si>
    <t>AP-6098</t>
  </si>
  <si>
    <t>Chashi Agro Care</t>
  </si>
  <si>
    <t>Chloropropham (50%)</t>
  </si>
  <si>
    <t>Oorja 50HN</t>
  </si>
  <si>
    <t>AP-5200</t>
  </si>
  <si>
    <t>Anti Sprouting, agemt</t>
  </si>
  <si>
    <t>40 ml/Ton</t>
  </si>
  <si>
    <t>Potato | Anti Sprouting, agemt | 40 ml/Ton</t>
  </si>
  <si>
    <t>HRAC K2</t>
  </si>
  <si>
    <t>Bensulfuron methyl (0.6%) + Pretilachlor (6%%) (6% + 34%)</t>
  </si>
  <si>
    <t>Londax Powder 6.6GR</t>
  </si>
  <si>
    <t>AP-2111</t>
  </si>
  <si>
    <t>S. maritimus, E. crus-galli, M.vaginalis, L. octovalvis, D. trifolium, M. minuta, C. difformis, S. zeylanica</t>
  </si>
  <si>
    <t>9.88 kg/ha</t>
  </si>
  <si>
    <t>Rice | S. maritimus, E. crus-galli, M.vaginalis, L. octovalvis, D. trifolium, M. minuta, C. difformis, S. zeylanica | 9.88 kg/ha</t>
  </si>
  <si>
    <t>Bensulfuron methyl (3%) + Mefenacet (50%)</t>
  </si>
  <si>
    <t>Super Clean 53WP</t>
  </si>
  <si>
    <t>AP-1175</t>
  </si>
  <si>
    <t>Weeds</t>
  </si>
  <si>
    <t>450 gm/ha</t>
  </si>
  <si>
    <t>Rice | Weeds | 450 gm/ha</t>
  </si>
  <si>
    <t>Clean Master 53 WP</t>
  </si>
  <si>
    <t>AP-3182</t>
  </si>
  <si>
    <t>Q. europea, M.vaginalis, C.difformis</t>
  </si>
  <si>
    <t>1.10 kg/ha</t>
  </si>
  <si>
    <t>Rice | Q. europea, M.vaginalis, C.difformis | 1.10 kg/ha</t>
  </si>
  <si>
    <t>Ghash Killer 53WP</t>
  </si>
  <si>
    <t>AP-4416</t>
  </si>
  <si>
    <t>E. crus-galli, M.vaginalis, C.difformis, S. maritimus</t>
  </si>
  <si>
    <t>620 gm/ha</t>
  </si>
  <si>
    <t>Rice | E. crus-galli, M.vaginalis, C.difformis, S. maritimus | 620 gm/ha</t>
  </si>
  <si>
    <t>Relief 53WP</t>
  </si>
  <si>
    <t>AP-4417</t>
  </si>
  <si>
    <t>E. crus-galli, M.vaginalis, M. quadrifolia, S. maritimus</t>
  </si>
  <si>
    <t>Rice | E. crus-galli, M.vaginalis, M. quadrifolia, S. maritimus | 800 gm/ha</t>
  </si>
  <si>
    <t>Get-Clean 69WP</t>
  </si>
  <si>
    <t>AP-4418</t>
  </si>
  <si>
    <t>M.vaginalis, M. quadrifolia, S. maritimus</t>
  </si>
  <si>
    <t>Rice | M.vaginalis, M. quadrifolia, S. maritimus | 700 gm/ha</t>
  </si>
  <si>
    <t>Bensulfuron methyl (4%) + Quinclorac (28%) (6% + 34%) (6% + 34%) (4% + 32%)</t>
  </si>
  <si>
    <t>Vacate 32WP</t>
  </si>
  <si>
    <t>AP-2580</t>
  </si>
  <si>
    <t>C. difformis, E. crus galli, F.miliacea, L.hexandra, L.chinensis, S.maritimus, C.irria</t>
  </si>
  <si>
    <t>Rice | C. difformis, E. crus galli, F.miliacea, L.hexandra, L.chinensis, S.maritimus, C.irria | 600 gm/ha</t>
  </si>
  <si>
    <t>Move 40WP</t>
  </si>
  <si>
    <t>AP-3872</t>
  </si>
  <si>
    <t>C. difformis, E. crus galli, M.vaginalis, N.nouchali</t>
  </si>
  <si>
    <t>Rice | C. difformis, E. crus galli, M.vaginalis, N.nouchali | 600 gm/ha</t>
  </si>
  <si>
    <t>Namir 32WP</t>
  </si>
  <si>
    <t>AP-4425</t>
  </si>
  <si>
    <t>E. crus galli, S. maritimus, M.vaginalis, M.quadrifolis</t>
  </si>
  <si>
    <t>Rice | E. crus galli, S. maritimus, M.vaginalis, M.quadrifolis | 600 gm/ha</t>
  </si>
  <si>
    <t>Loper 40WP</t>
  </si>
  <si>
    <t>AP-4824</t>
  </si>
  <si>
    <t>C.dactylon, C.rotundus, C. album, A. spinosus</t>
  </si>
  <si>
    <t>Potato | C.dactylon, C.rotundus, C. album, A. spinosus | 100 gm/ha</t>
  </si>
  <si>
    <t>Forise 36WP</t>
  </si>
  <si>
    <t>AP-4825</t>
  </si>
  <si>
    <t>B. hispida, I.cylindrica, C. difformis, E. crus galli, M.vaginalis, C.dectylon</t>
  </si>
  <si>
    <t>1.50 Kg/ha; 600 gm/ha</t>
  </si>
  <si>
    <t>Tea | B. hispida, I.cylindrica | 1.50 Kg/ha
Rice | C. difformis, E. crus galli, M.vaginalis, C.dectylon | 600 gm/ha</t>
  </si>
  <si>
    <t xml:space="preserve"> (4% + 28%) (6% + 34%) (6% + 34%) (6% + 34%)</t>
  </si>
  <si>
    <t>Bensulin 32WP</t>
  </si>
  <si>
    <t>AP-5154</t>
  </si>
  <si>
    <t>Tea | B. hispida, I.cylindrica | 1.50 Kg/ha</t>
  </si>
  <si>
    <t>Quiben 32WP</t>
  </si>
  <si>
    <t>AP-5155</t>
  </si>
  <si>
    <t>E. crus galli, M.vaginalis, C.difformis</t>
  </si>
  <si>
    <t>Rice | E. crus galli, M.vaginalis, C.difformis | 600 gm/ha</t>
  </si>
  <si>
    <t>Abad 32WP</t>
  </si>
  <si>
    <t>AP-5156</t>
  </si>
  <si>
    <t>Desiquat 36WP</t>
  </si>
  <si>
    <t>AP-5483</t>
  </si>
  <si>
    <t>C. difformis, E. crus galli, M.vaginalis, C.dectylon</t>
  </si>
  <si>
    <t>Rice | C. difformis, E. crus galli, M.vaginalis, C.dectylon | 600 g/ha</t>
  </si>
  <si>
    <t>Ble Raj 32WP</t>
  </si>
  <si>
    <t>AP-5654</t>
  </si>
  <si>
    <t>Tata Clear 40WP</t>
  </si>
  <si>
    <t>AP-6099</t>
  </si>
  <si>
    <t>Rice | E. crus-galli, M.vaginalis, S.maritimus, C. difformis | 600 g/ha</t>
  </si>
  <si>
    <t>Mapclorak 40WP</t>
  </si>
  <si>
    <t>AP-6100</t>
  </si>
  <si>
    <t>Ronorac 40WP</t>
  </si>
  <si>
    <t>AP-6101</t>
  </si>
  <si>
    <t>Bensulfuron methyl (18%) + Bispyribac Sodium (12%)</t>
  </si>
  <si>
    <t>Sirius Plus 300WP</t>
  </si>
  <si>
    <t>AP-3263</t>
  </si>
  <si>
    <t>C. difformis, M.vaginalis, C.dactylon, E. crus-galli</t>
  </si>
  <si>
    <t>120 g/ha</t>
  </si>
  <si>
    <t>Rice | C. difformis, M.vaginalis, C.dactylon, E. crus-galli | 120 g/ha</t>
  </si>
  <si>
    <t>Rexikiller 30WP</t>
  </si>
  <si>
    <t>AP-3665</t>
  </si>
  <si>
    <t>Imperata cylindrica, Borreeia articularis</t>
  </si>
  <si>
    <t>Rice | Imperata cylindrica, Borreeia articularis | 2.50 kg/ha</t>
  </si>
  <si>
    <t>Manin 30WP</t>
  </si>
  <si>
    <t>AP-3666</t>
  </si>
  <si>
    <t>C. album, E. crus-galli, D. sangunalis, C. rotondus, C. difformis, M.vaginalis</t>
  </si>
  <si>
    <t>Onion | C. album, E. crus-galli, D. sangunalis, C. rotondus, C. difformis, M.vaginalis | 75 gm/ha</t>
  </si>
  <si>
    <t>Lorox 30WP</t>
  </si>
  <si>
    <t>AP-4366</t>
  </si>
  <si>
    <t>M.vaginalis, S. maritinus</t>
  </si>
  <si>
    <t>144 gm/ha</t>
  </si>
  <si>
    <t>Rice | M.vaginalis, S. maritinus | 144 gm/ha</t>
  </si>
  <si>
    <t>Benbake 30WP</t>
  </si>
  <si>
    <t>AP-4367</t>
  </si>
  <si>
    <t>E. crus-galli, S. maritums, C. difformis</t>
  </si>
  <si>
    <t>Rice | E. crus-galli, S. maritums, C. difformis | 2.50 kg/ha</t>
  </si>
  <si>
    <t>Fatiha 30WP</t>
  </si>
  <si>
    <t>AP-4368</t>
  </si>
  <si>
    <t>Tea | B. hispida, I.cylindrica | 2.50 kg/ha</t>
  </si>
  <si>
    <t>Crossout 30WP</t>
  </si>
  <si>
    <t>AP-4369</t>
  </si>
  <si>
    <t>Kery 30WP</t>
  </si>
  <si>
    <t>AP-4370</t>
  </si>
  <si>
    <t>Chaka 30WP</t>
  </si>
  <si>
    <t>AP-4371</t>
  </si>
  <si>
    <t>Bendium Plus 30WP</t>
  </si>
  <si>
    <t>AP-4838</t>
  </si>
  <si>
    <t>Dhaman 30WP</t>
  </si>
  <si>
    <t>AP-4839</t>
  </si>
  <si>
    <t>E. cruss-galli</t>
  </si>
  <si>
    <t>Rice | E. cruss-galli | 150 gm/ha</t>
  </si>
  <si>
    <t>Forend 30WP</t>
  </si>
  <si>
    <t>AP-4840</t>
  </si>
  <si>
    <t>Opinion Plus 30WP</t>
  </si>
  <si>
    <t>AP-4841</t>
  </si>
  <si>
    <t>Lamia 30WP</t>
  </si>
  <si>
    <t>AP-5216</t>
  </si>
  <si>
    <t>E. crus-galli, S. maritums, C. difformis, M. vaginalis</t>
  </si>
  <si>
    <t>Rice | E. crus-galli, S. maritums, C. difformis, M. vaginalis | 120 gm/ha</t>
  </si>
  <si>
    <t>Beta Jass 30WP</t>
  </si>
  <si>
    <t>AP-5217</t>
  </si>
  <si>
    <t>Rice | E. crus-galli, S. maritums, C. difformis, M. vaginalis | 150 gm/ha</t>
  </si>
  <si>
    <t>Bispa 30WP</t>
  </si>
  <si>
    <t>AP-5638</t>
  </si>
  <si>
    <t>Rice | E. crus-galli, S. maritums, C. difformis, M. vaginalis | 90 gm/ha</t>
  </si>
  <si>
    <t>Bisben 30WP</t>
  </si>
  <si>
    <t>AP-6127</t>
  </si>
  <si>
    <t>70 g/ha</t>
  </si>
  <si>
    <t>Rice | E. crus-galli, S. maritums, C. difformis, M. vaginalis | 70 g/ha</t>
  </si>
  <si>
    <t>Bispyribac Sodium</t>
  </si>
  <si>
    <t>Surpass 20SC</t>
  </si>
  <si>
    <t>AP-3650</t>
  </si>
  <si>
    <t>C. difformis, M.vaginalis, E. crus-galli, S.zeylanica, N.nouchali, S. maritiums</t>
  </si>
  <si>
    <t>150 L/ha</t>
  </si>
  <si>
    <t>Rice | C. difformis, M.vaginalis, E. crus-galli, S.zeylanica, N.nouchali, S. maritiums | 150 L/ha</t>
  </si>
  <si>
    <t>Xtra Power 20WP</t>
  </si>
  <si>
    <t>AP-3651</t>
  </si>
  <si>
    <t>E. crus-galli, M.vaginalis, C. difformis</t>
  </si>
  <si>
    <t>Rice | E. crus-galli, M.vaginalis, C. difformis | 150 L/ha</t>
  </si>
  <si>
    <t>Prune 20WP</t>
  </si>
  <si>
    <t>AP-3940</t>
  </si>
  <si>
    <t>Rice | E. crus-galli, M.vaginalis | 150 L/ha</t>
  </si>
  <si>
    <t>Nominee Gold 10SC</t>
  </si>
  <si>
    <t>AP-3941</t>
  </si>
  <si>
    <t>C.dactylon</t>
  </si>
  <si>
    <t>Potato | C.dactylon | 350 ml/ha</t>
  </si>
  <si>
    <t>Demand 20WP</t>
  </si>
  <si>
    <t>AP-4363</t>
  </si>
  <si>
    <t>S. marintimus, C. difformis</t>
  </si>
  <si>
    <t>Rice | S. marintimus, C. difformis | 150 gm/ha</t>
  </si>
  <si>
    <t>Fasal Extra 20WP</t>
  </si>
  <si>
    <t>AP-4364</t>
  </si>
  <si>
    <t>S. marintimus, M.vaginalis, C. difformis</t>
  </si>
  <si>
    <t>Rice | S. marintimus, M.vaginalis, C. difformis | 150 gm/ha</t>
  </si>
  <si>
    <t>Beat 20WP</t>
  </si>
  <si>
    <t>AP-4365</t>
  </si>
  <si>
    <t>S. marintimus, M.vaginalis, E, ctus-galli, M. quadrifoli</t>
  </si>
  <si>
    <t>Rice | S. marintimus, M.vaginalis, E, ctus-galli, M. quadrifoli | 150 gm/ha</t>
  </si>
  <si>
    <t>Risbac 20WP</t>
  </si>
  <si>
    <t>AP-4836</t>
  </si>
  <si>
    <t>Bisdium 20WP</t>
  </si>
  <si>
    <t>AP-4837</t>
  </si>
  <si>
    <t>C. difformis</t>
  </si>
  <si>
    <t>Rice | C. difformis | 150 gm/ha</t>
  </si>
  <si>
    <t>Kris 40SC</t>
  </si>
  <si>
    <t>AP-5214</t>
  </si>
  <si>
    <t>S. marintimus, M.vaginalis, C. difformis, E. crasgalli</t>
  </si>
  <si>
    <t>Rice | S. marintimus, M.vaginalis, C. difformis, E. crasgalli | 150 ml/ha</t>
  </si>
  <si>
    <t>Tybac 10SC</t>
  </si>
  <si>
    <t>AP-5215</t>
  </si>
  <si>
    <t>Rice | S. marintimus, M.vaginalis, C. difformis | 200 ml/ha</t>
  </si>
  <si>
    <t>Anka 10SC</t>
  </si>
  <si>
    <t>AP-5452</t>
  </si>
  <si>
    <t>C. colona, C. album</t>
  </si>
  <si>
    <t>Potato | C. colona, C. album | 300 ml/ha</t>
  </si>
  <si>
    <t>Killbro 80WP</t>
  </si>
  <si>
    <t>AP-5453</t>
  </si>
  <si>
    <t>B. hispida, I.cylindrica, E. crus-galli, M.vaginalis</t>
  </si>
  <si>
    <t>1.5 Kg/ha; 60 gm/ha</t>
  </si>
  <si>
    <t>Tea | B. hispida, I.cylindrica | 1.5 Kg/ha
Rice | E. crus-galli, M.vaginalis | 60 gm/ha</t>
  </si>
  <si>
    <t>Top Clean 40SC</t>
  </si>
  <si>
    <t>AP-6128</t>
  </si>
  <si>
    <t>S. marintimus, M.vaginalis</t>
  </si>
  <si>
    <t>Rice | S. marintimus, M.vaginalis | 90 ml/ha</t>
  </si>
  <si>
    <t>Butachlor</t>
  </si>
  <si>
    <t>Aimchlor 5G</t>
  </si>
  <si>
    <t>AP-403</t>
  </si>
  <si>
    <t>Scirpus matrimus,Cyperus defformis, Echinocloa crus-galli, Sphenoclea zeylanica</t>
  </si>
  <si>
    <t>Rice | Scirpus matrimus,Cyperus defformis, Echinocloa crus-galli, Sphenoclea zeylanica | 25.00 kg/ha</t>
  </si>
  <si>
    <t>Butabel 5G</t>
  </si>
  <si>
    <t>AP-470</t>
  </si>
  <si>
    <t>Cyperus defformis, Scirpus matrimus</t>
  </si>
  <si>
    <t>Rice | Cyperus defformis, Scirpus matrimus | 25.00 kg/ha</t>
  </si>
  <si>
    <t>Vichete 5G</t>
  </si>
  <si>
    <t>AP-577</t>
  </si>
  <si>
    <t>Broad Leadf and Sedge</t>
  </si>
  <si>
    <t>Rice | Broad Leadf and Sedge | 25.00 kg/ha</t>
  </si>
  <si>
    <t>Amcobuta 5G</t>
  </si>
  <si>
    <t>AP-692</t>
  </si>
  <si>
    <t>Rice | Weeds | 25.00 kg/ha</t>
  </si>
  <si>
    <t>Baibuta 5G</t>
  </si>
  <si>
    <t>AP-841</t>
  </si>
  <si>
    <t>M.vaginalis, C.difformis,, S. zeylanica, S.maritimus, L.octovalvis</t>
  </si>
  <si>
    <t>Rice | M.vaginalis, C.difformis,, S. zeylanica, S.maritimus, L.octovalvis | 25.00 kg/ha</t>
  </si>
  <si>
    <t>Betaplus 5G</t>
  </si>
  <si>
    <t>AP-844</t>
  </si>
  <si>
    <t>Nuchlor 5G</t>
  </si>
  <si>
    <t>AP-846</t>
  </si>
  <si>
    <t>M.vaginalis, C.difformis,, S.maritimu, L.octovalvis</t>
  </si>
  <si>
    <t>Rice | M.vaginalis, C.difformis,, S.maritimu, L.octovalvis | 25.00 kg/ha</t>
  </si>
  <si>
    <t>Avant 5G</t>
  </si>
  <si>
    <t>AP-850</t>
  </si>
  <si>
    <t>S.maritimu, M.manuta, M.vaginalis</t>
  </si>
  <si>
    <t>Rice | S.maritimu, M.manuta, M.vaginalis | 25.00 kg/ha</t>
  </si>
  <si>
    <t>Sunchlor 5G</t>
  </si>
  <si>
    <t>AP-932</t>
  </si>
  <si>
    <t>Scirpus maritimus, Monochoria, vaginalis, Fimbrstylis miliacea,, Cyperus difformis, Ludwigia octavalvis</t>
  </si>
  <si>
    <t>Rice | Scirpus maritimus, Monochoria, vaginalis, Fimbrstylis miliacea,, Cyperus difformis, Ludwigia octavalvis | 25.00 kg/ha</t>
  </si>
  <si>
    <t>Ichlor 5G</t>
  </si>
  <si>
    <t>AP-937</t>
  </si>
  <si>
    <t>Monochoria vaginlis, Marsilea, quadrifolia, Cyperus difformis, Scirpus matrimus</t>
  </si>
  <si>
    <t>Rice | Monochoria vaginlis, Marsilea, quadrifolia, Cyperus difformis, Scirpus matrimus | 25.00 kg/ha</t>
  </si>
  <si>
    <t>M-Buta 5G</t>
  </si>
  <si>
    <t>AP-1165</t>
  </si>
  <si>
    <t>Weed</t>
  </si>
  <si>
    <t>Rice | Weed | 25.00 kg/ha</t>
  </si>
  <si>
    <t>Echlor 5G</t>
  </si>
  <si>
    <t>AP-1447</t>
  </si>
  <si>
    <t>E. fluctuans, E. crus-galli, M. vaginalis, S. zeylanica</t>
  </si>
  <si>
    <t>Rice | E. fluctuans, E. crus-galli, M. vaginalis, S. zeylanica | 25.00 kg/ha</t>
  </si>
  <si>
    <t>Orbuta 5G</t>
  </si>
  <si>
    <t>AP-1448</t>
  </si>
  <si>
    <t>Butasin 5G</t>
  </si>
  <si>
    <t>AP-1445</t>
  </si>
  <si>
    <t>M. vaginalis</t>
  </si>
  <si>
    <t>Rice | M. vaginalis | 25.00 kg/ha</t>
  </si>
  <si>
    <t>Kildor 5G</t>
  </si>
  <si>
    <t>AP-1650</t>
  </si>
  <si>
    <t>C. difformis, S.maritimus, C. iria,Oxalis europea, E. crusgalli</t>
  </si>
  <si>
    <t>Rice | C. difformis, S.maritimus, C. iria,Oxalis europea, E. crusgalli | 25.00 kg/ha</t>
  </si>
  <si>
    <t>Ravchlor 5G</t>
  </si>
  <si>
    <t>AP-1599</t>
  </si>
  <si>
    <t>C. difformis, S.maritimus, C. iria, L.hexanda, E. crus-galli</t>
  </si>
  <si>
    <t>Rice | C. difformis, S.maritimus, C. iria, L.hexanda, E. crus-galli | 25.00 kg/ha</t>
  </si>
  <si>
    <t>G-Chlor 5G</t>
  </si>
  <si>
    <t>AP-1608</t>
  </si>
  <si>
    <t>Rice | M.vaginalis, S.maritimus | 25.00 kg/ha</t>
  </si>
  <si>
    <t>Aristochlor 5G</t>
  </si>
  <si>
    <t>AP-2101</t>
  </si>
  <si>
    <t>M.vaginalis, S.junncoides, C.difformis, E.crusgalli</t>
  </si>
  <si>
    <t>Rice | M.vaginalis, S.junncoides, C.difformis, E.crusgalli | 25.00 kg/ha</t>
  </si>
  <si>
    <t>Butax 5G</t>
  </si>
  <si>
    <t>AP-2102</t>
  </si>
  <si>
    <t>Danchlor 5G</t>
  </si>
  <si>
    <t>AP-2288</t>
  </si>
  <si>
    <t>20.0 kg/ha</t>
  </si>
  <si>
    <t>Tea | Dicot, Monocot | 20.0 kg/ha</t>
  </si>
  <si>
    <t>Bicolor 5G</t>
  </si>
  <si>
    <t>AP-2556</t>
  </si>
  <si>
    <t>E. crus-galli, S.maritimus, D.trifolium, C. difformis, M.vaginali</t>
  </si>
  <si>
    <t>Rice | E. crus-galli, S.maritimus, D.trifolium, C. difformis, M.vaginali | 25.00 kg/ha</t>
  </si>
  <si>
    <t>Ecobuta 5G</t>
  </si>
  <si>
    <t>AP-2581</t>
  </si>
  <si>
    <t>L.chinensis, L.hexandra, E. crus-galli</t>
  </si>
  <si>
    <t>25.00 kg/ha; 20.00 kg/ha</t>
  </si>
  <si>
    <t>Rice | L.chinensis, L.hexandra | 25.00 kg/ha
- | E. crus-galli | 20.00 kg/ha</t>
  </si>
  <si>
    <t>Chinachlor 5G</t>
  </si>
  <si>
    <t>AP-3155</t>
  </si>
  <si>
    <t>L.cylindrica, c.rotundus, B. hispida, M.pudica</t>
  </si>
  <si>
    <t>Tea | L.cylindrica, c.rotundus | -
- | B. hispida, M.pudica | -</t>
  </si>
  <si>
    <t>Butaguard 60EW</t>
  </si>
  <si>
    <t>AP-5219</t>
  </si>
  <si>
    <t>C.difformis,, M.vaginalis, S. zeylanica</t>
  </si>
  <si>
    <t>Rice | C.difformis,, M.vaginalis, S. zeylanica | 1.5 L/ha</t>
  </si>
  <si>
    <t>Butachlor (35 %) + Propanil (35%)</t>
  </si>
  <si>
    <t>Gang 700EC</t>
  </si>
  <si>
    <t>AP-2446</t>
  </si>
  <si>
    <t>E. crus-galli, L. chinensis, M.vaginalis, C. difformis</t>
  </si>
  <si>
    <t>Rice | E. crus-galli, L. chinensis, M.vaginalis, C. difformis | 1.00 L/ha</t>
  </si>
  <si>
    <t>Butacrop 70EC</t>
  </si>
  <si>
    <t>AP-4423</t>
  </si>
  <si>
    <t>S. martimus, M. quadrifoli, M.vaginali</t>
  </si>
  <si>
    <t>Rice | S. martimus, M. quadrifoli, M.vaginali | 1.50 L/ha</t>
  </si>
  <si>
    <t>Carfentrazone Ethyl (50%) + Isoproturon (0.75%)</t>
  </si>
  <si>
    <t>Affinity 50.75WP</t>
  </si>
  <si>
    <t>AP-1059</t>
  </si>
  <si>
    <t>Weed complex</t>
  </si>
  <si>
    <t>Wheat | Weed complex | 1.50 kg/ha</t>
  </si>
  <si>
    <t>HRAC E</t>
  </si>
  <si>
    <t>Sunfinity 50.75WP:</t>
  </si>
  <si>
    <t>AP-6123</t>
  </si>
  <si>
    <t>S. martimus, M. quadrifoli</t>
  </si>
  <si>
    <t>Rice | S. martimus, M. quadrifoli | 1.0 L/ha</t>
  </si>
  <si>
    <t>Carfentrazone Ethyl</t>
  </si>
  <si>
    <t>Aim 40DF</t>
  </si>
  <si>
    <t>AP-410</t>
  </si>
  <si>
    <t>Scirpus maritimus, Monochoria, vaginalis, Marsilea cremata, Fimbristylis milliacea, E.futuans, E.crusgali, Crotundus, Sphenoclea zeylanica, C.album, Broad Leaf and Sedge</t>
  </si>
  <si>
    <t>62.50 gm/ha; 62.5 gm/ha</t>
  </si>
  <si>
    <t>Rice | Scirpus maritimus, Monochoria, vaginalis, Marsilea cremata, Fimbristylis milliacea, E.futuans, E.crusgali, Crotundus, Sphenoclea zeylanica, C.album | 62.50 gm/ha
Potato | Broad Leaf and Sedge | 62.5 gm/ha</t>
  </si>
  <si>
    <t>Hammer 24EC</t>
  </si>
  <si>
    <t>AP-1058</t>
  </si>
  <si>
    <t>Wheat, Rice, Potato</t>
  </si>
  <si>
    <t>Broadleaf &amp; Sedge Weeds, Scirpus maritimus, Monochoria, vaginalis, Marsilea cremata, Cyperus iria,Cyperus difformis, C.album, A. virids, A. philoxeroides, G.affine</t>
  </si>
  <si>
    <t>104 ml/ha; 100 ml/ha</t>
  </si>
  <si>
    <t>Wheat | Broadleaf &amp; Sedge Weeds | 104 ml/ha
Rice | Scirpus maritimus, Monochoria, vaginalis, Marsilea cremata, Cyperus iria,Cyperus difformis | 100 ml/ha
Potato | C.album, A. virids, A. philoxeroides, G.affine | 104 ml/ha</t>
  </si>
  <si>
    <t>Cyhalofop-butyl</t>
  </si>
  <si>
    <t>Rain 10EC</t>
  </si>
  <si>
    <t>AP-3207</t>
  </si>
  <si>
    <t>E. crus-galli, C.iria, F. miliacea, M.vaginalis, C. difformis</t>
  </si>
  <si>
    <t>Rice | E. crus-galli, C.iria, F. miliacea, M.vaginalis, C. difformis | 100 ml/ha</t>
  </si>
  <si>
    <t>HRAC A</t>
  </si>
  <si>
    <t>Mitson 10EC</t>
  </si>
  <si>
    <t>AP-5218</t>
  </si>
  <si>
    <t>E. crus-galli, Mvaginalis, S. maritimus</t>
  </si>
  <si>
    <t>Rice | E. crus-galli, Mvaginalis, S. maritimus | 120 ml/ha</t>
  </si>
  <si>
    <t>Foray 10EC</t>
  </si>
  <si>
    <t>AP-5658</t>
  </si>
  <si>
    <t>E. crus-galli, Mvaginalis, S. maritimus, C.difformis</t>
  </si>
  <si>
    <t>Rice | E. crus-galli, Mvaginalis, S. maritimus, C.difformis | 100 gm/ha</t>
  </si>
  <si>
    <t>Ethoxysulfuron</t>
  </si>
  <si>
    <t>Sunrice 15WG</t>
  </si>
  <si>
    <t>AP-579</t>
  </si>
  <si>
    <t>Broad Leaf and Sedge, C.rotundus</t>
  </si>
  <si>
    <t>100 gm/ha; 200 gm/ha</t>
  </si>
  <si>
    <t>Rice | Broad Leaf and Sedge | 100 gm/ha
Jute | C.rotundus | 200 gm/ha</t>
  </si>
  <si>
    <t>Moon Rise 15WG</t>
  </si>
  <si>
    <t>AP-3664</t>
  </si>
  <si>
    <t>Imperata, cylindrica, Borreeia articularis</t>
  </si>
  <si>
    <t>Tea | Imperata, cylindrica, Borreeia articularis | 2.50 kg/ha</t>
  </si>
  <si>
    <t>Red Rise 15WDG</t>
  </si>
  <si>
    <t>AP-4819</t>
  </si>
  <si>
    <t>C. rutundus, C.kyllinga</t>
  </si>
  <si>
    <t>3.50 kg/ha</t>
  </si>
  <si>
    <t>Tea | C. rutundus, C.kyllinga | 3.50 kg/ha</t>
  </si>
  <si>
    <t>ES-Plus 15WG</t>
  </si>
  <si>
    <t>AP-4820</t>
  </si>
  <si>
    <t>Cyperus iria, C. rotundus</t>
  </si>
  <si>
    <t>Jute | Cyperus iria, C. rotundus | 200 gm/ha</t>
  </si>
  <si>
    <t>ForGold 15WDG</t>
  </si>
  <si>
    <t>AP-4821</t>
  </si>
  <si>
    <t>B. hispida, L.cylindrica, C. rotundus</t>
  </si>
  <si>
    <t>3.50 kg/ha; 200 gm/ha</t>
  </si>
  <si>
    <t>Tea | B. hispida, L.cylindrica | 3.50 kg/ha
Jute | C. rotundus | 200 gm/ha</t>
  </si>
  <si>
    <t>Urize 15WDG</t>
  </si>
  <si>
    <t>AP-5222</t>
  </si>
  <si>
    <t>B. hispida, L.cylindrica</t>
  </si>
  <si>
    <t>Tea | B. hispida, L.cylindrica | 3.50 kg/ha</t>
  </si>
  <si>
    <t>Rigon 15WG</t>
  </si>
  <si>
    <t>AP-5223</t>
  </si>
  <si>
    <t>E. crus-galli, S. martimus,</t>
  </si>
  <si>
    <t>750 ml/acre</t>
  </si>
  <si>
    <t>Rice | E. crus-galli, S. martimus, | 750 ml/acre</t>
  </si>
  <si>
    <t>Genirise 15WG</t>
  </si>
  <si>
    <t>AP-5456</t>
  </si>
  <si>
    <t>Dotsun 15WG</t>
  </si>
  <si>
    <t>AP-5457</t>
  </si>
  <si>
    <t>C. rotundus</t>
  </si>
  <si>
    <t>Jute | C. rotundus | 200 gm/ha</t>
  </si>
  <si>
    <t>Georgerice 15WG</t>
  </si>
  <si>
    <t>AP-5458</t>
  </si>
  <si>
    <t>G. Affine</t>
  </si>
  <si>
    <t>Brinjal | G. Affine | 125 gm/ha</t>
  </si>
  <si>
    <t>Kuvan 15WG</t>
  </si>
  <si>
    <t>AP-5646</t>
  </si>
  <si>
    <t>Ghaskhadok 15WG</t>
  </si>
  <si>
    <t>AP-5647</t>
  </si>
  <si>
    <t>East Furan 15WG</t>
  </si>
  <si>
    <t>AP-5648</t>
  </si>
  <si>
    <t>Eyelet 15WG</t>
  </si>
  <si>
    <t>AP-5649</t>
  </si>
  <si>
    <t>C. rotundus,</t>
  </si>
  <si>
    <t>Jute | C. rotundus, | 200 gm/ha</t>
  </si>
  <si>
    <t>Rayen 15WG</t>
  </si>
  <si>
    <t>AP-5650</t>
  </si>
  <si>
    <t>E. crus-galli, C.iria, F. miliacea, M.vaginalis, C. difformis, E.colonum, D.sanguinalis</t>
  </si>
  <si>
    <t>200 gm/ha; 650 gm/ha</t>
  </si>
  <si>
    <t>Rice | E. crus-galli, C.iria, F. miliacea, M.vaginalis, C. difformis | 200 gm/ha
Jute | E.colonum, D.sanguinalis | 650 gm/ha</t>
  </si>
  <si>
    <t>Sunlin 15WG</t>
  </si>
  <si>
    <t>AP-5820</t>
  </si>
  <si>
    <t>E. crus-galli, S. maritimus,, M.vaginalis, C. difformis, C. rotundus</t>
  </si>
  <si>
    <t>Rice, Jute | E. crus-galli, S. maritimus,, M.vaginalis, C. difformis, C. rotundus | 200 gm/ha</t>
  </si>
  <si>
    <t>Picat 15WDG</t>
  </si>
  <si>
    <t>AP-5821</t>
  </si>
  <si>
    <t>E. crus-galli, S. maritimus,, C. difformis, E.colonum, D.sanguinalis</t>
  </si>
  <si>
    <t>Rice | E. crus-galli, S. maritimus,, C. difformis | 200 gm/ha
Jute | E.colonum, D.sanguinalis | 200 gm/ha</t>
  </si>
  <si>
    <t>Sony 15WDG</t>
  </si>
  <si>
    <t>AP-5822</t>
  </si>
  <si>
    <t>E. crus-galli, S. maritimus,, M.vaginalis, C. difformis, C. difformis</t>
  </si>
  <si>
    <t>Rice | E. crus-galli, S. maritimus,, M.vaginalis, C. difformis | 200 gm/ha
Jute | C. difformis | 200 gm/ha</t>
  </si>
  <si>
    <t>Ricorice 15WDG</t>
  </si>
  <si>
    <t>AP-5823</t>
  </si>
  <si>
    <t>E. crus-galli, S. maritimus,, M.vaginalis, C. difformis</t>
  </si>
  <si>
    <t>Rice | E. crus-galli, S. maritimus,, M.vaginalis, C. difformis | 200 gm/ha</t>
  </si>
  <si>
    <t>Grazon 15WDG</t>
  </si>
  <si>
    <t>AP-6136</t>
  </si>
  <si>
    <t>180 g/ha</t>
  </si>
  <si>
    <t>Rice | E. crus-galli, S. maritimus,, M.vaginalis, C. difformis | 180 g/ha</t>
  </si>
  <si>
    <t>Exoron 15WDG</t>
  </si>
  <si>
    <t>AP-6137</t>
  </si>
  <si>
    <t>Maize, Jute</t>
  </si>
  <si>
    <t>C.dectaylon, C.rotundus, E.crussgalli, E.colonum, E.crussgalli</t>
  </si>
  <si>
    <t>1250 g/ha; 200 g/ha</t>
  </si>
  <si>
    <t>Maize | C.dectaylon, C.rotundus, E.crussgalli | 1250 g/ha
Jute | E.colonum, E.crussgalli | 200 g/ha</t>
  </si>
  <si>
    <t>M-Rice 15WDG</t>
  </si>
  <si>
    <t>AP-6138</t>
  </si>
  <si>
    <t>Moonlit 15WDG</t>
  </si>
  <si>
    <t>AP-6139</t>
  </si>
  <si>
    <t>E.colonum, E.crussgalli</t>
  </si>
  <si>
    <t>Jute | E.colonum, E.crussgalli | 200 g/ha</t>
  </si>
  <si>
    <t>Fenoxaprop-p-Ethyl</t>
  </si>
  <si>
    <t>Whip Super 9EC</t>
  </si>
  <si>
    <t>AP-1709</t>
  </si>
  <si>
    <t>Brinjal, Onion, Jute</t>
  </si>
  <si>
    <t>E. colonum, E.cursgalli, Eleusine indica, E. colonum, D.Sanguinalis</t>
  </si>
  <si>
    <t>0.75 L/ha; 650 ml/ha</t>
  </si>
  <si>
    <t>Brinjal, Onion | E. colonum, E.cursgalli, Eleusine indica | 0.75 L/ha
Jute | E. colonum, D.Sanguinalis | 650 ml/ha</t>
  </si>
  <si>
    <t>Sua 9EC</t>
  </si>
  <si>
    <t>AP-2589</t>
  </si>
  <si>
    <t>E. colonum, D.Sanguinalis</t>
  </si>
  <si>
    <t>Jute | E. colonum, D.Sanguinalis | 650 ml/ha</t>
  </si>
  <si>
    <t>Release 9EC</t>
  </si>
  <si>
    <t>AP-2590</t>
  </si>
  <si>
    <t>E. colonum, D.Sanguinalis, P.distichum, E.indica, E.crusgalli, E.colonum</t>
  </si>
  <si>
    <t>650 ml/ha; 0.75 L/ha</t>
  </si>
  <si>
    <t>Jute | E. colonum, D.Sanguinalis, P.distichum | 650 ml/ha
Jute | E.indica, E.crusgalli, E.colonum | 0.75 L/ha</t>
  </si>
  <si>
    <t>Quickoff 9EC</t>
  </si>
  <si>
    <t>AP-3190</t>
  </si>
  <si>
    <t>Fat 9EC</t>
  </si>
  <si>
    <t>AP-3191</t>
  </si>
  <si>
    <t>Lionox 9EC</t>
  </si>
  <si>
    <t>AP-3192</t>
  </si>
  <si>
    <t>Unitop 9EC</t>
  </si>
  <si>
    <t>AP-3193</t>
  </si>
  <si>
    <t>Winger Super 10EC</t>
  </si>
  <si>
    <t>AP-3194</t>
  </si>
  <si>
    <t>Accurator 69EW</t>
  </si>
  <si>
    <t>AP-3655</t>
  </si>
  <si>
    <t>E. crus-galli, M .vaginalis, C. difformis, S. Zeylanica, N. nouchali, E. colonum, D.Sanguinalis</t>
  </si>
  <si>
    <t>Rice | E. crus-galli, M .vaginalis, C. difformis, S. Zeylanica, N. nouchali | 500 ml/ha
Jute | E. colonum, D.Sanguinalis | 650 ml/ha</t>
  </si>
  <si>
    <t>Grave 9EC</t>
  </si>
  <si>
    <t>AP-3656</t>
  </si>
  <si>
    <t>Sonabondhu</t>
  </si>
  <si>
    <t>AP-3657</t>
  </si>
  <si>
    <t>C. album</t>
  </si>
  <si>
    <t>Brinjal | C. album | 1.50 ml/L of water</t>
  </si>
  <si>
    <t>Danida 9EC</t>
  </si>
  <si>
    <t>AP-3689</t>
  </si>
  <si>
    <t>E.colonum, D.sanguinalin</t>
  </si>
  <si>
    <t>Jute | E.colonum, D.sanguinalin | 650 ml/ha</t>
  </si>
  <si>
    <t>Reaper 10EC</t>
  </si>
  <si>
    <t>AP-3967</t>
  </si>
  <si>
    <t>E. crus-galli, C.dactylon, G.offine</t>
  </si>
  <si>
    <t>Onion | E. crus-galli, C.dactylon, G.offine | 500 ml/ha</t>
  </si>
  <si>
    <t>Arofen 9EC</t>
  </si>
  <si>
    <t>AP-4030</t>
  </si>
  <si>
    <t>Jupiter 9EC</t>
  </si>
  <si>
    <t>AP-4330</t>
  </si>
  <si>
    <t>Alter Super 9EC</t>
  </si>
  <si>
    <t>AP-4331</t>
  </si>
  <si>
    <t>Fento 9EC</t>
  </si>
  <si>
    <t>AP-4332</t>
  </si>
  <si>
    <t>C. dactylon, C. rotendus, E. crus-galli</t>
  </si>
  <si>
    <t>Brinjal | C. dactylon, C. rotendus, E. crus-galli | 650 ml/ha</t>
  </si>
  <si>
    <t>Teana 9EC</t>
  </si>
  <si>
    <t>AP-4333</t>
  </si>
  <si>
    <t>Red Super 9EC</t>
  </si>
  <si>
    <t>AP-4755</t>
  </si>
  <si>
    <t>G.offine, C.album, E. crus-galli</t>
  </si>
  <si>
    <t>Potato | G.offine, C.album, E. crus-galli | 700 ml/ha</t>
  </si>
  <si>
    <t>Nilson 6.9EW</t>
  </si>
  <si>
    <t>AP-4757</t>
  </si>
  <si>
    <t>E.colonum, D.sanguinalin, E.crus-galli</t>
  </si>
  <si>
    <t>Jute | E.colonum, D.sanguinalin, E.crus-galli | 650 ml/ha</t>
  </si>
  <si>
    <t>Zinugum 6.9EW</t>
  </si>
  <si>
    <t>AP-4758</t>
  </si>
  <si>
    <t>Wheel Super 6.9EW</t>
  </si>
  <si>
    <t>AP-4759</t>
  </si>
  <si>
    <t>Latu-M 6.9EW</t>
  </si>
  <si>
    <t>AP-5123</t>
  </si>
  <si>
    <t>G. affine</t>
  </si>
  <si>
    <t>Brinjal | G. affine | 650 ml/ha</t>
  </si>
  <si>
    <t>Limi Super 9EC</t>
  </si>
  <si>
    <t>AP-5124</t>
  </si>
  <si>
    <t>E.colonum,, D.sanguinals</t>
  </si>
  <si>
    <t>Jute | E.colonum,, D.sanguinals | 650 ml/ha</t>
  </si>
  <si>
    <t>G-Super 9EC</t>
  </si>
  <si>
    <t>AP-5125</t>
  </si>
  <si>
    <t>Mukut 10EC</t>
  </si>
  <si>
    <t>AP-5126</t>
  </si>
  <si>
    <t>Soyabean</t>
  </si>
  <si>
    <t>C. rotundus, C. dectylon</t>
  </si>
  <si>
    <t>Soyabean | C. rotundus, C. dectylon | 550 ml/ha</t>
  </si>
  <si>
    <t>Winnow Super 10EC</t>
  </si>
  <si>
    <t>AP-5459</t>
  </si>
  <si>
    <t>E. crus galli, E. colonum</t>
  </si>
  <si>
    <t>1 .00 L/ha</t>
  </si>
  <si>
    <t>Wheat | E. crus galli, E. colonum | 1 .00 L/ha</t>
  </si>
  <si>
    <t>Ridoff 9EC</t>
  </si>
  <si>
    <t>AP-5645</t>
  </si>
  <si>
    <t>Farmprop 9EC</t>
  </si>
  <si>
    <t>AP-5838</t>
  </si>
  <si>
    <t>E.colonum,, E. crus galli</t>
  </si>
  <si>
    <t>Brinjal | E.colonum,, E. crus galli | 650 ml/ha</t>
  </si>
  <si>
    <t>Uber 10EC</t>
  </si>
  <si>
    <t>AP-6124</t>
  </si>
  <si>
    <t>C. album, P.heterophylla, A.vidis, P.aleraceae</t>
  </si>
  <si>
    <t>Wheat | C. album, P.heterophylla, A.vidis, P.aleraceae | 650 ml/ha</t>
  </si>
  <si>
    <t>Orosuper 9EC</t>
  </si>
  <si>
    <t>AP-6125</t>
  </si>
  <si>
    <t>E.colonum,, E.curssgalli</t>
  </si>
  <si>
    <t>Jute | E.colonum,, E.curssgalli | 650 ml/ha</t>
  </si>
  <si>
    <t>Rai Super 9EC</t>
  </si>
  <si>
    <t>AP-6126</t>
  </si>
  <si>
    <t>E. crus-galli, M .vaginalis, C. difformis, S. maritimus</t>
  </si>
  <si>
    <t>Rice | E. crus-galli, M .vaginalis, C. difformis, S. maritimus | 500 ml/ha</t>
  </si>
  <si>
    <t>Fluazifop-p-butyl</t>
  </si>
  <si>
    <t>Fusicon 15EC</t>
  </si>
  <si>
    <t>AP-4334</t>
  </si>
  <si>
    <t>C. rotendus, E. indica, E. Colonum</t>
  </si>
  <si>
    <t>2.50 L/ha; 1.0 L/ha</t>
  </si>
  <si>
    <t>Tea | C. rotendus, E. indica | 2.50 L/ha
Jute | E. Colonum | 1.0 L/ha</t>
  </si>
  <si>
    <t>Ajafa 12.5EC</t>
  </si>
  <si>
    <t>AP-5115</t>
  </si>
  <si>
    <t>C. rotendus, E. fluctuans, E.crusgali, C.doctylon</t>
  </si>
  <si>
    <t>Maize | C. rotendus, E. fluctuans, E.crusgali, C.doctylon | 1.5 L/ha</t>
  </si>
  <si>
    <t>Fusilade Max 12.5EC</t>
  </si>
  <si>
    <t>AP-5116</t>
  </si>
  <si>
    <t>E. Colonum, D. sanuinalis</t>
  </si>
  <si>
    <t>Jute | E. Colonum, D. sanuinalis | 1.0 L/ha</t>
  </si>
  <si>
    <t>Sweetfop 12.5EC</t>
  </si>
  <si>
    <t>AP-5460</t>
  </si>
  <si>
    <t>Flomax 12.5EC</t>
  </si>
  <si>
    <t>AP-6122</t>
  </si>
  <si>
    <t>E. crus-galli, M .vaginalis, S. maritimus</t>
  </si>
  <si>
    <t>Rice | E. crus-galli, M .vaginalis, S. maritimus | 1.0 L/ha</t>
  </si>
  <si>
    <t>Ethoxysulfuron (10%) + Fluazifop-p-ethyl (10%)</t>
  </si>
  <si>
    <t>Viber 20WG</t>
  </si>
  <si>
    <t>AP-5834</t>
  </si>
  <si>
    <t>E. crus-galli, M .vaginalis, C. difformis, S. maritimus, E.colonum, C.rotundus</t>
  </si>
  <si>
    <t>550 gm/ha; 500 gm/ha</t>
  </si>
  <si>
    <t>Rice | E. crus-galli, M .vaginalis, C. difformis, S. maritimus | 550 gm/ha
Jute | E.colonum, C.rotundus | 500 gm/ha</t>
  </si>
  <si>
    <t>Fenoxaprop-p-ethyl (10%) + Ethoxysulfuron (10%)</t>
  </si>
  <si>
    <t>Sunjute Plus 20WG</t>
  </si>
  <si>
    <t>AP-5819</t>
  </si>
  <si>
    <t>E. crus-galli, M .vaginalis, C. difformis, S. maritimus, Co.rotundus</t>
  </si>
  <si>
    <t>100 gm/ha; 300 gm/ha</t>
  </si>
  <si>
    <t>Rice | E. crus-galli, M .vaginalis, C. difformis, S. maritimus | 100 gm/ha
Jute | Co.rotundus | 300 gm/ha</t>
  </si>
  <si>
    <t>Cyhalofop-butyl (5%) + Fecoxaprop-p-ethyl (5%)</t>
  </si>
  <si>
    <t>Depon 10EC</t>
  </si>
  <si>
    <t>AP-4731</t>
  </si>
  <si>
    <t>E.crusgali, C.doctylon, C.rotundus, Amaranthus spp, E. Colonum, D. sanuinalis</t>
  </si>
  <si>
    <t>100 ml/ha; 450 ml/ha</t>
  </si>
  <si>
    <t>Maize | E.crusgali, C.doctylon, C.rotundus, Amaranthus spp | 100 ml/ha
Jute | E. Colonum, D. sanuinalis | 450 ml/ha</t>
  </si>
  <si>
    <t>Safe-Klin 10EC</t>
  </si>
  <si>
    <t>AP-5454</t>
  </si>
  <si>
    <t>Tea | B. hispida, L.cylindrica | 2.00 L/ha</t>
  </si>
  <si>
    <t>Glyphosate</t>
  </si>
  <si>
    <t>Pillaround</t>
  </si>
  <si>
    <t>AP-213</t>
  </si>
  <si>
    <t>3.70 L/ha</t>
  </si>
  <si>
    <t>Tea | Weeds | 3.70 L/ha</t>
  </si>
  <si>
    <t>HRAC G</t>
  </si>
  <si>
    <t>Forwasate</t>
  </si>
  <si>
    <t>AP-267</t>
  </si>
  <si>
    <t>Biestercine</t>
  </si>
  <si>
    <t>AP-297</t>
  </si>
  <si>
    <t>Edround 41EC</t>
  </si>
  <si>
    <t>AP-298</t>
  </si>
  <si>
    <t>Ridweed RP</t>
  </si>
  <si>
    <t>AP-319</t>
  </si>
  <si>
    <t>Tea, Rubber</t>
  </si>
  <si>
    <t>Tea, Rubber | Weeds | 3.70 L/ha</t>
  </si>
  <si>
    <t>Glycel 41SL</t>
  </si>
  <si>
    <t>AP-333</t>
  </si>
  <si>
    <t>Kleenup 480</t>
  </si>
  <si>
    <t>AP-334</t>
  </si>
  <si>
    <t>Linphosate 480SL</t>
  </si>
  <si>
    <t>AP-399</t>
  </si>
  <si>
    <t>Pararound 41EC</t>
  </si>
  <si>
    <t>AP-591</t>
  </si>
  <si>
    <t>Sun Up</t>
  </si>
  <si>
    <t>AP-669</t>
  </si>
  <si>
    <t>Durdanta 480SL</t>
  </si>
  <si>
    <t>AP-701</t>
  </si>
  <si>
    <t>Limsate 41SL</t>
  </si>
  <si>
    <t>AP-894</t>
  </si>
  <si>
    <t>Roundphos 48SL</t>
  </si>
  <si>
    <t>AP-897</t>
  </si>
  <si>
    <t>Eon-phosate 41SL</t>
  </si>
  <si>
    <t>AP-899</t>
  </si>
  <si>
    <t>Glyfocel 41SL</t>
  </si>
  <si>
    <t>AP-900</t>
  </si>
  <si>
    <t>Roundup</t>
  </si>
  <si>
    <t>AP-922</t>
  </si>
  <si>
    <t>Weeds, A.viridis, A.spinosus, C.album, S.moauritianum</t>
  </si>
  <si>
    <t>3.70 L/ha; 2.50 L/ha</t>
  </si>
  <si>
    <t>Tea | Weeds | 3.70 L/ha
Sugarcane | A.viridis, A.spinosus, C.album, S.moauritianum | 2.50 L/ha</t>
  </si>
  <si>
    <t>TotalUp 48SL</t>
  </si>
  <si>
    <t>AP-995</t>
  </si>
  <si>
    <t>Eround 41SL</t>
  </si>
  <si>
    <t>AP-1194</t>
  </si>
  <si>
    <t>Emiround 41SL</t>
  </si>
  <si>
    <t>AP-1195</t>
  </si>
  <si>
    <t>Hayphosate 41SL</t>
  </si>
  <si>
    <t>AP-1311</t>
  </si>
  <si>
    <t>Tea | Weed | 3.70 L/ha</t>
  </si>
  <si>
    <t>Speed 71SG</t>
  </si>
  <si>
    <t>AP-1312</t>
  </si>
  <si>
    <t>Tea | Weed | 2.50 L/ha</t>
  </si>
  <si>
    <t>Bairound 41SL</t>
  </si>
  <si>
    <t>AP-1396</t>
  </si>
  <si>
    <t>Dicot weed, Monocot weed</t>
  </si>
  <si>
    <t>3.50 L/ha</t>
  </si>
  <si>
    <t>Tea | Dicot weed, Monocot weed | 3.50 L/ha</t>
  </si>
  <si>
    <t>Weedoff 41SL</t>
  </si>
  <si>
    <t>AP-1397</t>
  </si>
  <si>
    <t>Ammround 41SL</t>
  </si>
  <si>
    <t>AP-1839</t>
  </si>
  <si>
    <t>Sweep 41SL</t>
  </si>
  <si>
    <t>AP-1840</t>
  </si>
  <si>
    <t>Glytex 41SL</t>
  </si>
  <si>
    <t>AP-2099</t>
  </si>
  <si>
    <t>G-Shell 41SL</t>
  </si>
  <si>
    <t>AP-2271</t>
  </si>
  <si>
    <t>Mimphosate 480SL</t>
  </si>
  <si>
    <t>AP-2549</t>
  </si>
  <si>
    <t>Tea | Dicot, Monocot | 3.50 L/ha</t>
  </si>
  <si>
    <t>Supersate 41SL</t>
  </si>
  <si>
    <t>AP-2606</t>
  </si>
  <si>
    <t>M-Fosate 41SL</t>
  </si>
  <si>
    <t>AP-3159</t>
  </si>
  <si>
    <t>L. cylindrica, C. rotundus, B. hispida, M. pudica</t>
  </si>
  <si>
    <t>Tea | L. cylindrica, C. rotundus, B. hispida, M. pudica | 3.50 L/ha</t>
  </si>
  <si>
    <t>Fasal Up 41SL</t>
  </si>
  <si>
    <t>AP-3160</t>
  </si>
  <si>
    <t>Jahama 62SL</t>
  </si>
  <si>
    <t>AP-3161</t>
  </si>
  <si>
    <t>Tea | L. cylindrica, C. rotundus, B. hispida, M. pudica | 2.50 L/ha</t>
  </si>
  <si>
    <t>Glytop 41SL</t>
  </si>
  <si>
    <t>AP-3681</t>
  </si>
  <si>
    <t>Imperata cylindrical</t>
  </si>
  <si>
    <t>Tea | Imperata cylindrical | 3.70 L/ha</t>
  </si>
  <si>
    <t>Gmiround 41SL</t>
  </si>
  <si>
    <t>AP-3682</t>
  </si>
  <si>
    <t>Tea | Imperata cylindrical, Borreeia articularis | 3.70 L/ha</t>
  </si>
  <si>
    <t>Winsate 48SL</t>
  </si>
  <si>
    <t>AP-3950</t>
  </si>
  <si>
    <t>Tea | Imperata cylindrical, Borreeia articularis | 3.50 L/ha</t>
  </si>
  <si>
    <t>Agrisate 41SL</t>
  </si>
  <si>
    <t>AP-3951</t>
  </si>
  <si>
    <t>Medisate 41SL</t>
  </si>
  <si>
    <t>AP-4310</t>
  </si>
  <si>
    <t>B. hispida, I. cylindrica</t>
  </si>
  <si>
    <t>Tea | B. hispida, I. cylindrica | 3.50 L/ha</t>
  </si>
  <si>
    <t>Arosate 48SL</t>
  </si>
  <si>
    <t>AP-4311</t>
  </si>
  <si>
    <t>Glycor 48SL</t>
  </si>
  <si>
    <t>AP-4312</t>
  </si>
  <si>
    <t>Paset 48SL</t>
  </si>
  <si>
    <t>AP-4313</t>
  </si>
  <si>
    <t>Glide 48SL</t>
  </si>
  <si>
    <t>AP-4314</t>
  </si>
  <si>
    <t>Green Phosate 48SL</t>
  </si>
  <si>
    <t>AP-4315</t>
  </si>
  <si>
    <t>M-Phosate 48SL</t>
  </si>
  <si>
    <t>AP-4316</t>
  </si>
  <si>
    <t>Agrophosate 48SL</t>
  </si>
  <si>
    <t>AP-4317</t>
  </si>
  <si>
    <t>Sunup Plus 41SL</t>
  </si>
  <si>
    <t>AP-4318</t>
  </si>
  <si>
    <t>Sarasate 48SL</t>
  </si>
  <si>
    <t>AP-4320</t>
  </si>
  <si>
    <t>Lysate 41SL</t>
  </si>
  <si>
    <t>AP-4321</t>
  </si>
  <si>
    <t>Adglysate 41SL</t>
  </si>
  <si>
    <t>AP-4322</t>
  </si>
  <si>
    <t>C. roundus, E. crusgalli, A.viridus, B. hispida, I. cylindrica</t>
  </si>
  <si>
    <t>3.50 ml/L of water; 3.50 L/ha</t>
  </si>
  <si>
    <t>Banana | C. roundus, E. crusgalli, A.viridus | 3.50 ml/L of water
Tea | B. hispida, I. cylindrica | 3.50 L/ha</t>
  </si>
  <si>
    <t>Chinason 48SL</t>
  </si>
  <si>
    <t>AP-4783</t>
  </si>
  <si>
    <t>Jikjak 48SL</t>
  </si>
  <si>
    <t>AP-4784</t>
  </si>
  <si>
    <t>KB Set 48SL</t>
  </si>
  <si>
    <t>AP-4785</t>
  </si>
  <si>
    <t>Forkill 41SL</t>
  </si>
  <si>
    <t>AP-4786</t>
  </si>
  <si>
    <t>Absosal 48SL</t>
  </si>
  <si>
    <t>AP-4787</t>
  </si>
  <si>
    <t>Mirisin 48SL</t>
  </si>
  <si>
    <t>AP-4788</t>
  </si>
  <si>
    <t>Amakson 48SL</t>
  </si>
  <si>
    <t>AP-4789</t>
  </si>
  <si>
    <t>L-Phosate 41SL</t>
  </si>
  <si>
    <t>AP-4790</t>
  </si>
  <si>
    <t>Nashok 48SL</t>
  </si>
  <si>
    <t>AP-4791</t>
  </si>
  <si>
    <t>Totosat 41SL</t>
  </si>
  <si>
    <t>AP-4792</t>
  </si>
  <si>
    <t>Total Agro Science</t>
  </si>
  <si>
    <t>L-Sate 71SG</t>
  </si>
  <si>
    <t>AP-4793</t>
  </si>
  <si>
    <t>Tea | B. hispida, I. cylindrica | 2.00 kg/ha</t>
  </si>
  <si>
    <t>Rondo 72WDG</t>
  </si>
  <si>
    <t>Coco 62SL</t>
  </si>
  <si>
    <t>AP-4796</t>
  </si>
  <si>
    <t>B. hispida, M. pudica, I. cylindrica, Crotundus</t>
  </si>
  <si>
    <t>Tea | B. hispida, M. pudica, I. cylindrica, Crotundus | 2.50 L/ha</t>
  </si>
  <si>
    <t>Babysate 41SL</t>
  </si>
  <si>
    <t>AP-5140</t>
  </si>
  <si>
    <t>Bahari 41SL</t>
  </si>
  <si>
    <t>AP-5142</t>
  </si>
  <si>
    <t>C. roundus,, A. viridus</t>
  </si>
  <si>
    <t>2.80 L of water</t>
  </si>
  <si>
    <t>Banana | C. roundus,, A. viridus | 2.80 L of water</t>
  </si>
  <si>
    <t>Eraser 41SL</t>
  </si>
  <si>
    <t>AP-5143</t>
  </si>
  <si>
    <t>Ricosate 48SL</t>
  </si>
  <si>
    <t>AP-5144</t>
  </si>
  <si>
    <t>Tea | B. hispida, I. cylindrica | 3.00 L/ha</t>
  </si>
  <si>
    <t>Farmine 48SL</t>
  </si>
  <si>
    <t>AP-5145</t>
  </si>
  <si>
    <t>Naturesate 48SL</t>
  </si>
  <si>
    <t>AP-5146</t>
  </si>
  <si>
    <t>Foundtop 48SL</t>
  </si>
  <si>
    <t>AP-5461</t>
  </si>
  <si>
    <t>Zalani 48SL</t>
  </si>
  <si>
    <t>AP-5462</t>
  </si>
  <si>
    <t>Addfosate 48SL</t>
  </si>
  <si>
    <t>AP-5463</t>
  </si>
  <si>
    <t>Agrivission Bangladesh</t>
  </si>
  <si>
    <t>Glypon 48SL</t>
  </si>
  <si>
    <t>AP-5464</t>
  </si>
  <si>
    <t>Umbrella 41SL</t>
  </si>
  <si>
    <t>AP-5465</t>
  </si>
  <si>
    <t>Glyphosate (24%) + 2,4-D (12%)</t>
  </si>
  <si>
    <t>Bimaster 240/124AS</t>
  </si>
  <si>
    <t>AP-496</t>
  </si>
  <si>
    <t>Tea | Weeds | 3.50 L/ha</t>
  </si>
  <si>
    <t>Glysalt 24+12 AS</t>
  </si>
  <si>
    <t>AP-2100</t>
  </si>
  <si>
    <t>Monocot, Dicot</t>
  </si>
  <si>
    <t>Tea | Monocot, Dicot | 3.50 L/ha</t>
  </si>
  <si>
    <t>Glyphosate (41%) + Paraquat (20%)</t>
  </si>
  <si>
    <t>Glyquate 61SL</t>
  </si>
  <si>
    <t>AP-4323</t>
  </si>
  <si>
    <t>B. hispida, C. rotundus</t>
  </si>
  <si>
    <t>Tea | B. hispida, C. rotundus | 2.00 L/ha</t>
  </si>
  <si>
    <t>Bangla Wash 61SL</t>
  </si>
  <si>
    <t>AP-4806</t>
  </si>
  <si>
    <t>Tea | B. hispida, I. cylindrica | 2.00 L/ha</t>
  </si>
  <si>
    <t>Syntex 61SL</t>
  </si>
  <si>
    <t>AP-4807</t>
  </si>
  <si>
    <t>Duel Action 61SL</t>
  </si>
  <si>
    <t>AP-4808</t>
  </si>
  <si>
    <t>Echosate 61SL</t>
  </si>
  <si>
    <t>AP-4809</t>
  </si>
  <si>
    <t>Ecoround Plus 61SL</t>
  </si>
  <si>
    <t>AP-4810</t>
  </si>
  <si>
    <t>Fence 61SL</t>
  </si>
  <si>
    <t>AP-4812</t>
  </si>
  <si>
    <t>Ammaround Plus 61SL</t>
  </si>
  <si>
    <t>AP-4813</t>
  </si>
  <si>
    <t>Bairound Plus 61SL</t>
  </si>
  <si>
    <t>AP-4814</t>
  </si>
  <si>
    <t>Great Boss 61SL</t>
  </si>
  <si>
    <t>AP-4815</t>
  </si>
  <si>
    <t>Paragold 61SL</t>
  </si>
  <si>
    <t>AP-4817</t>
  </si>
  <si>
    <t>Model 61SL</t>
  </si>
  <si>
    <t>AP-4818</t>
  </si>
  <si>
    <t>C. rotundus, E.crass-galli, C.hengalensis, E.fluctuans, C.dactylon, E.indica</t>
  </si>
  <si>
    <t>3.5 ml/L of water</t>
  </si>
  <si>
    <t>Banana | C. rotundus, E.crass-galli, C.hengalensis, E.fluctuans, C.dactylon, E.indica | 3.5 ml/L of water</t>
  </si>
  <si>
    <t>Paragly 46SL</t>
  </si>
  <si>
    <t>AP-5152</t>
  </si>
  <si>
    <t>Cyperus spp, Dicot weed,</t>
  </si>
  <si>
    <t>Banana | Cyperus spp, Dicot weed, | 3.5 ml/L of water</t>
  </si>
  <si>
    <t>Jassquat 61SL</t>
  </si>
  <si>
    <t>AP-5153</t>
  </si>
  <si>
    <t>MCPA-500</t>
  </si>
  <si>
    <t>MCPA 500</t>
  </si>
  <si>
    <t>AP-573</t>
  </si>
  <si>
    <t>Broad Lead and Sedge</t>
  </si>
  <si>
    <t>Rice | Broad Lead and Sedge | 1.00 L/ha</t>
  </si>
  <si>
    <t>Agroxone 500EC</t>
  </si>
  <si>
    <t>AP-700</t>
  </si>
  <si>
    <t>Weeds, M.minuta, S.maritimus, M.vaginal, C.iria</t>
  </si>
  <si>
    <t>2.50 L/ha; 1.00 L/ha</t>
  </si>
  <si>
    <t>Tea | Weeds | 2.50 L/ha
Rice | M.minuta, S.maritimus, M.vaginal, C.iria | 1.00 L/ha</t>
  </si>
  <si>
    <t>Glyphosate (34%) + MCPA (6.5%)</t>
  </si>
  <si>
    <t>Fullshot 40.50SL</t>
  </si>
  <si>
    <t>AP-3968</t>
  </si>
  <si>
    <t>Borreeia articularis, Imperata cylindrical, B. hispida, I. cylindrica</t>
  </si>
  <si>
    <t>Tea | Borreeia articularis, Imperata cylindrical, B. hispida, I. cylindrica | 2.0 L/ha</t>
  </si>
  <si>
    <t>Metamifop</t>
  </si>
  <si>
    <t>Pyzero 10EC</t>
  </si>
  <si>
    <t>AP-3203</t>
  </si>
  <si>
    <t>E.colonus, D. sanguinalis, D.aegyptinum, E.colomum, C.dactylon, E.cruss-gali</t>
  </si>
  <si>
    <t>Jute | E.colonus, D. sanguinalis | 750 ml/ha
Rice | D.aegyptinum, E.colomum, C.dactylon, E.cruss-gali | 750 ml/ha</t>
  </si>
  <si>
    <t>Metanil 10EC</t>
  </si>
  <si>
    <t>AP-5860</t>
  </si>
  <si>
    <t>M.vaginal, S. maritmus, E.cruss-gali</t>
  </si>
  <si>
    <t>Rice | M.vaginal, S. maritmus, E.cruss-gali | 750 ml/ha</t>
  </si>
  <si>
    <t>Metribuzin</t>
  </si>
  <si>
    <t>Neon 70WG</t>
  </si>
  <si>
    <t>AP-1023</t>
  </si>
  <si>
    <t>Potato, Maize, Sugarcane</t>
  </si>
  <si>
    <t>Weeds, Iteliotropium indicum,Commelina, bengalensis, Chenopodium album, Lindernia antipoda &amp; Alternanathera, sessilis, Amaranthus viridis, Broad leaf weeds</t>
  </si>
  <si>
    <t>750 gm/ha; 1.50 kg/ha</t>
  </si>
  <si>
    <t>Potato | Weeds | 750 gm/ha
Maize | Iteliotropium indicum,Commelina, bengalensis, Chenopodium album, Lindernia antipoda &amp; Alternanathera, sessilis, Amaranthus viridis | 750 gm/ha
Sugarcane | Broad leaf weeds | 1.50 kg/ha</t>
  </si>
  <si>
    <t>HRAC C1</t>
  </si>
  <si>
    <t>Takkar 70WDG</t>
  </si>
  <si>
    <t>AP-2110</t>
  </si>
  <si>
    <t>Soyabean, Potato</t>
  </si>
  <si>
    <t>Echinochloa colonum, Chenopodium album, G.affine, C.album, E.colonum</t>
  </si>
  <si>
    <t>1.00 kg/ha; 750 gm/ha</t>
  </si>
  <si>
    <t>Soyabean | Echinochloa colonum, Chenopodium album | 1.00 kg/ha
Potato | G.affine, C.album, E.colonum | 750 gm/ha</t>
  </si>
  <si>
    <t>Sencor 70WP</t>
  </si>
  <si>
    <t>AP-2576</t>
  </si>
  <si>
    <t>L.anagali (Panighas), G.affinal (Boncopy), E.colonum (Khude shama)</t>
  </si>
  <si>
    <t>0.75 g/L of water</t>
  </si>
  <si>
    <t>Potato | L.anagali (Panighas), G.affinal (Boncopy), E.colonum (Khude shama) | 0.75 g/L of water</t>
  </si>
  <si>
    <t>Orchid 70WP</t>
  </si>
  <si>
    <t>AP-2577</t>
  </si>
  <si>
    <t>0.50 g/10 m3</t>
  </si>
  <si>
    <t>Potato | L.anagali (Panighas), G.affinal (Boncopy), E.colonum (Khude shama) | 0.50 g/10 m3</t>
  </si>
  <si>
    <t>Rexibuzin 70WP</t>
  </si>
  <si>
    <t>AP-3202</t>
  </si>
  <si>
    <t>I.cylindrica, C.rotundus, B.hispida, M.pudica</t>
  </si>
  <si>
    <t>Tea | I.cylindrica, C.rotundus, B.hispida, M.pudica | 750 gm/ha</t>
  </si>
  <si>
    <t>Tuba 70WP</t>
  </si>
  <si>
    <t>AP-3667</t>
  </si>
  <si>
    <t>Onion, Potato</t>
  </si>
  <si>
    <t>C. album, E. crus-galli, D. sangunallis, C. rotondus, C. album, E. crus-galli, D. sangunallis, C. rotondus</t>
  </si>
  <si>
    <t>750 gm/ha; 150 gm/acre</t>
  </si>
  <si>
    <t>Onion | C. album, E. crus-galli, D. sangunallis, C. rotondus | 750 gm/ha
Potato | C. album, E. crus-galli, D. sangunallis, C. rotondus | 150 gm/acre</t>
  </si>
  <si>
    <t>Krizin 70WP</t>
  </si>
  <si>
    <t>AP-4754</t>
  </si>
  <si>
    <t>B. hispida, c.roundus, I. cylindrica, M.pudica</t>
  </si>
  <si>
    <t>Potato | B. hispida, c.roundus, I. cylindrica, M.pudica | 1 g/L of water</t>
  </si>
  <si>
    <t>Dhani 70WG</t>
  </si>
  <si>
    <t>AP-5170</t>
  </si>
  <si>
    <t>E. cras galli, C. dactylon, C. rotundsa, Amaranilu spp</t>
  </si>
  <si>
    <t>Maize | E. cras galli, C. dactylon, C. rotundsa, Amaranilu spp | 750 gm/ha</t>
  </si>
  <si>
    <t>Samodish 70WG</t>
  </si>
  <si>
    <t>AP-5171</t>
  </si>
  <si>
    <t>Potato, Maize</t>
  </si>
  <si>
    <t>C. rotundus, E. colonum, C. album, E. indica, C. rotundas</t>
  </si>
  <si>
    <t>Potato, Maize | C. rotundus, E. colonum, C. album, E. indica, C. rotundas | 750 gm/ha</t>
  </si>
  <si>
    <t>Aluzin 70WG</t>
  </si>
  <si>
    <t>AP-5172</t>
  </si>
  <si>
    <t>Tea | B. hispida, I. cylindrica | 750 gm/ha</t>
  </si>
  <si>
    <t>Clomazone (5%) + Metribuzine (20%)</t>
  </si>
  <si>
    <t>Metric 25ZC</t>
  </si>
  <si>
    <t>AP-3970</t>
  </si>
  <si>
    <t>Potato, Maize, Soyabean</t>
  </si>
  <si>
    <t>C. album, E. crus-galli, E.futuans, C. rotondus, C. album, E. crus-galli, E.flutuans, C. rotondus, P.disuchum, E.indica, E.flutuans, C. rotondus, P.disuchum, E crus-galli, C.dactylon</t>
  </si>
  <si>
    <t>Potato | C. album, E. crus-galli, E.futuans, C. rotondus | 1.50 L/ha
Maize | C. album, E. crus-galli, E.flutuans, C. rotondus, P.disuchum, E.indica | 1.50 L/ha
Soyabean | E.flutuans, C. rotondus, P.disuchum, E crus-galli, C.dactylon | 1.50 L/ha</t>
  </si>
  <si>
    <t>HRAC F3</t>
  </si>
  <si>
    <t>Atrazine (50% + 5% )</t>
  </si>
  <si>
    <t>G-Maize 50SC</t>
  </si>
  <si>
    <t>AP-3971</t>
  </si>
  <si>
    <t>E. crus-galli, A.viridis, E.flutuans, C. rotondus, C.dectylon</t>
  </si>
  <si>
    <t>Maize | E. crus-galli, A.viridis, E.flutuans, C. rotondus, C.dectylon | 2.50 L/ha</t>
  </si>
  <si>
    <t>Simazine 50SC</t>
  </si>
  <si>
    <t>AP-4823</t>
  </si>
  <si>
    <t>E. crus-galli,C. rotundus,, Amaranthus spp, C.dectylon</t>
  </si>
  <si>
    <t>Maize | E. crus-galli,C. rotundus,, Amaranthus spp, C.dectylon | 2.50 L/ha</t>
  </si>
  <si>
    <t>Gin Force 80WP</t>
  </si>
  <si>
    <t>AP-5448</t>
  </si>
  <si>
    <t>Brinjal | G. affine | 2.00 Kg/ha</t>
  </si>
  <si>
    <t>Atraforce 80WP</t>
  </si>
  <si>
    <t>AP-5655</t>
  </si>
  <si>
    <t>Sixon Chen BD Ltd.</t>
  </si>
  <si>
    <t>Corn</t>
  </si>
  <si>
    <t>E. crus-galli,, E. colomun, C.dectylon</t>
  </si>
  <si>
    <t>Corn | E. crus-galli,, E. colomun, C.dectylon | 2.00 Kg/ha</t>
  </si>
  <si>
    <t>Atrazine (25%) + Mesotrione (2.5%)</t>
  </si>
  <si>
    <t>Calaris Xtra 27.5SC</t>
  </si>
  <si>
    <t>AP-5449</t>
  </si>
  <si>
    <t>A.spinosus, D. snagunali, C. colonum, E. indica, C. dactilon, C. rotundus, C. iria</t>
  </si>
  <si>
    <t>3.0 L/ha</t>
  </si>
  <si>
    <t>Maize | A.spinosus, D. snagunali, C. colonum, E. indica, C. dactilon, C. rotundus, C. iria | 3.0 L/ha</t>
  </si>
  <si>
    <t>(50% + 5%)</t>
  </si>
  <si>
    <t>Vepar 27.5SC</t>
  </si>
  <si>
    <t>AP-5450</t>
  </si>
  <si>
    <t>Maize | A.spinosus, D. snagunali, C. colonum, E. indica, C. dactilon, C. rotundus, C. iria | 800 ml/ha</t>
  </si>
  <si>
    <t>Aneha 27.5SC</t>
  </si>
  <si>
    <t>AP-5451</t>
  </si>
  <si>
    <t>Extrafen 55SC</t>
  </si>
  <si>
    <t>AP-5656</t>
  </si>
  <si>
    <t>Brinjal | G. affine | 2.0 L/ha</t>
  </si>
  <si>
    <t>Atraforce Plus 55SC</t>
  </si>
  <si>
    <t>AP-5657</t>
  </si>
  <si>
    <t>Sixon Chem BD Ltd.</t>
  </si>
  <si>
    <t>Maize | E. crus-galli,, E. colomun, C.dectylon | 2.0 L/ha</t>
  </si>
  <si>
    <t>Copter 55SC</t>
  </si>
  <si>
    <t>AP-5863</t>
  </si>
  <si>
    <t>O.europia, D. stricia</t>
  </si>
  <si>
    <t>Maize | O.europia, D. stricia | 2.00 L/ha</t>
  </si>
  <si>
    <t>(25% + 2.5%)</t>
  </si>
  <si>
    <t>Triozine 55SC</t>
  </si>
  <si>
    <t>AP-5864</t>
  </si>
  <si>
    <t>D. snagunali, E. colomun,</t>
  </si>
  <si>
    <t>Maize | D. snagunali, E. colomun, | 2.00 L/ha</t>
  </si>
  <si>
    <t>Moontex 55SC</t>
  </si>
  <si>
    <t>AP-5865</t>
  </si>
  <si>
    <t>O.europia, Digitari astricia</t>
  </si>
  <si>
    <t>Maize | O.europia, Digitari astricia | 2.00 L/ha</t>
  </si>
  <si>
    <t>Prism 27.5SC</t>
  </si>
  <si>
    <t>AP-5866</t>
  </si>
  <si>
    <t>Amaranthus, E.crusgalli</t>
  </si>
  <si>
    <t>Maize | Amaranthus, E.crusgalli | 2.00 L/ha</t>
  </si>
  <si>
    <t>Bajna 55SC</t>
  </si>
  <si>
    <t>AP-5867</t>
  </si>
  <si>
    <t>E. crus-galli,, C.dectylon</t>
  </si>
  <si>
    <t>Maize | E. crus-galli,, C.dectylon | 2.0 L/ha</t>
  </si>
  <si>
    <t>(50% + 5%) (50% + 5%) (50% + 5%)</t>
  </si>
  <si>
    <t>Mesotin 50WP</t>
  </si>
  <si>
    <t>AP-6140</t>
  </si>
  <si>
    <t>E. crus-galli,, D. snagunali</t>
  </si>
  <si>
    <t>1.80 Kg/ha</t>
  </si>
  <si>
    <t>Maize | E. crus-galli,, D. snagunali | 1.80 Kg/ha</t>
  </si>
  <si>
    <t>Jaba 55SC</t>
  </si>
  <si>
    <t>AP-6141</t>
  </si>
  <si>
    <t>E. crusgalli,C.rotundus, C.irri, E. colomun, C.dectylon, E. cindca</t>
  </si>
  <si>
    <t>Maize | E. crusgalli,C.rotundus, C.irri, E. colomun, C.dectylon, E. cindca | 2.0 L/ha</t>
  </si>
  <si>
    <t>Aone 55SC</t>
  </si>
  <si>
    <t>AP-6142</t>
  </si>
  <si>
    <t>O.europia, Digitaria spp</t>
  </si>
  <si>
    <t>Maize | O.europia, Digitaria spp | 200 ml/ha</t>
  </si>
  <si>
    <t>Trione 55SC</t>
  </si>
  <si>
    <t>AP-6143</t>
  </si>
  <si>
    <t>C rotundus, C. album, R.rahanistrum, R.maritimus</t>
  </si>
  <si>
    <t>Onion | C rotundus, C. album, R.rahanistrum, R.maritimus | 1.0 L/ha</t>
  </si>
  <si>
    <t>Nicosulfuron</t>
  </si>
  <si>
    <t>Uribest 4SC</t>
  </si>
  <si>
    <t>AP-2575</t>
  </si>
  <si>
    <t>E. crus-galli, A.viridis</t>
  </si>
  <si>
    <t>Maize | E. crus-galli, A.viridis | 1.50 L/ha</t>
  </si>
  <si>
    <t>Nicosul 4SC</t>
  </si>
  <si>
    <t>AP-3687</t>
  </si>
  <si>
    <t>Cotton | E. crus-galli, M.vaginalis, C. difformis | 500 ml/ha</t>
  </si>
  <si>
    <t>Hulk 4SC</t>
  </si>
  <si>
    <t>AP-6150</t>
  </si>
  <si>
    <t>Vyytal AG Limited</t>
  </si>
  <si>
    <t>Maize | E. crus-galli,, D. snagunali | 1.0 L/ha</t>
  </si>
  <si>
    <t>Orthosulfamuron</t>
  </si>
  <si>
    <t>Kelion 50WP</t>
  </si>
  <si>
    <t>AP-1176</t>
  </si>
  <si>
    <t>Rice | Weeds | 150 gm/ha</t>
  </si>
  <si>
    <t>Oxadiazon (25%)</t>
  </si>
  <si>
    <t>Corostar 25EC</t>
  </si>
  <si>
    <t>AP-576</t>
  </si>
  <si>
    <t>Rice | Broad Lead and Sedge | 2.00 L/ha</t>
  </si>
  <si>
    <t>Oxastar 25EC</t>
  </si>
  <si>
    <t>AP-578</t>
  </si>
  <si>
    <t>Longstar 25EC</t>
  </si>
  <si>
    <t>AP-584</t>
  </si>
  <si>
    <t>Rice | Weeds | 2.00 L/ha
Rice | - | 2.00 L/ha</t>
  </si>
  <si>
    <t>Amcostar 25EC</t>
  </si>
  <si>
    <t>AP-695</t>
  </si>
  <si>
    <t>- | Weeds | 2.00 L/ha</t>
  </si>
  <si>
    <t>Activar 25EC</t>
  </si>
  <si>
    <t>AP-698</t>
  </si>
  <si>
    <t>Rice | Weeds | 2.00 L/ha
Potato | Weeds | 1.00 L/ha</t>
  </si>
  <si>
    <t>Weeder 25EC</t>
  </si>
  <si>
    <t>AP-854</t>
  </si>
  <si>
    <t>S. maritimus, M.vaginalis</t>
  </si>
  <si>
    <t>Rice | S. maritimus, M.vaginalis | 1.00 L/ha</t>
  </si>
  <si>
    <t>Sentry 25EC</t>
  </si>
  <si>
    <t>AP-1585</t>
  </si>
  <si>
    <t>Onion, Rice</t>
  </si>
  <si>
    <t>Chenopodium, Oxalis europea, E. crusgali, C. diformis</t>
  </si>
  <si>
    <t>1.00 L/ha; 1.20 L/ha</t>
  </si>
  <si>
    <t>Onion | Chenopodium | 1.00 L/ha
Rice | Oxalis europea, E. crusgali, C. diformis | 1.20 L/ha</t>
  </si>
  <si>
    <t>Super Care 250EC</t>
  </si>
  <si>
    <t>AP-2103</t>
  </si>
  <si>
    <t>Onion, Rice, Potato</t>
  </si>
  <si>
    <t>Chenopodium, S. maritimus, M.vaginalis, C. diformis, S. maritimus, N. nouchali, D. trifolium, C.album, R.rahanistrum, H.indicum, O.pholoxeroides</t>
  </si>
  <si>
    <t>1.00 L/ha; 1.0 L/ha</t>
  </si>
  <si>
    <t>Onion | Chenopodium | 1.00 L/ha
Rice | S. maritimus, M.vaginalis, C. diformis, S. maritimus, N. nouchali, D. trifolium | 1.00 L/ha
Potato | C.album, R.rahanistrum, H.indicum, O.pholoxeroides | 1.0 L/ha</t>
  </si>
  <si>
    <t>Oxytop 25EC</t>
  </si>
  <si>
    <t>AP-3200</t>
  </si>
  <si>
    <t>E. crus galli,, M.vaginalis, C. diformis, S. zeylanica, N. nouchali</t>
  </si>
  <si>
    <t>Rice | E. crus galli,, M.vaginalis, C. diformis, S. zeylanica, N. nouchali | 1.00 L/ha</t>
  </si>
  <si>
    <t>Kite 25EC</t>
  </si>
  <si>
    <t>AP-3683</t>
  </si>
  <si>
    <t>C.album</t>
  </si>
  <si>
    <t>Onion | C.album | 1.00 L/ha</t>
  </si>
  <si>
    <t>Dewstar 25EC</t>
  </si>
  <si>
    <t>AP-3947</t>
  </si>
  <si>
    <t>E. crus galli, M.vaginalis</t>
  </si>
  <si>
    <t>Rice | E. crus galli, M.vaginalis | 1.00 L/ha</t>
  </si>
  <si>
    <t>Suzone 25EC</t>
  </si>
  <si>
    <t>AP-4822</t>
  </si>
  <si>
    <t>Potato | C. album | 1.00 L/ha</t>
  </si>
  <si>
    <t>Double Star 25EC</t>
  </si>
  <si>
    <t>AP-5166</t>
  </si>
  <si>
    <t>B. hispida, L.cylindrica, M.vaginalis, E. crasgalli, S. maritimus,</t>
  </si>
  <si>
    <t>3.5 L/ha; 2.0 L/ha</t>
  </si>
  <si>
    <t>Tea | B. hispida, L.cylindrica | 3.5 L/ha
Rice | M.vaginalis, E. crasgalli, S. maritimus, | 2.0 L/ha</t>
  </si>
  <si>
    <t>Onestar 25EC</t>
  </si>
  <si>
    <t>AP-5168</t>
  </si>
  <si>
    <t>B. hispida,, L.cylindrica</t>
  </si>
  <si>
    <t>3.5 L/ha</t>
  </si>
  <si>
    <t>Tea | B. hispida,, L.cylindrica | 3.5 L/ha</t>
  </si>
  <si>
    <t>Agroter 25EC</t>
  </si>
  <si>
    <t>AP-5169</t>
  </si>
  <si>
    <t>Oxazon 25EC</t>
  </si>
  <si>
    <t>AP-6487</t>
  </si>
  <si>
    <t>Mimstar 25EC</t>
  </si>
  <si>
    <t>AP-5841</t>
  </si>
  <si>
    <t>E. crus galli,, M.vaginalis, C. diformis, S. zeylanica, C. album</t>
  </si>
  <si>
    <t>Rice | E. crus galli,, M.vaginalis, C. diformis, S. zeylanica | 2.00 L/ha
Potato | C. album | 1.00 L/ha</t>
  </si>
  <si>
    <t>Fadeox 25EC</t>
  </si>
  <si>
    <t>AP-5842</t>
  </si>
  <si>
    <t>E. crus galli,, M.vaginalis, C. diformis, S. zeylanica</t>
  </si>
  <si>
    <t>Rice | E. crus galli,, M.vaginalis, C. diformis, S. zeylanica | 1.00 L/ha</t>
  </si>
  <si>
    <t>Ricobar 25EC</t>
  </si>
  <si>
    <t>AP-6114</t>
  </si>
  <si>
    <t>Rice | E. crus galli,, M.vaginalis, C. diformis, S. zeylanica | 2.0 L/ha</t>
  </si>
  <si>
    <t>M-Star 25EC</t>
  </si>
  <si>
    <t>AP-6115</t>
  </si>
  <si>
    <t>C. album, O.philoxeroides, H.indicum</t>
  </si>
  <si>
    <t>Potato | C. album, O.philoxeroides, H.indicum | 1.0 L/ha</t>
  </si>
  <si>
    <t>Daj 25EC</t>
  </si>
  <si>
    <t>AP-6116</t>
  </si>
  <si>
    <t>C. album, G.affine, E.crusgalli</t>
  </si>
  <si>
    <t>Onion | C. album, G.affine, E.crusgalli | 1.0 L/ha</t>
  </si>
  <si>
    <t>Raktivar 25EC</t>
  </si>
  <si>
    <t>AP-6117</t>
  </si>
  <si>
    <t>Oxadiargyl</t>
  </si>
  <si>
    <t>Topstar 80WP</t>
  </si>
  <si>
    <t>AP-1762</t>
  </si>
  <si>
    <t>Chenopodium Album, L.angali, X.indicum</t>
  </si>
  <si>
    <t>2.5 g/10 L of water; 0.30 gm/10 m2</t>
  </si>
  <si>
    <t>Onion | Chenopodium Album | 2.5 g/10 L of water
Potato | L.angali, X.indicum | 0.30 gm/10 m2</t>
  </si>
  <si>
    <t>Oxyfluorfen</t>
  </si>
  <si>
    <t>Hayguard 24EC</t>
  </si>
  <si>
    <t>AP-3686</t>
  </si>
  <si>
    <t>E.crus-galli, S.maritimus, C.difformis, D.chinensis</t>
  </si>
  <si>
    <t>Rice | E.crus-galli, S.maritimus, C.difformis, D.chinensis | 1.00 L/ha</t>
  </si>
  <si>
    <t>Oxyflour 23.5EC</t>
  </si>
  <si>
    <t>AP-4854</t>
  </si>
  <si>
    <t>425 ml/ha</t>
  </si>
  <si>
    <t>Tomato | C. album | 425 ml/ha</t>
  </si>
  <si>
    <t>Samyt 24EC</t>
  </si>
  <si>
    <t>AP-4856</t>
  </si>
  <si>
    <t>Digitaria spp, Echinochloa spp, Sida acuta, Amaeanthus</t>
  </si>
  <si>
    <t>Potato | Digitaria spp, Echinochloa spp, Sida acuta, Amaeanthus | 500 ml/ha</t>
  </si>
  <si>
    <t>Format 24EC</t>
  </si>
  <si>
    <t>AP-5839</t>
  </si>
  <si>
    <t>E.crus-galli,, C. rotundus</t>
  </si>
  <si>
    <t>2-3 L/ha</t>
  </si>
  <si>
    <t>Banana | E.crus-galli,, C. rotundus | 2-3 L/ha</t>
  </si>
  <si>
    <t>AC Guard 24EC</t>
  </si>
  <si>
    <t>AP-6118</t>
  </si>
  <si>
    <t>Adecko 24EC</t>
  </si>
  <si>
    <t>AP-6119</t>
  </si>
  <si>
    <t>S.maritimus, M.vaginalis, C.difformis,E.crassgalli</t>
  </si>
  <si>
    <t>Rice | S.maritimus, M.vaginalis, C.difformis,E.crassgalli | 500 ml/ha</t>
  </si>
  <si>
    <t>Paraquat</t>
  </si>
  <si>
    <t>Gramoxone</t>
  </si>
  <si>
    <t>AP-90</t>
  </si>
  <si>
    <t>Tea &amp; Rubber, Banana, Rice</t>
  </si>
  <si>
    <t>Sun grass &amp; other grasses, Weed, Rice ratoon, C. sculenus, S.juncoides, M.vaginalis, P.debris, Ladscendens</t>
  </si>
  <si>
    <t>2.25 L/ha; 3 ml/L of water; 2.00 L/ha</t>
  </si>
  <si>
    <t>Tea &amp; Rubber | Sun grass &amp; other grasses | 2.25 L/ha
Banana | Weed | 3 ml/L of water
Rice | Rice ratoon, C. sculenus, S.juncoides, M.vaginalis, P.debris, Ladscendens | 2.00 L/ha</t>
  </si>
  <si>
    <t>HRAC D</t>
  </si>
  <si>
    <t>Pillaroxone</t>
  </si>
  <si>
    <t>AP-320</t>
  </si>
  <si>
    <t>Tea &amp; Rubber</t>
  </si>
  <si>
    <t>Sun grass &amp; other grasses</t>
  </si>
  <si>
    <t>Tea &amp; Rubber | Sun grass &amp; other grasses | 2.25 L/ha</t>
  </si>
  <si>
    <t>Paraxone</t>
  </si>
  <si>
    <t>AP-495</t>
  </si>
  <si>
    <t>Weedoxone 20SL</t>
  </si>
  <si>
    <t>AP-1094</t>
  </si>
  <si>
    <t>Emiraxon 20SL</t>
  </si>
  <si>
    <t>AP-1313</t>
  </si>
  <si>
    <t>Sikat 20 SL</t>
  </si>
  <si>
    <t>AP-2054</t>
  </si>
  <si>
    <t>Tea | Monocot, Dicot | 2.80 L/ha</t>
  </si>
  <si>
    <t>Uniquat 20SL</t>
  </si>
  <si>
    <t>AP-2091</t>
  </si>
  <si>
    <t>Squad 20SL</t>
  </si>
  <si>
    <t>AP-2275</t>
  </si>
  <si>
    <t>Aroxone 200SL</t>
  </si>
  <si>
    <t>AP-2955</t>
  </si>
  <si>
    <t>Tea | L. cylindrica, C. rotundus, B. hispida, M. pudica | 2.80 L/ha</t>
  </si>
  <si>
    <t>Sako 20SL</t>
  </si>
  <si>
    <t>AP-3162</t>
  </si>
  <si>
    <t>G-Cut 20SL</t>
  </si>
  <si>
    <t>AP-3163</t>
  </si>
  <si>
    <t>Paracor 200SL</t>
  </si>
  <si>
    <t>AP-3164</t>
  </si>
  <si>
    <t>Tak 20SL</t>
  </si>
  <si>
    <t>AP-3165</t>
  </si>
  <si>
    <t>Emaxon 20SL</t>
  </si>
  <si>
    <t>AP-3166</t>
  </si>
  <si>
    <t>Talaf 20SL</t>
  </si>
  <si>
    <t>AP-3167</t>
  </si>
  <si>
    <t>Samoxone 20SL</t>
  </si>
  <si>
    <t>AP-3668</t>
  </si>
  <si>
    <t>Borreeia articularis, Imperata cylindrical</t>
  </si>
  <si>
    <t>Tea | Borreeia articularis, Imperata cylindrical | 4.00 L/ha</t>
  </si>
  <si>
    <t>Wellweeder 20SL</t>
  </si>
  <si>
    <t>AP-3669</t>
  </si>
  <si>
    <t>Allwell Agrotech Ltd</t>
  </si>
  <si>
    <t>Tea | Borreeia articularis, Imperata cylindrical | 2.50 L/ha</t>
  </si>
  <si>
    <t>Sunquate 20SL</t>
  </si>
  <si>
    <t>AP-3670</t>
  </si>
  <si>
    <t>Tea | Borreeia articularis, Imperata cylindrical | 2.80 L/ha</t>
  </si>
  <si>
    <t>System Plus 20SL</t>
  </si>
  <si>
    <t>AP-3671</t>
  </si>
  <si>
    <t>Newraxon 20SL</t>
  </si>
  <si>
    <t>AP-3672</t>
  </si>
  <si>
    <t>Betacxone 20SL</t>
  </si>
  <si>
    <t>AP-3673</t>
  </si>
  <si>
    <t>Agri Source limited</t>
  </si>
  <si>
    <t>Saraquat 20SL</t>
  </si>
  <si>
    <t>AP-3674</t>
  </si>
  <si>
    <t>Liliquate 20SL</t>
  </si>
  <si>
    <t>AP-3675</t>
  </si>
  <si>
    <t>Para Link 20SL</t>
  </si>
  <si>
    <t>AP-3676</t>
  </si>
  <si>
    <t>Prestige 20SL</t>
  </si>
  <si>
    <t>AP-3677</t>
  </si>
  <si>
    <t>Aroquat 20SL</t>
  </si>
  <si>
    <t>AP-3679</t>
  </si>
  <si>
    <t>Laquate 20SL</t>
  </si>
  <si>
    <t>AP-3680</t>
  </si>
  <si>
    <t>Tea | B. hispida, L.cylindrica | 2.80 L/ha</t>
  </si>
  <si>
    <t>Paratok 20SL</t>
  </si>
  <si>
    <t>AP-3693</t>
  </si>
  <si>
    <t>Raven Formulations Ltd</t>
  </si>
  <si>
    <t>Paradoll 20SL</t>
  </si>
  <si>
    <t>AP-3953</t>
  </si>
  <si>
    <t>Paramex 20SL</t>
  </si>
  <si>
    <t>AP-3954</t>
  </si>
  <si>
    <t>Padmaquate 20SL</t>
  </si>
  <si>
    <t>AP-3956</t>
  </si>
  <si>
    <t>Padi 20SL</t>
  </si>
  <si>
    <t>AP-3957</t>
  </si>
  <si>
    <t>Gratezole 20SL</t>
  </si>
  <si>
    <t>AP-3958</t>
  </si>
  <si>
    <t>L-Quat 20SL</t>
  </si>
  <si>
    <t>AP-3959</t>
  </si>
  <si>
    <t>Feorazon 20SL</t>
  </si>
  <si>
    <t>AP-3960</t>
  </si>
  <si>
    <t>Usched 20SL</t>
  </si>
  <si>
    <t>AP-3961</t>
  </si>
  <si>
    <t>Chhatai 20SL</t>
  </si>
  <si>
    <t>AP-3962</t>
  </si>
  <si>
    <t>Tataxon 20SL</t>
  </si>
  <si>
    <t>AP-3963</t>
  </si>
  <si>
    <t>B. hispida, C.rotundus</t>
  </si>
  <si>
    <t>Tea | B. hispida, C.rotundus | 2.80 L/ha</t>
  </si>
  <si>
    <t>Paraben 20SL</t>
  </si>
  <si>
    <t>AP-3974</t>
  </si>
  <si>
    <t>Sinaquat 20SL</t>
  </si>
  <si>
    <t>AP-4040</t>
  </si>
  <si>
    <t>Paramos 20SL</t>
  </si>
  <si>
    <t>AP-4279</t>
  </si>
  <si>
    <t>Bossquat 20SL</t>
  </si>
  <si>
    <t>AP-4280</t>
  </si>
  <si>
    <t>Hosaquat 20SL</t>
  </si>
  <si>
    <t>AP-4281</t>
  </si>
  <si>
    <t>Araxone 20SL</t>
  </si>
  <si>
    <t>AP-4282</t>
  </si>
  <si>
    <t>M-Quate 20SL</t>
  </si>
  <si>
    <t>AP-4283</t>
  </si>
  <si>
    <t>Tea, Banana</t>
  </si>
  <si>
    <t>B. hispida, C.rotundus, C.rotundus, C.dectylon</t>
  </si>
  <si>
    <t>Tea, Banana | B. hispida, C.rotundus, C.rotundus, C.dectylon | 2.80 L/ha</t>
  </si>
  <si>
    <t>Fast Action 20SL</t>
  </si>
  <si>
    <t>AP-4284</t>
  </si>
  <si>
    <t>Para-Cut 20SL</t>
  </si>
  <si>
    <t>AP-4285</t>
  </si>
  <si>
    <t>Winqot 20SL</t>
  </si>
  <si>
    <t>AP-4286</t>
  </si>
  <si>
    <t>Gramocil 20SL</t>
  </si>
  <si>
    <t>AP-4289</t>
  </si>
  <si>
    <t>Agroquat 20SL</t>
  </si>
  <si>
    <t>AP-4290</t>
  </si>
  <si>
    <t>Alquate 20SL</t>
  </si>
  <si>
    <t>AP-4291</t>
  </si>
  <si>
    <t>Amaqot 20SL</t>
  </si>
  <si>
    <t>AP-4292</t>
  </si>
  <si>
    <t>M-Para 20SL</t>
  </si>
  <si>
    <t>AP-4293</t>
  </si>
  <si>
    <t>SBraxon 20SL</t>
  </si>
  <si>
    <t>AP-4294</t>
  </si>
  <si>
    <t>Paraxone Plus 20SL</t>
  </si>
  <si>
    <t>AP-4295</t>
  </si>
  <si>
    <t>Fai-Quat 20SL</t>
  </si>
  <si>
    <t>AP-4296</t>
  </si>
  <si>
    <t>Delquat 20SL</t>
  </si>
  <si>
    <t>AP-4298</t>
  </si>
  <si>
    <t>Autoquat 20SL</t>
  </si>
  <si>
    <t>AP-4299</t>
  </si>
  <si>
    <t>2.80 L/ha; 3 ml/L of water</t>
  </si>
  <si>
    <t>Tea | B. hispida, C.rotundus | 2.80 L/ha
Banana | C.rotundus, C.dectylon | 3 ml/L of water</t>
  </si>
  <si>
    <t>Serfquat 20SL</t>
  </si>
  <si>
    <t>AP-4300</t>
  </si>
  <si>
    <t>Bidcine 20SL</t>
  </si>
  <si>
    <t>AP-4301</t>
  </si>
  <si>
    <t>Prebel 20SL</t>
  </si>
  <si>
    <t>AP-4302</t>
  </si>
  <si>
    <t>Rexiquat 20SL</t>
  </si>
  <si>
    <t>AP-4303</t>
  </si>
  <si>
    <t>Reximco Chemical Industries</t>
  </si>
  <si>
    <t>Dreamquat 20SL</t>
  </si>
  <si>
    <t>AP-4304</t>
  </si>
  <si>
    <t>Zero Herb 20SL</t>
  </si>
  <si>
    <t>AP-4305</t>
  </si>
  <si>
    <t>Parasym Plus 20SL</t>
  </si>
  <si>
    <t>AP-4306</t>
  </si>
  <si>
    <t>Cleanoxone 24SL</t>
  </si>
  <si>
    <t>AP-4307</t>
  </si>
  <si>
    <t>C. rotundus, A. viridus, M. pudica, B. hispida, I.cylindrica</t>
  </si>
  <si>
    <t>3 ml/L of water; 2.80 L/ha</t>
  </si>
  <si>
    <t>Banana | C. rotundus, A. viridus, M. pudica | 3 ml/L of water
Tea | B. hispida, I.cylindrica | 2.80 L/ha</t>
  </si>
  <si>
    <t>Everxone 24SL</t>
  </si>
  <si>
    <t>AP-4308</t>
  </si>
  <si>
    <t>C. rotundus, A. viridus, M. pudica, B. hispida, L.cylindrica</t>
  </si>
  <si>
    <t>3 ml/L of water; 2.50 L/ha</t>
  </si>
  <si>
    <t>Banana | C. rotundus, A. viridus, M. pudica | 3 ml/L of water
Tea | B. hispida, L.cylindrica | 2.50 L/ha</t>
  </si>
  <si>
    <t>Cleanquat 20SL</t>
  </si>
  <si>
    <t>AP-4309</t>
  </si>
  <si>
    <t>C. rotundus, A. viridus, M. pudica</t>
  </si>
  <si>
    <t>Banana | C. rotundus, A. viridus, M. pudica | 3 ml/L of water</t>
  </si>
  <si>
    <t>Paracall 20SL</t>
  </si>
  <si>
    <t>AP-4762</t>
  </si>
  <si>
    <t>C. rotundus, C.dactylon, E. crus-galli</t>
  </si>
  <si>
    <t>2.80 ml/L of water</t>
  </si>
  <si>
    <t>Banana | C. rotundus, C.dactylon, E. crus-galli | 2.80 ml/L of water</t>
  </si>
  <si>
    <t>Roktim 20SL</t>
  </si>
  <si>
    <t>AP-4763</t>
  </si>
  <si>
    <t>Tea | B. hispida, I.cylindrica | 2.80 L/ha</t>
  </si>
  <si>
    <t>Duster 20SL</t>
  </si>
  <si>
    <t>AP-4764</t>
  </si>
  <si>
    <t>G-Para 20SL</t>
  </si>
  <si>
    <t>AP-4766</t>
  </si>
  <si>
    <t>Totomore 24SL</t>
  </si>
  <si>
    <t>AP-4767</t>
  </si>
  <si>
    <t>Paratox 20SL</t>
  </si>
  <si>
    <t>AP-4768</t>
  </si>
  <si>
    <t>Seequat 20SL</t>
  </si>
  <si>
    <t>AP-4769</t>
  </si>
  <si>
    <t>Sheen Agro Industries</t>
  </si>
  <si>
    <t>Nidaxon 20SL</t>
  </si>
  <si>
    <t>AP-4771</t>
  </si>
  <si>
    <t>Nahar Agro Internatioal</t>
  </si>
  <si>
    <t>Hiquat 20SL</t>
  </si>
  <si>
    <t>AP-4772</t>
  </si>
  <si>
    <t>Forquate 20SL</t>
  </si>
  <si>
    <t>AP-4773</t>
  </si>
  <si>
    <t>Zayan Plus 60SG</t>
  </si>
  <si>
    <t>AP-4774</t>
  </si>
  <si>
    <t>Tea | B. hispida, I.cylindrica | 600 gm/ha</t>
  </si>
  <si>
    <t>Lux-Quat 20SL</t>
  </si>
  <si>
    <t>AP-4775</t>
  </si>
  <si>
    <t>M-Raxon 20SL</t>
  </si>
  <si>
    <t>AP-4776</t>
  </si>
  <si>
    <t>Absocut 20SL</t>
  </si>
  <si>
    <t>AP-4777</t>
  </si>
  <si>
    <t>Piquat 20SL</t>
  </si>
  <si>
    <t>AP-4778</t>
  </si>
  <si>
    <t>Linkquat 20SL</t>
  </si>
  <si>
    <t>AP-4780</t>
  </si>
  <si>
    <t>Tabara 20SL</t>
  </si>
  <si>
    <t>AP-4782</t>
  </si>
  <si>
    <t>C. rotundus,, C.dactylon</t>
  </si>
  <si>
    <t>Banana | C. rotundus,, C.dactylon | 2.80 L/ha</t>
  </si>
  <si>
    <t>Paramet 20SL</t>
  </si>
  <si>
    <t>AP-5127</t>
  </si>
  <si>
    <t>Aidoxone 20SL</t>
  </si>
  <si>
    <t>AP-5128</t>
  </si>
  <si>
    <t>Superxone 20SL</t>
  </si>
  <si>
    <t>AP-5129</t>
  </si>
  <si>
    <t>Maiquat 20SL</t>
  </si>
  <si>
    <t>AP-5130</t>
  </si>
  <si>
    <t>Oroquat 20SL</t>
  </si>
  <si>
    <t>AP-5131</t>
  </si>
  <si>
    <t>Skyquat 20SL</t>
  </si>
  <si>
    <t>AP-5132</t>
  </si>
  <si>
    <t>Ramaxon 20SL</t>
  </si>
  <si>
    <t>AP-5133</t>
  </si>
  <si>
    <t>Shepard 20SL</t>
  </si>
  <si>
    <t>AP-5135</t>
  </si>
  <si>
    <t>Agro Asia Chemicals Co.</t>
  </si>
  <si>
    <t>KBQuat 20SL</t>
  </si>
  <si>
    <t>AP-5136</t>
  </si>
  <si>
    <t>Farmquat 20SL</t>
  </si>
  <si>
    <t>AP-5137</t>
  </si>
  <si>
    <t>Trampa 20SL</t>
  </si>
  <si>
    <t>AP-5138</t>
  </si>
  <si>
    <t>Bestclean 20SL</t>
  </si>
  <si>
    <t>AP-5139</t>
  </si>
  <si>
    <t>Alixon 20SL</t>
  </si>
  <si>
    <t>AP-5659</t>
  </si>
  <si>
    <t>Pendimethalin</t>
  </si>
  <si>
    <t>Panida 33EC</t>
  </si>
  <si>
    <t>AP-941</t>
  </si>
  <si>
    <t>Rice, Potato, Onion, Jute</t>
  </si>
  <si>
    <t>Monochoria vaginalis, Scirpus, maritimus, Cyperus defformis, Fimbristylis miliacea, Ludwigia octavalvia, Weeds, C.album, P.oleracea, E.indica, C.rotundus</t>
  </si>
  <si>
    <t>2.50 L/ha; 1.00 L/ha; 2.00 L/ha</t>
  </si>
  <si>
    <t>Rice | Monochoria vaginalis, Scirpus, maritimus, Cyperus defformis, Fimbristylis miliacea, Ludwigia octavalvia | 2.50 L/ha
Potato | Weeds | 1.00 L/ha
Onion | C.album, P.oleracea, E.indica | 2.00 L/ha
Jute | C.rotundus | 1.00 L/ha</t>
  </si>
  <si>
    <t>HRAC K1</t>
  </si>
  <si>
    <t>Monsoon 33EC</t>
  </si>
  <si>
    <t>AP-1589</t>
  </si>
  <si>
    <t>Shaknotey carpet, Fuskabegun nunia, M. vaginalis, S. Juncoides, C. difformis, E. crus-gali, S. zeylanica, L. octovalvis</t>
  </si>
  <si>
    <t>2.00 L/ha; 2.50 L/ha</t>
  </si>
  <si>
    <t>Chilli | Shaknotey carpet, Fuskabegun nunia | 2.00 L/ha
Rice | M. vaginalis, S. Juncoides, C. difformis, E. crus-gali, S. zeylanica, L. octovalvis | 2.50 L/ha</t>
  </si>
  <si>
    <t>Fist 33EC</t>
  </si>
  <si>
    <t>AP-2104</t>
  </si>
  <si>
    <t>Bathua</t>
  </si>
  <si>
    <t>Wheat | Bathua | 3.00 L/ha</t>
  </si>
  <si>
    <t>Ashrafi 33EC</t>
  </si>
  <si>
    <t>AP-2578</t>
  </si>
  <si>
    <t>Ashrafi Agro Science</t>
  </si>
  <si>
    <t>L.chinensis, M.vaginalis, E.crus-galli</t>
  </si>
  <si>
    <t>Rice | L.chinensis, M.vaginalis, E.crus-galli | 2.00 L/ha</t>
  </si>
  <si>
    <t>Gourilin 33EC</t>
  </si>
  <si>
    <t>AP-3201</t>
  </si>
  <si>
    <t>M.vaginalis, C.difformis, S.zeylanica, N.nouchali</t>
  </si>
  <si>
    <t>Rice | M.vaginalis, C.difformis, S.zeylanica, N.nouchali | 2.00 L/ha</t>
  </si>
  <si>
    <t>Pendi 33EC</t>
  </si>
  <si>
    <t>AP-3948</t>
  </si>
  <si>
    <t>E. crus-gali, M.vagilais</t>
  </si>
  <si>
    <t>Rice | E. crus-gali, M.vagilais | 2.00 L/ha</t>
  </si>
  <si>
    <t>Beelin 33EC</t>
  </si>
  <si>
    <t>AP-4419</t>
  </si>
  <si>
    <t>C. rotundus, B. hispida</t>
  </si>
  <si>
    <t>Tea | C. rotundus, B. hispida | 2.00 L/ha</t>
  </si>
  <si>
    <t>Real 33EC</t>
  </si>
  <si>
    <t>AP-4420</t>
  </si>
  <si>
    <t>C. rotundus, C. dactylon, B. hispida, S. maririmus</t>
  </si>
  <si>
    <t>Onion | C. rotundus, C. dactylon, B. hispida, S. maririmus | 800 ml/ha</t>
  </si>
  <si>
    <t>Nada 33EC</t>
  </si>
  <si>
    <t>AP-4421</t>
  </si>
  <si>
    <t>Sipida 33EC</t>
  </si>
  <si>
    <t>AP-4422</t>
  </si>
  <si>
    <t>Kristop 33EC</t>
  </si>
  <si>
    <t>AP-4826</t>
  </si>
  <si>
    <t>C. rotundus, C. dactylon, D. sanguinalis, B. diffusa</t>
  </si>
  <si>
    <t>Onion | C. rotundus, C. dactylon, D. sanguinalis, B. diffusa | 800 ml/ha</t>
  </si>
  <si>
    <t>Renda 33EC</t>
  </si>
  <si>
    <t>AP-4827</t>
  </si>
  <si>
    <t>Danida Plus 33EC</t>
  </si>
  <si>
    <t>AP-4829</t>
  </si>
  <si>
    <t>B. hispida, I. cylindrica, C. dactylon, E. crus-galli, M. vaginalis, S. maritimus, C. difformis</t>
  </si>
  <si>
    <t>Tea | B. hispida, I. cylindrica | 2.00 L/ha
Rice | C. dactylon, E. crus-galli, M. vaginalis, S. maritimus, C. difformis | 2.00 L/ha</t>
  </si>
  <si>
    <t>Caojin 33EC</t>
  </si>
  <si>
    <t>AP-4830</t>
  </si>
  <si>
    <t>C. album, E. indica, A.viridis, H. oleracea, H. diffusa</t>
  </si>
  <si>
    <t>Onion | C. album, E. indica, A.viridis, H. oleracea, H. diffusa | 2.50 L/ha</t>
  </si>
  <si>
    <t>Ricoda 33EC</t>
  </si>
  <si>
    <t>AP-4831</t>
  </si>
  <si>
    <t>Clearup 33EC</t>
  </si>
  <si>
    <t>AP-4832</t>
  </si>
  <si>
    <t>Mita 33EC</t>
  </si>
  <si>
    <t>AAP-4833</t>
  </si>
  <si>
    <t>L-Penda 33EC</t>
  </si>
  <si>
    <t>AP-4834</t>
  </si>
  <si>
    <t>Alide 33EC</t>
  </si>
  <si>
    <t>AP-4835</t>
  </si>
  <si>
    <t>40%</t>
  </si>
  <si>
    <t>Latai 33EC</t>
  </si>
  <si>
    <t>AP-5157</t>
  </si>
  <si>
    <t>C. rotundus, C. dactylon</t>
  </si>
  <si>
    <t>Potato | C. rotundus, C. dactylon | 2.0 L/ha</t>
  </si>
  <si>
    <t>Dafa 33EC</t>
  </si>
  <si>
    <t>AP-5158</t>
  </si>
  <si>
    <t>Onion | C. rotundus, C. dactylon | 1.0 L/ha</t>
  </si>
  <si>
    <t>Gurgur 33EC</t>
  </si>
  <si>
    <t>AP-5160</t>
  </si>
  <si>
    <t>Bondhulin 33EC</t>
  </si>
  <si>
    <t>AP-5161</t>
  </si>
  <si>
    <t>Onida 33EC</t>
  </si>
  <si>
    <t>AP-5162</t>
  </si>
  <si>
    <t>E. cras galli, S.maritamus, S. difformis</t>
  </si>
  <si>
    <t>Onion | E. cras galli, S.maritamus, S. difformis | 2.0 L/ha</t>
  </si>
  <si>
    <t>Amada 33EC</t>
  </si>
  <si>
    <t>AP-5163</t>
  </si>
  <si>
    <t>Niskriti 33EC</t>
  </si>
  <si>
    <t>AP-5164</t>
  </si>
  <si>
    <t>Pendakill 33EC</t>
  </si>
  <si>
    <t>AP-5165</t>
  </si>
  <si>
    <t>E. crus-galli, C. difformis, M. vaginalis, S. maritimus</t>
  </si>
  <si>
    <t>Rice | E. crus-galli, C. difformis, M. vaginalis, S. maritimus | 2.00 L/ha</t>
  </si>
  <si>
    <t>Penthalin 33EC</t>
  </si>
  <si>
    <t>AP-5474</t>
  </si>
  <si>
    <t>C. rotundus, B. hispida, M.vaginalis, C.difformis, S.zeylanica, N.nouchali</t>
  </si>
  <si>
    <t>1.00 L/ha; 2.00 L/ha</t>
  </si>
  <si>
    <t>Potato | C. rotundus, B. hispida | 1.00 L/ha
Rice | M.vaginalis, C.difformis, S.zeylanica, N.nouchali | 2.00 L/ha</t>
  </si>
  <si>
    <t>Luyen 33EC</t>
  </si>
  <si>
    <t>AP-5475</t>
  </si>
  <si>
    <t>C. rotundus, E, colonum, C. dectylon, D. sanguninalis</t>
  </si>
  <si>
    <t>Onion | C. rotundus, E, colonum, C. dectylon, D. sanguninalis | 1.00 L/ha</t>
  </si>
  <si>
    <t>Samolin 33EC</t>
  </si>
  <si>
    <t>AP-5476</t>
  </si>
  <si>
    <t>C. album,</t>
  </si>
  <si>
    <t>Potato | C. album, | 1.00 L/ha</t>
  </si>
  <si>
    <t>Torunil 33EC</t>
  </si>
  <si>
    <t>AP-5477</t>
  </si>
  <si>
    <t>C. album, E. colonum, G. affine</t>
  </si>
  <si>
    <t>Potato | C. album, E. colonum, G. affine | 1.00 L/ha</t>
  </si>
  <si>
    <t>Herbilin 33EC</t>
  </si>
  <si>
    <t>AP-5478</t>
  </si>
  <si>
    <t>C. album, C. dectylon</t>
  </si>
  <si>
    <t>Potato, Maize | C. album, C. dectylon | 1.00 L/ha</t>
  </si>
  <si>
    <t>Penadril 33EC</t>
  </si>
  <si>
    <t>AP-5635</t>
  </si>
  <si>
    <t>Crezendo 33EC</t>
  </si>
  <si>
    <t>AP-5636</t>
  </si>
  <si>
    <t>Extra Klin 33EC</t>
  </si>
  <si>
    <t>AP-5637</t>
  </si>
  <si>
    <t>Agripen 33EC</t>
  </si>
  <si>
    <t>AP-5850</t>
  </si>
  <si>
    <t>Agrivision Banbgladesh</t>
  </si>
  <si>
    <t>M.vaginalis, C.dactylon, E. crussgalli</t>
  </si>
  <si>
    <t>Rice | M.vaginalis, C.dactylon, E. crussgalli | 2.00 L/ha</t>
  </si>
  <si>
    <t>Fedlin 33EC</t>
  </si>
  <si>
    <t>AP-5851</t>
  </si>
  <si>
    <t>M.vaginalis, C.dactylon, E. crussgalli, C.difformis</t>
  </si>
  <si>
    <t>Rice | M.vaginalis, C.dactylon, E. crussgalli, C.difformis | 2.00 L/ha</t>
  </si>
  <si>
    <t>G-Penda 33EC</t>
  </si>
  <si>
    <t>AP-5852</t>
  </si>
  <si>
    <t>Wheat | C. album | 3.00 L/ha</t>
  </si>
  <si>
    <t>Sunyda 33EC</t>
  </si>
  <si>
    <t>AP-5853</t>
  </si>
  <si>
    <t>C. rotondus, E. crussgalli</t>
  </si>
  <si>
    <t>Potato | C. rotondus, E. crussgalli | 800 ml/ha</t>
  </si>
  <si>
    <t xml:space="preserve"> 40%</t>
  </si>
  <si>
    <t>Pendulum 33EC</t>
  </si>
  <si>
    <t>AP-5854</t>
  </si>
  <si>
    <t>ACI Limited</t>
  </si>
  <si>
    <t>C. album, C. rotondus, C. album, C. rotondus</t>
  </si>
  <si>
    <t>Potato | C. album, C. rotondus | 2.00 L/ha
Onion | C. album, C. rotondus | 2.00 L/ha</t>
  </si>
  <si>
    <t>Patron 40EC</t>
  </si>
  <si>
    <t>AP-5855</t>
  </si>
  <si>
    <t>M.vaginalis, C.dactylon, E. crussgalli, C.difformis, C. dectylon,, D. sanguninalis</t>
  </si>
  <si>
    <t>Rice | M.vaginalis, C.dactylon, E. crussgalli, C.difformis | 2.00 L/ha
Onion | C. dectylon,, D. sanguninalis | 1.00 L/ha</t>
  </si>
  <si>
    <t>Onida Plus 33EC</t>
  </si>
  <si>
    <t>AP-5856</t>
  </si>
  <si>
    <t>C. dectylon,, D. sanguninalis</t>
  </si>
  <si>
    <t>Onion | C. dectylon,, D. sanguninalis | 1.00 L/ha</t>
  </si>
  <si>
    <t>Like 33EC</t>
  </si>
  <si>
    <t>AP-5857</t>
  </si>
  <si>
    <t>Grin 33EC</t>
  </si>
  <si>
    <t>AP-5858</t>
  </si>
  <si>
    <t>Raisa 33EC</t>
  </si>
  <si>
    <t>AP-5859</t>
  </si>
  <si>
    <t>Pendibon 33EC</t>
  </si>
  <si>
    <t>AP-6102</t>
  </si>
  <si>
    <t>Rice | E. crus-galli, M.vaginalis, S.maritimus, C. difformis | 2.50 L/ha</t>
  </si>
  <si>
    <t>Mapgun 33EC</t>
  </si>
  <si>
    <t>AP-6103</t>
  </si>
  <si>
    <t>MAP Agro Industries Ltd.</t>
  </si>
  <si>
    <t>E. Crusgalli, C. album, C. rotundus, C. dectylon</t>
  </si>
  <si>
    <t>Potato | E. Crusgalli, C. album, C. rotundus, C. dectylon | 1.0 L/ha</t>
  </si>
  <si>
    <t>Lately 33EC</t>
  </si>
  <si>
    <t>AP-6104</t>
  </si>
  <si>
    <t>Pendima 33EC</t>
  </si>
  <si>
    <t>AP-6105</t>
  </si>
  <si>
    <t>Onion | C. rotundus | 800 ml/ha</t>
  </si>
  <si>
    <t>Piston 33EC</t>
  </si>
  <si>
    <t>AP-6106</t>
  </si>
  <si>
    <t>C. rotundus, D. sanguinals</t>
  </si>
  <si>
    <t>Onion | C. rotundus, D. sanguinals | 800 ml/ha</t>
  </si>
  <si>
    <t>Pendanil 33EC</t>
  </si>
  <si>
    <t>AP-6107</t>
  </si>
  <si>
    <t>C.album, E. crussgalli, R.rahanistrum</t>
  </si>
  <si>
    <t>Onion | C.album, E. crussgalli, R.rahanistrum | 2.0 L/ha</t>
  </si>
  <si>
    <t>Nirani Plus 33EC</t>
  </si>
  <si>
    <t>AP-6108</t>
  </si>
  <si>
    <t>Onion | C.album, E. crussgalli, R.rahanistrum | 800 ml/ha</t>
  </si>
  <si>
    <t>Pentaline 33EC</t>
  </si>
  <si>
    <t>AP-6109</t>
  </si>
  <si>
    <t>Rice | E. crus-galli, M.vaginalis, S.maritimus, C. difformis | 2.0 L/ha</t>
  </si>
  <si>
    <t>Nila 33EC</t>
  </si>
  <si>
    <t>AP-6110</t>
  </si>
  <si>
    <t>Orosun 33EC</t>
  </si>
  <si>
    <t>AP-6111</t>
  </si>
  <si>
    <t>C.album, E. crussgalli, R.rahanistrum, C.dectalon, E. crus-galli, M.vaginalis, S.maritimus, C. difformis</t>
  </si>
  <si>
    <t>800 ml/ha; 2.0 L/ha</t>
  </si>
  <si>
    <t>Onion | C.album, E. crussgalli, R.rahanistrum, C.dectalon | 800 ml/ha
Rice | E. crus-galli, M.vaginalis, S.maritimus, C. difformis | 2.0 L/ha</t>
  </si>
  <si>
    <t>Mithylin 33EC</t>
  </si>
  <si>
    <t>AP-6112</t>
  </si>
  <si>
    <t>E. crus-galli, M.vaginalis, S.maritimus, C. difformis, B. hispida, I. cylindrica</t>
  </si>
  <si>
    <t>2.0 L/ha; 2.00 L</t>
  </si>
  <si>
    <t>Rice | E. crus-galli, M.vaginalis, S.maritimus, C. difformis | 2.0 L/ha
Tea | B. hispida, I. cylindrica | 2.00 L</t>
  </si>
  <si>
    <t>Plasom 33EC</t>
  </si>
  <si>
    <t>AP-6113</t>
  </si>
  <si>
    <t>Penoxulam</t>
  </si>
  <si>
    <t>Granite 240SC</t>
  </si>
  <si>
    <t>AP-2239</t>
  </si>
  <si>
    <t>E. crus-galli, C. difformis, L. chinensis, M. vaginalis</t>
  </si>
  <si>
    <t>93.70 ml/ha</t>
  </si>
  <si>
    <t>Rice | E. crus-galli, C. difformis, L. chinensis, M. vaginalis | 93.70 ml/ha</t>
  </si>
  <si>
    <t>Indaziflam</t>
  </si>
  <si>
    <t>Becano 500SC</t>
  </si>
  <si>
    <t>AP-3964</t>
  </si>
  <si>
    <t>Tea | B. hispida, C.rotundus | 150 ml/ha</t>
  </si>
  <si>
    <t>HRAC L</t>
  </si>
  <si>
    <t>Pretilachlor</t>
  </si>
  <si>
    <t>Rifit 500EC</t>
  </si>
  <si>
    <t>AP-408</t>
  </si>
  <si>
    <t>C. difformis, E. crus-gali, C. difformis, F.milliacea, E. crus-galli, S. zeylanica</t>
  </si>
  <si>
    <t>Rice | C. difformis, E. crus-gali, C. difformis, F.milliacea, E. crus-galli, S. zeylanica | 1.00 L/ha</t>
  </si>
  <si>
    <t>Saaf 500EC</t>
  </si>
  <si>
    <t>AP-690</t>
  </si>
  <si>
    <t>Rice | Weeds | 1.00 L/ha</t>
  </si>
  <si>
    <t>Longfit 500EC</t>
  </si>
  <si>
    <t>AP-693</t>
  </si>
  <si>
    <t>Commit 500EC</t>
  </si>
  <si>
    <t>AP-694</t>
  </si>
  <si>
    <t>Superheat 500EC</t>
  </si>
  <si>
    <t>AP-697</t>
  </si>
  <si>
    <t>Clear 500EC</t>
  </si>
  <si>
    <t>AP-699</t>
  </si>
  <si>
    <t>Weeds, S.maritimus,M.vaginalis, L.octovalvis,M.vaginalis</t>
  </si>
  <si>
    <t>Rice | Weeds, S.maritimus,M.vaginalis, L.octovalvis,M.vaginalis | 1.00 L/ha</t>
  </si>
  <si>
    <t>Silah 500EC</t>
  </si>
  <si>
    <t>AP-847</t>
  </si>
  <si>
    <t>Rice | - | 1.00 L/ha</t>
  </si>
  <si>
    <t>Richlor 500EC</t>
  </si>
  <si>
    <t>AP-848</t>
  </si>
  <si>
    <t>S.maritimus,M.vaginalis, C.difformis,Erusgali</t>
  </si>
  <si>
    <t>Rice | S.maritimus,M.vaginalis, C.difformis,Erusgali | 1.00 L/ha</t>
  </si>
  <si>
    <t>Sarakill 50EC</t>
  </si>
  <si>
    <t>AP-851</t>
  </si>
  <si>
    <t>S.maritimus,M.vaginalis, C.iria, E.crusgali</t>
  </si>
  <si>
    <t>Rice | S.maritimus,M.vaginalis, C.iria, E.crusgali | 1.00 L/ha</t>
  </si>
  <si>
    <t>Check 500EC</t>
  </si>
  <si>
    <t>AP-852</t>
  </si>
  <si>
    <t>S.maritimus,M.vaginalis, E. crusgali,M.minuta</t>
  </si>
  <si>
    <t>Rice | S.maritimus,M.vaginalis, E. crusgali,M.minuta | 1.00 L/ha</t>
  </si>
  <si>
    <t>Top 500EC</t>
  </si>
  <si>
    <t>AP-853</t>
  </si>
  <si>
    <t>S.maritimus,M.vaginalis, E. crusgali,M.minuta,C.iria</t>
  </si>
  <si>
    <t>Rice | S.maritimus,M.vaginalis, E. crusgali,M.minuta,C.iria | 1.00 L/ha</t>
  </si>
  <si>
    <t>Mimfit 500EC</t>
  </si>
  <si>
    <t>AP-855</t>
  </si>
  <si>
    <t>Mimpex Agrochemials Limited</t>
  </si>
  <si>
    <t>S.maritimus, M.vaginalis</t>
  </si>
  <si>
    <t>Rice | S.maritimus, M.vaginalis | 1.00 L/ha</t>
  </si>
  <si>
    <t>Contra 500EC</t>
  </si>
  <si>
    <t>AP-925</t>
  </si>
  <si>
    <t>S. maritimus, M. vaginalis, C. difformis</t>
  </si>
  <si>
    <t>Rice | S. maritimus, M. vaginalis, C. difformis | 1.00 L/ha</t>
  </si>
  <si>
    <t>Amcofit 50EC</t>
  </si>
  <si>
    <t>AP-926</t>
  </si>
  <si>
    <t>S. maritimus, M. vaginalis, C. difformis, M.minuta</t>
  </si>
  <si>
    <t>Rice | S. maritimus, M. vaginalis, C. difformis, M.minuta | 1.00 L/ha</t>
  </si>
  <si>
    <t>Baichlor 50EC</t>
  </si>
  <si>
    <t>AP-927</t>
  </si>
  <si>
    <t>Profit 500EC</t>
  </si>
  <si>
    <t>AP-928</t>
  </si>
  <si>
    <t>Rav 500 EC</t>
  </si>
  <si>
    <t>AP-930</t>
  </si>
  <si>
    <t>Intregrated Crop Care Bangladesh</t>
  </si>
  <si>
    <t>Tekka 500EC</t>
  </si>
  <si>
    <t>AP-934</t>
  </si>
  <si>
    <t>- | S. maritimus, M. vaginalis, C. difformis, M.minuta | 1.00 L/ha</t>
  </si>
  <si>
    <t>Quit 500EC</t>
  </si>
  <si>
    <t>AP-936</t>
  </si>
  <si>
    <t>Pretil 500EC</t>
  </si>
  <si>
    <t>AP-1162</t>
  </si>
  <si>
    <t>Weed Guard 50EC</t>
  </si>
  <si>
    <t>AP-1164</t>
  </si>
  <si>
    <t>Bumperhit 500EC</t>
  </si>
  <si>
    <t>AP-1167</t>
  </si>
  <si>
    <t>Chemchlor 500EC</t>
  </si>
  <si>
    <t>AP-1169</t>
  </si>
  <si>
    <t>E. chinochloa, Crus-galli, C.iria, C.difformis, F. miliacea</t>
  </si>
  <si>
    <t>Rice | E. chinochloa, Crus-galli, C.iria, C.difformis, F. miliacea | 1.00 L/ha</t>
  </si>
  <si>
    <t>Prechlor 500EC</t>
  </si>
  <si>
    <t>AP-1170</t>
  </si>
  <si>
    <t>Pretilasun 500EC</t>
  </si>
  <si>
    <t>AP-1177</t>
  </si>
  <si>
    <t>Refine 500EC</t>
  </si>
  <si>
    <t>AP-1440</t>
  </si>
  <si>
    <t>C. difformis, E. crus-galli, M.vaginalis, S. juncoides, S.zeylanica</t>
  </si>
  <si>
    <t>Rice | C. difformis, E. crus-galli, M.vaginalis, S. juncoides, S.zeylanica | 1.00 L/ha</t>
  </si>
  <si>
    <t>Fast 500EC</t>
  </si>
  <si>
    <t>AP-1442</t>
  </si>
  <si>
    <t>Rice | M.vaginalis | 1.00 L/ha</t>
  </si>
  <si>
    <t>Remote 500EC</t>
  </si>
  <si>
    <t>AP-1444</t>
  </si>
  <si>
    <t>Aver 500EC</t>
  </si>
  <si>
    <t>AP-1454</t>
  </si>
  <si>
    <t>Rice | M. vaginalis | 1.00 L/ha</t>
  </si>
  <si>
    <t>Seavafit 500EC</t>
  </si>
  <si>
    <t>AP-1456</t>
  </si>
  <si>
    <t>M. vaginalis, S. maritimus</t>
  </si>
  <si>
    <t>Rice | M. vaginalis, S. maritimus | 1.00 L/ha</t>
  </si>
  <si>
    <t>Rigid 500EC</t>
  </si>
  <si>
    <t>AP-1598</t>
  </si>
  <si>
    <t>C. difformis, Oxalis europea, M.vaginalis, S. maritimus</t>
  </si>
  <si>
    <t>Rice | C. difformis, Oxalis europea, M.vaginalis, S. maritimus | 1.00 L/ha</t>
  </si>
  <si>
    <t>Bigboss 500 EC</t>
  </si>
  <si>
    <t>AP-1647</t>
  </si>
  <si>
    <t>C. difformis, C. iria, M.vaginalis, S. maritimus</t>
  </si>
  <si>
    <t>Rice | C. difformis, C. iria, M.vaginalis, S. maritimus | 1.00 L/ha</t>
  </si>
  <si>
    <t>Razfit 500EC</t>
  </si>
  <si>
    <t>AP-1648</t>
  </si>
  <si>
    <t>C. difformis, C. iria, M.vaginalis, S. maritimus, Oxalis europea, E.crusgalli</t>
  </si>
  <si>
    <t>Rice | C. difformis, C. iria, M.vaginalis, S. maritimus, Oxalis europea, E.crusgalli | 1.00 L/ha</t>
  </si>
  <si>
    <t>Succour 500EC</t>
  </si>
  <si>
    <t>AP-1649</t>
  </si>
  <si>
    <t>G-Clear 50EC</t>
  </si>
  <si>
    <t>AP-1606</t>
  </si>
  <si>
    <t>E. crusgalli, M.vaginalis</t>
  </si>
  <si>
    <t>Rice | E. crusgalli, M.vaginalis | 1.00 L/ha</t>
  </si>
  <si>
    <t>Penicle 500 EC</t>
  </si>
  <si>
    <t>AP-1734</t>
  </si>
  <si>
    <t>C. difformis, S.juncoides, M.vaginalis,S.zeylanica, L.octovalvis, E.crusgalli</t>
  </si>
  <si>
    <t>Rice | C. difformis, S.juncoides, M.vaginalis,S.zeylanica, L.octovalvis, E.crusgalli | 1.00 L/ha</t>
  </si>
  <si>
    <t>Aerofet 500EC</t>
  </si>
  <si>
    <t>AP-1735</t>
  </si>
  <si>
    <t>Rekachlor 500EC</t>
  </si>
  <si>
    <t>AP-1736</t>
  </si>
  <si>
    <t>Forfit 500EC</t>
  </si>
  <si>
    <t>AP-2063</t>
  </si>
  <si>
    <t>E. crus-galli, S.maritimus, C. difformis, M.minuta</t>
  </si>
  <si>
    <t>Rice | E. crus-galli, S.maritimus, C. difformis, M.minuta | 1.00 L/ha</t>
  </si>
  <si>
    <t>Amahit 500EC</t>
  </si>
  <si>
    <t>AP-2092</t>
  </si>
  <si>
    <t>Anand 500EC</t>
  </si>
  <si>
    <t>AP-2094</t>
  </si>
  <si>
    <t>Coro Clean 500EC</t>
  </si>
  <si>
    <t>AP-2095</t>
  </si>
  <si>
    <t>Pegeon 500EC</t>
  </si>
  <si>
    <t>AP-2096</t>
  </si>
  <si>
    <t>Loreto 500EC</t>
  </si>
  <si>
    <t>AP-2097</t>
  </si>
  <si>
    <t>Tilachlor 500EC</t>
  </si>
  <si>
    <t>AP-2098</t>
  </si>
  <si>
    <t>Parachlor 500EC</t>
  </si>
  <si>
    <t>AP-2551</t>
  </si>
  <si>
    <t>E. crus-galli, S.maritimus, C. difformis, M.minuta, D.trifolium</t>
  </si>
  <si>
    <t>Rice | E. crus-galli, S.maritimus, C. difformis, M.minuta, D.trifolium | 1.00 L/ha</t>
  </si>
  <si>
    <t>Redifit 500EC</t>
  </si>
  <si>
    <t>AP-2552</t>
  </si>
  <si>
    <t>Bicofit 500EC</t>
  </si>
  <si>
    <t>AP-2553</t>
  </si>
  <si>
    <t>Remit 50EC</t>
  </si>
  <si>
    <t>AP-2554</t>
  </si>
  <si>
    <t>S. maritimus, D. trifolium, C. difformis, M.minuta</t>
  </si>
  <si>
    <t>Rice | S. maritimus, D. trifolium, C. difformis, M.minuta | 1.00 L/ha</t>
  </si>
  <si>
    <t>Sectila 500EC</t>
  </si>
  <si>
    <t>AP-2555</t>
  </si>
  <si>
    <t>S. maritimus, D. trifolium, C. difformis,M.vaginalis</t>
  </si>
  <si>
    <t>Rice | S. maritimus, D. trifolium, C. difformis,M.vaginalis | 1.00 L/ha</t>
  </si>
  <si>
    <t>Rajfit 500EC</t>
  </si>
  <si>
    <t>AP-2583</t>
  </si>
  <si>
    <t>L.chinensis, E. crus galli, L.hexandra</t>
  </si>
  <si>
    <t>Rice | L.chinensis, E. crus galli, L.hexandra | 1.00 L/ha</t>
  </si>
  <si>
    <t>Agasanash 50EC</t>
  </si>
  <si>
    <t>AP-2585</t>
  </si>
  <si>
    <t>Ecofit 50EC</t>
  </si>
  <si>
    <t>AP-2586</t>
  </si>
  <si>
    <t>Lachlor 500EC</t>
  </si>
  <si>
    <t>AP-2587</t>
  </si>
  <si>
    <t>Tenfit 50EC</t>
  </si>
  <si>
    <t>AP-2588</t>
  </si>
  <si>
    <t>Tens International</t>
  </si>
  <si>
    <t>Rice | L.chinensis, E. crus galli | 1.00 L/ha
- | L.hexandra | 1.00 L/ha</t>
  </si>
  <si>
    <t>Macchlor 500 EC</t>
  </si>
  <si>
    <t>AP-3171</t>
  </si>
  <si>
    <t>E.crus galli, O.europea, M.vaginalis, C.difformis</t>
  </si>
  <si>
    <t>Rice | E.crus galli, O.europea | -
- | M.vaginalis, C.difformis | -</t>
  </si>
  <si>
    <t>Remit 500EC</t>
  </si>
  <si>
    <t>AP-3172</t>
  </si>
  <si>
    <t>S. maritimus, O.europea, M.vaginalis, C.difformis</t>
  </si>
  <si>
    <t>Rice | S. maritimus, O.europea, M.vaginalis, C.difformis | 1.00 L/ha</t>
  </si>
  <si>
    <t>Takat 500EC</t>
  </si>
  <si>
    <t>AP-3174</t>
  </si>
  <si>
    <t>Hazi Abdul Hakim Sowdhagor</t>
  </si>
  <si>
    <t>Rice | E.crus galli, O.europea, M.vaginalis, C.difformis | 1.00 L/ha</t>
  </si>
  <si>
    <t>Defeat 500 EC</t>
  </si>
  <si>
    <t>AP-3175</t>
  </si>
  <si>
    <t>Papil 500 EC</t>
  </si>
  <si>
    <t>AP-3177</t>
  </si>
  <si>
    <t>S. zeylanica, N.nouchali, M.vaginalis, C.difformis</t>
  </si>
  <si>
    <t>Rice | S. zeylanica, N.nouchali, M.vaginalis, C.difformis | 1.00 L/ha</t>
  </si>
  <si>
    <t>Rexichlor 500EC</t>
  </si>
  <si>
    <t>AP-3179</t>
  </si>
  <si>
    <t>Sifit 500EC</t>
  </si>
  <si>
    <t>AP-3180</t>
  </si>
  <si>
    <t>Green Pretila 50EC</t>
  </si>
  <si>
    <t>AP-3653</t>
  </si>
  <si>
    <t>Rice | M.vaginalis, C.difformis, S.maritimus | 1.00 L/ha</t>
  </si>
  <si>
    <t>ICI Fit 50 EC</t>
  </si>
  <si>
    <t>AP-3654</t>
  </si>
  <si>
    <t>Macfit 500EC</t>
  </si>
  <si>
    <t>AP-3938</t>
  </si>
  <si>
    <t>M.vaginalis, C.difformis</t>
  </si>
  <si>
    <t>Rice | M.vaginalis, C.difformis | 1.00 L/ha</t>
  </si>
  <si>
    <t>Khanchlor 50EC</t>
  </si>
  <si>
    <t>AP-3939</t>
  </si>
  <si>
    <t>Adfit 50EC</t>
  </si>
  <si>
    <t>AP-4408</t>
  </si>
  <si>
    <t>Rice | M.vaginalis, S.maritimus | 1.00 L/ha</t>
  </si>
  <si>
    <t>L-Fit 50EC</t>
  </si>
  <si>
    <t>AP-4409</t>
  </si>
  <si>
    <t>M.vaginalis, E.crus-galli, S.maritimus</t>
  </si>
  <si>
    <t>Rice | M.vaginalis, E.crus-galli, S.maritimus | 1.00 L/ha</t>
  </si>
  <si>
    <t>N-Fit 50EC</t>
  </si>
  <si>
    <t>AP-4410</t>
  </si>
  <si>
    <t>Deschlor 50EC</t>
  </si>
  <si>
    <t>AP-4411</t>
  </si>
  <si>
    <t>Pretistar 50EC</t>
  </si>
  <si>
    <t>AP-4412</t>
  </si>
  <si>
    <t>Star Particle Board Mills Ltd.</t>
  </si>
  <si>
    <t>M.vaginalis, E.crus-galli, S.maritimus, C. difformis</t>
  </si>
  <si>
    <t>Rice | M.vaginalis, E.crus-galli, S.maritimus, C. difformis | 1.00 L/ha</t>
  </si>
  <si>
    <t>Maifit 50EC</t>
  </si>
  <si>
    <t>AP-4414</t>
  </si>
  <si>
    <t>Bestchlor 50EC</t>
  </si>
  <si>
    <t>AP-4851</t>
  </si>
  <si>
    <t>Mollahcolor 50EC</t>
  </si>
  <si>
    <t>AP-4852</t>
  </si>
  <si>
    <t>Mollah Enterprise</t>
  </si>
  <si>
    <t>Agacha Clean Super 50EC</t>
  </si>
  <si>
    <t>AP-4853</t>
  </si>
  <si>
    <t>M.vaginalis,, S.maritimus, C. difformis</t>
  </si>
  <si>
    <t>Rice | M.vaginalis,, S.maritimus, C. difformis | 1.00 L/ha</t>
  </si>
  <si>
    <t>Rifit Plus 37EW</t>
  </si>
  <si>
    <t>AP-6120</t>
  </si>
  <si>
    <t>Syngenta Bangladesh Ltd.</t>
  </si>
  <si>
    <t>Rice | M.vaginalis, E.crus-galli, S.maritimus, C. difformis | 1.25 L/ha</t>
  </si>
  <si>
    <t>Orochlor 50EC</t>
  </si>
  <si>
    <t>AP-6121</t>
  </si>
  <si>
    <t>Orpa Trade International</t>
  </si>
  <si>
    <t>Rice | M.vaginalis, E.crus-galli, S.maritimus, C. difformis | 1.0 L/ha</t>
  </si>
  <si>
    <t>Pyrazosulfuron Ethyl</t>
  </si>
  <si>
    <t>Sirius 10WP</t>
  </si>
  <si>
    <t>AP-570</t>
  </si>
  <si>
    <t>Broad Leaf and Sedge</t>
  </si>
  <si>
    <t>Rice | Broad Leaf and Sedge | 125 gm/ha</t>
  </si>
  <si>
    <t>Saathi 10WP</t>
  </si>
  <si>
    <t>AP-923</t>
  </si>
  <si>
    <t>Monochoria vaginalis, Cyperus difformis, Scirpus maritimus, &amp; Sphenoclea zeylanica</t>
  </si>
  <si>
    <t>Rice | Monochoria vaginalis, Cyperus difformis, Scirpus maritimus, &amp; Sphenoclea zeylanica | 150 gm/ha</t>
  </si>
  <si>
    <t>Seacord 10WP</t>
  </si>
  <si>
    <t>AP-1163</t>
  </si>
  <si>
    <t>Pyrozosun 10WP</t>
  </si>
  <si>
    <t>AP-1173</t>
  </si>
  <si>
    <t>Sior 10WP</t>
  </si>
  <si>
    <t>AP-1174</t>
  </si>
  <si>
    <t>Mordern 10WP</t>
  </si>
  <si>
    <t>AP-1178</t>
  </si>
  <si>
    <t>Sprit 10WP</t>
  </si>
  <si>
    <t>AP-1439</t>
  </si>
  <si>
    <t>C. difformis, E.fluctuans, E. crus-galli, M. gaginalis, S. juncoides, S. seylanica</t>
  </si>
  <si>
    <t>Rice | C. difformis, E.fluctuans, E. crus-galli, M. gaginalis, S. juncoides, S. seylanica | 150 gm/ha</t>
  </si>
  <si>
    <t>Super Power 10WP</t>
  </si>
  <si>
    <t>AP-1450</t>
  </si>
  <si>
    <t>Fastklin 10WP</t>
  </si>
  <si>
    <t>AP-1457</t>
  </si>
  <si>
    <t>S.guyanensis, M. vaginalis, O.europea</t>
  </si>
  <si>
    <t>Rice | S.guyanensis, M. vaginalis, O.europea | 150 gm/ha</t>
  </si>
  <si>
    <t>Lubada 10WP</t>
  </si>
  <si>
    <t>AP-1459</t>
  </si>
  <si>
    <t>Marajou 10WP</t>
  </si>
  <si>
    <t>AP-1546</t>
  </si>
  <si>
    <t>Rice | M. vaginalis | 150 gm/ha</t>
  </si>
  <si>
    <t>Star 10WP</t>
  </si>
  <si>
    <t>AP-1593</t>
  </si>
  <si>
    <t>S.guyanensis,</t>
  </si>
  <si>
    <t>Rice | S.guyanensis, | 150 gm/ha</t>
  </si>
  <si>
    <t>Zealus 10WP</t>
  </si>
  <si>
    <t>AP-1651</t>
  </si>
  <si>
    <t>Oxilis europea, M.vaginalis, Cmaritimus, C.difformis</t>
  </si>
  <si>
    <t>Rice | Oxilis europea, M.vaginalis, Cmaritimus, C.difformis | 125 gm/ha</t>
  </si>
  <si>
    <t>Amaraj 10WG</t>
  </si>
  <si>
    <t>AP-1652</t>
  </si>
  <si>
    <t>Sinoron 10WP</t>
  </si>
  <si>
    <t>AP-1612</t>
  </si>
  <si>
    <t>Herbikil 10WP</t>
  </si>
  <si>
    <t>AP-1653</t>
  </si>
  <si>
    <t>Oxilis europea,, Cmaritimus, C.difformis</t>
  </si>
  <si>
    <t>Rice | Oxilis europea,, Cmaritimus, C.difformis | 125 gm/ha</t>
  </si>
  <si>
    <t>Remover 10WP</t>
  </si>
  <si>
    <t>AP-1654</t>
  </si>
  <si>
    <t>Oxilis europea,E.crusgalli, Cmaritimus, C.difformis</t>
  </si>
  <si>
    <t>Rice | Oxilis europea,E.crusgalli, Cmaritimus, C.difformis | 125 gm/ha</t>
  </si>
  <si>
    <t>Safety 10WG</t>
  </si>
  <si>
    <t>AP-1604</t>
  </si>
  <si>
    <t>Laser 10WP</t>
  </si>
  <si>
    <t>AP-1619</t>
  </si>
  <si>
    <t>Star Plus 10WP</t>
  </si>
  <si>
    <t>AP-1655</t>
  </si>
  <si>
    <t>Pyrus 10WP</t>
  </si>
  <si>
    <t>AP-1614</t>
  </si>
  <si>
    <t>M. vaginalis, S. juncoides, S.zeylanica, C.difformis</t>
  </si>
  <si>
    <t>Rice | M. vaginalis, S. juncoides, S.zeylanica, C.difformis | 125 gm/ha</t>
  </si>
  <si>
    <t>Ghasmara 10WP</t>
  </si>
  <si>
    <t>AP-1740</t>
  </si>
  <si>
    <t>Safa 10WP</t>
  </si>
  <si>
    <t>AP-1909</t>
  </si>
  <si>
    <t>Pop 10 WP</t>
  </si>
  <si>
    <t>AP-1910</t>
  </si>
  <si>
    <t>Pyrogold 10WP</t>
  </si>
  <si>
    <t>AP-2106</t>
  </si>
  <si>
    <t>Greenup 10WP</t>
  </si>
  <si>
    <t>AP-2107</t>
  </si>
  <si>
    <t>Pathal 100WP</t>
  </si>
  <si>
    <t>AP-2240</t>
  </si>
  <si>
    <t>E. Crus-galli, C. difformis, L. Chinensis</t>
  </si>
  <si>
    <t>Rice | E. Crus-galli, C. difformis, L. Chinensis | 125 gm/ha</t>
  </si>
  <si>
    <t>Corocide 100WP</t>
  </si>
  <si>
    <t>AP-2257</t>
  </si>
  <si>
    <t>Labor 10WP</t>
  </si>
  <si>
    <t>AP-2316</t>
  </si>
  <si>
    <t>M. vaginalis, S. maritimus, C. difformis</t>
  </si>
  <si>
    <t>Rice | M. vaginalis, S. maritimus, C. difformis | 125 gm/ha</t>
  </si>
  <si>
    <t>Signal 10WP</t>
  </si>
  <si>
    <t>AP-2317</t>
  </si>
  <si>
    <t>M. vaginalis, S.maritimus, C. difformis, E.crus galli, M. minuta</t>
  </si>
  <si>
    <t>Rice | M. vaginalis, S.maritimus, C. difformis, E.crus galli, M. minuta | 125 gm/ha</t>
  </si>
  <si>
    <t>Link 10WP</t>
  </si>
  <si>
    <t>AP-2561</t>
  </si>
  <si>
    <t>S. maritimus, M.minuta, C. difformis</t>
  </si>
  <si>
    <t>Rice | S. maritimus, M.minuta, C. difformis | 125 gm/ha</t>
  </si>
  <si>
    <t>Nirrani 10WP</t>
  </si>
  <si>
    <t>AP-2563</t>
  </si>
  <si>
    <t>S. maritimus, M.minuta, C. difformis, E. crus-galli</t>
  </si>
  <si>
    <t>Rice | S. maritimus, M.minuta, C. difformis, E. crus-galli | 125 gm/ha</t>
  </si>
  <si>
    <t>Overcome 10WP</t>
  </si>
  <si>
    <t>AP-2564</t>
  </si>
  <si>
    <t>M. vaginalis, S.maritimus, C. difformis</t>
  </si>
  <si>
    <t>Rice | M. vaginalis, S.maritimus, C. difformis | 125 gm/ha</t>
  </si>
  <si>
    <t>Azafuran 10WP</t>
  </si>
  <si>
    <t>AP-2565</t>
  </si>
  <si>
    <t>Kosir 10WP</t>
  </si>
  <si>
    <t>AP-2566</t>
  </si>
  <si>
    <t>M. vaginalis, S.maritimus, C. difformis, M.minuta</t>
  </si>
  <si>
    <t>Rice | M. vaginalis, S.maritimus, C. difformis, M.minuta | 125 gm/ha</t>
  </si>
  <si>
    <t>Porishker 10WP</t>
  </si>
  <si>
    <t>AP-2591</t>
  </si>
  <si>
    <t>E.crus-galli, L.hexandra, C.iria</t>
  </si>
  <si>
    <t>Rice | E.crus-galli, L.hexandra, C.iria | 125 gm/ha</t>
  </si>
  <si>
    <t>Anima 10WP</t>
  </si>
  <si>
    <t>AP-2592</t>
  </si>
  <si>
    <t>Superzo 10WP</t>
  </si>
  <si>
    <t>AP-2593</t>
  </si>
  <si>
    <t>E.crus-galli, L.chinensis, M.vagilais</t>
  </si>
  <si>
    <t>Rice | E.crus-galli, L.chinensis, M.vagilais | 125 gm/ha</t>
  </si>
  <si>
    <t>Blegold 10WP</t>
  </si>
  <si>
    <t>AP-2594</t>
  </si>
  <si>
    <t>E.crus-galli, M.vaginalis, C. irria,L.hexandra</t>
  </si>
  <si>
    <t>Rice | E.crus-galli, M.vaginalis, C. irria,L.hexandra | 125 gm/ha</t>
  </si>
  <si>
    <t>Cutout 10WP</t>
  </si>
  <si>
    <t>AP-2595</t>
  </si>
  <si>
    <t>E.crus-galli, L.chinensis, C. irria L.hexandra,</t>
  </si>
  <si>
    <t>Rice | E.crus-galli, L.chinensis, C. irria L.hexandra, | 125 gm/ha</t>
  </si>
  <si>
    <t>System Up 10WP</t>
  </si>
  <si>
    <t>AP-2596</t>
  </si>
  <si>
    <t>L.chinensis, M.vaginalis, L.chinensis</t>
  </si>
  <si>
    <t>Rice | L.chinensis, M.vaginalis | 125 gm/ha</t>
  </si>
  <si>
    <t>Bicoron 10WP</t>
  </si>
  <si>
    <t>AP-2597</t>
  </si>
  <si>
    <t>E.crus-galli, L.chinensis, C.iria</t>
  </si>
  <si>
    <t>Rice | E.crus-galli, L.chinensis, C.iria | 125 gm/ha</t>
  </si>
  <si>
    <t>Tyraz 10WP</t>
  </si>
  <si>
    <t>AP-2598</t>
  </si>
  <si>
    <t>E.crus-galli, ,M.vaginalis, L.chinensis</t>
  </si>
  <si>
    <t>Rice | E.crus-galli, ,M.vaginalis, L.chinensis | 125 gm/ha</t>
  </si>
  <si>
    <t>Prime ethyl 10 WP</t>
  </si>
  <si>
    <t>AP-2599</t>
  </si>
  <si>
    <t>E.crus-galli, C.irria, L.hexandra</t>
  </si>
  <si>
    <t>Rice | E.crus-galli, C.irria, L.hexandra | 125 gm/ha</t>
  </si>
  <si>
    <t>Rajclean 10WP</t>
  </si>
  <si>
    <t>AP-2600</t>
  </si>
  <si>
    <t>L. Chinensis, E.cus galli, L.hexandra</t>
  </si>
  <si>
    <t>Rice | L. Chinensis, E.cus galli, L.hexandra | 125 gm/ha</t>
  </si>
  <si>
    <t>Fata Kesto 10WP</t>
  </si>
  <si>
    <t>AP-2607</t>
  </si>
  <si>
    <t>E.crus-galli, L.chinensis, C. irria,L.hexandra</t>
  </si>
  <si>
    <t>Rice | E.crus-galli, L.chinensis, C. irria,L.hexandra | 125 gm/ha</t>
  </si>
  <si>
    <t>Nibash 10WP</t>
  </si>
  <si>
    <t>AP-2621</t>
  </si>
  <si>
    <t>E.crus-galli, M.vaginalis, L.hexandra</t>
  </si>
  <si>
    <t>Rice | E.crus-galli, M.vaginalis, L.hexandra | 125 gm/ha</t>
  </si>
  <si>
    <t>Danger 10WP</t>
  </si>
  <si>
    <t>AP-2704</t>
  </si>
  <si>
    <t>E.crus-galli, M.vaginalis, C.iria</t>
  </si>
  <si>
    <t>Rice | E.crus-galli, M.vaginalis, C.iria | 125 gm/ha</t>
  </si>
  <si>
    <t>Genesun 10WP</t>
  </si>
  <si>
    <t>AP-2904</t>
  </si>
  <si>
    <t>Rice | C. difformis, M.vaginalis, S. maritimus | 125 gm/ha</t>
  </si>
  <si>
    <t>Equation 10 WP</t>
  </si>
  <si>
    <t>AP-2952</t>
  </si>
  <si>
    <t>Q.europea, M.vaginalis, C.difformis</t>
  </si>
  <si>
    <t>125 g</t>
  </si>
  <si>
    <t>Rice | Q.europea, M.vaginalis, C.difformis | 125 g</t>
  </si>
  <si>
    <t>Grass Clean 10WP</t>
  </si>
  <si>
    <t>AP-3184</t>
  </si>
  <si>
    <t>Rice | Q.europea, M.vaginalis, C.difformis | 125 gm/ha</t>
  </si>
  <si>
    <t>Pariza 10WP</t>
  </si>
  <si>
    <t>AP-3185</t>
  </si>
  <si>
    <t>Get-Cut 10WP</t>
  </si>
  <si>
    <t>AP-3186</t>
  </si>
  <si>
    <t>Pylon 10WP</t>
  </si>
  <si>
    <t>AP-3187</t>
  </si>
  <si>
    <t>E. crus galli,, M.vaginalis, S. marumus, C.difformis</t>
  </si>
  <si>
    <t>Rice | E. crus galli,, M.vaginalis, S. marumus, C.difformis | 125 gm/ha</t>
  </si>
  <si>
    <t>Green Pyra 10WP</t>
  </si>
  <si>
    <t>AP-3188</t>
  </si>
  <si>
    <t>C. difformis, M.vaginalis, S.zeylanica, S. nouchali</t>
  </si>
  <si>
    <t>Rice | C. difformis, M.vaginalis, S.zeylanica, S. nouchali | 125 gm/ha</t>
  </si>
  <si>
    <t>Winclean 10 WP</t>
  </si>
  <si>
    <t>AP-3189</t>
  </si>
  <si>
    <t>E. crus galli,, M.vaginalis, S.zeylanica, S. nouchali</t>
  </si>
  <si>
    <t>Rice | E. crus galli,, M.vaginalis, S.zeylanica, S. nouchali | 125 gm/ha</t>
  </si>
  <si>
    <t>Harvest Furan 10 WP</t>
  </si>
  <si>
    <t>AP-3641</t>
  </si>
  <si>
    <t>Rice | M.vaginalis, S.maritimus | 125 gm/ha</t>
  </si>
  <si>
    <t>Paraside 10WP</t>
  </si>
  <si>
    <t>AP-3643</t>
  </si>
  <si>
    <t>E. crus galli,, M.vaginalis, C. difformis, S. Maritimus, S. zeylanica, N. nouchali</t>
  </si>
  <si>
    <t>Rice | E. crus galli,, M.vaginalis, C. difformis, S. Maritimus, S. zeylanica, N. nouchali | 125 gm/ha</t>
  </si>
  <si>
    <t>SB-Punno 10WP</t>
  </si>
  <si>
    <t>AP-3644</t>
  </si>
  <si>
    <t>Kamla 10WP</t>
  </si>
  <si>
    <t>AP-3645</t>
  </si>
  <si>
    <t>Sayrazo 10WP</t>
  </si>
  <si>
    <t>AP-3646</t>
  </si>
  <si>
    <t>C. difformis, M.vaginalis, S.zeylanica,</t>
  </si>
  <si>
    <t>Rice | C. difformis, M.vaginalis, S.zeylanica, | 125 gm/ha</t>
  </si>
  <si>
    <t>Peak 10WP</t>
  </si>
  <si>
    <t>AP-3647</t>
  </si>
  <si>
    <t>63 64</t>
  </si>
  <si>
    <t>Sqadron 10WP</t>
  </si>
  <si>
    <t>AP-3648</t>
  </si>
  <si>
    <t>C. difformis, M.vaginalis</t>
  </si>
  <si>
    <t>Rice | C. difformis, M.vaginalis | 125 gm/ha</t>
  </si>
  <si>
    <t>Pyroking 10WP</t>
  </si>
  <si>
    <t>AP-3944</t>
  </si>
  <si>
    <t>E. crus galli,, M.vaginalis</t>
  </si>
  <si>
    <t>Rice | E. crus galli,, M.vaginalis | 125 gm/ha</t>
  </si>
  <si>
    <t>Stem 10WP</t>
  </si>
  <si>
    <t>AP-4374</t>
  </si>
  <si>
    <t>S. maritimus, M.vaginalis, E. crus-galli</t>
  </si>
  <si>
    <t>Rice | S. maritimus, M.vaginalis, E. crus-galli | 125 gm/ha</t>
  </si>
  <si>
    <t>Nikash 10WP</t>
  </si>
  <si>
    <t>AP-4377</t>
  </si>
  <si>
    <t>Pyra 10WP</t>
  </si>
  <si>
    <t>AP-4378</t>
  </si>
  <si>
    <t>S. maritimus, M.vaginalis, E. crus-gali</t>
  </si>
  <si>
    <t>Rice | S. maritimus, M.vaginalis, E. crus-gali | 125 gm/ha</t>
  </si>
  <si>
    <t>Paroj 10WP</t>
  </si>
  <si>
    <t>AP-4379</t>
  </si>
  <si>
    <t>Sarniethyl 10WP</t>
  </si>
  <si>
    <t>AP-4380</t>
  </si>
  <si>
    <t>Sarni Crop Science Ltd.</t>
  </si>
  <si>
    <t>Teesta 10WP</t>
  </si>
  <si>
    <t>AP-4381</t>
  </si>
  <si>
    <t>Sahara 10WP</t>
  </si>
  <si>
    <t>AP-4385</t>
  </si>
  <si>
    <t>Pro-Ethyl 10WP</t>
  </si>
  <si>
    <t>AP-4388</t>
  </si>
  <si>
    <t>Pratasha Intrnational</t>
  </si>
  <si>
    <t>S. maritimus, M.vaginalis, E. crus-galli, C. difformis</t>
  </si>
  <si>
    <t>Rice | S. maritimus, M.vaginalis, E. crus-galli, C. difformis | 125 gm/ha</t>
  </si>
  <si>
    <t>Anamclean 10WP</t>
  </si>
  <si>
    <t>AP-4389</t>
  </si>
  <si>
    <t>Siamethyl 10WP</t>
  </si>
  <si>
    <t>AP-4390</t>
  </si>
  <si>
    <t>Empty 10WP</t>
  </si>
  <si>
    <t>AP-4392</t>
  </si>
  <si>
    <t>Aid Clean 10WP</t>
  </si>
  <si>
    <t>AP-4396</t>
  </si>
  <si>
    <t>MU Clean 10WP</t>
  </si>
  <si>
    <t>AP-4397</t>
  </si>
  <si>
    <t>Asfuran 10WP</t>
  </si>
  <si>
    <t>AP-4398</t>
  </si>
  <si>
    <t>Rice | S. maritimus, M.vaginalis, E. crus-galli, C. difformis | 125 g/ha</t>
  </si>
  <si>
    <t>Halaka 10WDG</t>
  </si>
  <si>
    <t>AP-4846</t>
  </si>
  <si>
    <t>M.vaginalis, E. crus-galli, C. difformis</t>
  </si>
  <si>
    <t>Rice | M.vaginalis, E. crus-galli, C. difformis | 125 gm/ha</t>
  </si>
  <si>
    <t>Delsuf 10WP</t>
  </si>
  <si>
    <t>AP-4847</t>
  </si>
  <si>
    <t>Pyrocare 10WP</t>
  </si>
  <si>
    <t>AP-4848</t>
  </si>
  <si>
    <t>S. maritimus, M.vaginalis, C. difformis</t>
  </si>
  <si>
    <t>Rice | S. maritimus, M.vaginalis, C. difformis | 125 gm/ha</t>
  </si>
  <si>
    <t>Bette Clean 10WP</t>
  </si>
  <si>
    <t>AP-5206</t>
  </si>
  <si>
    <t>Locus 10WP</t>
  </si>
  <si>
    <t>AP-5207</t>
  </si>
  <si>
    <t>S. maritimus, C. difformis</t>
  </si>
  <si>
    <t>Rice | S. maritimus, C. difformis | 125 gm/ha</t>
  </si>
  <si>
    <t>Pyrodream 10WP</t>
  </si>
  <si>
    <t>AP-5208</t>
  </si>
  <si>
    <t>Mediclean 10WP</t>
  </si>
  <si>
    <t>AP-5209</t>
  </si>
  <si>
    <t>S. maritimus, M.vaginalis, C. difformis, E. crasgalli</t>
  </si>
  <si>
    <t>Rice | S. maritimus, M.vaginalis, C. difformis, E. crasgalli | 125 gm/ha</t>
  </si>
  <si>
    <t>Pyril 10WP</t>
  </si>
  <si>
    <t>AP-5210</t>
  </si>
  <si>
    <t>Racker 10WP</t>
  </si>
  <si>
    <t>AP-5835</t>
  </si>
  <si>
    <t>Rice | S. maritimus, M.vaginalis, C. difformis | 150 gm/ha</t>
  </si>
  <si>
    <t>Seed Pyrazo 10WP</t>
  </si>
  <si>
    <t>AP-6132</t>
  </si>
  <si>
    <t>Rice | S. maritimus, M.vaginalis, C. difformis, E. crasgalli | 125 g/ha</t>
  </si>
  <si>
    <t>Freshfield 10WP</t>
  </si>
  <si>
    <t>AP-6133</t>
  </si>
  <si>
    <t>Standard Crop Care Bangladesh</t>
  </si>
  <si>
    <t>Pyrazosulfuron Ethyl (0.6%) + Pretilachlor (34.4%) (1% + 19%)</t>
  </si>
  <si>
    <t>Cleanser 35WP</t>
  </si>
  <si>
    <t>AP-3168</t>
  </si>
  <si>
    <t>Rice | S. maritimus, M.vaginalis, C. difformis | 800 gm/ha</t>
  </si>
  <si>
    <t>Pop Gold 35 WP</t>
  </si>
  <si>
    <t>AP-3169</t>
  </si>
  <si>
    <t>S. maritimus, E. crus-galli, M.vaginalis, S. zeylanica</t>
  </si>
  <si>
    <t>Rice | S. maritimus, E. crus-galli, M.vaginalis, S. zeylanica | 800 gm/ha</t>
  </si>
  <si>
    <t>Tyraz Plus 35WP</t>
  </si>
  <si>
    <t>AP-3661</t>
  </si>
  <si>
    <t>E. crus-galli, C. difformis, M.vaginalis, S. nouchali</t>
  </si>
  <si>
    <t>Rice | E. crus-galli, C. difformis, M.vaginalis, S. nouchali | 800 gm/ha</t>
  </si>
  <si>
    <t>Basai 35WP</t>
  </si>
  <si>
    <t>AP-3662</t>
  </si>
  <si>
    <t>E. crus-galli, C. difformis, M.vaginalis, S. zeylanica, N. nouchali</t>
  </si>
  <si>
    <t>Rice | E. crus-galli, C. difformis, M.vaginalis, S. zeylanica, N. nouchali | 800 gm/ha</t>
  </si>
  <si>
    <t>Fasal Super 35WP</t>
  </si>
  <si>
    <t>AP-3945</t>
  </si>
  <si>
    <t>M. vaginali, S.juncoides, S.zeylanica, C.difformis</t>
  </si>
  <si>
    <t>Rice | M. vaginali, S.juncoides, S.zeylanica, C.difformis | 800 gm/ha</t>
  </si>
  <si>
    <t>Xper 35WP</t>
  </si>
  <si>
    <t>AP-3946</t>
  </si>
  <si>
    <t>Eminence Chemicals Industries Ltd</t>
  </si>
  <si>
    <t>Moharaj 35WP</t>
  </si>
  <si>
    <t>AP-4399</t>
  </si>
  <si>
    <t>Rice | M. vaginalis, S. maritimus | 800 gm/ha</t>
  </si>
  <si>
    <t>Abolish 20WP</t>
  </si>
  <si>
    <t>AP-4400</t>
  </si>
  <si>
    <t>Pychlor 35WP</t>
  </si>
  <si>
    <t>AP-4401</t>
  </si>
  <si>
    <t>S. maritimus</t>
  </si>
  <si>
    <t>Rice | S. maritimus | 800 gm/ha</t>
  </si>
  <si>
    <t>Kaste 35WP</t>
  </si>
  <si>
    <t>AP-4402</t>
  </si>
  <si>
    <t>E. crus-galli, M. vaginalis, C. difformis</t>
  </si>
  <si>
    <t>Rice | E. crus-galli, M. vaginalis, C. difformis | 800 gm/ha</t>
  </si>
  <si>
    <t>Pylac 35WP</t>
  </si>
  <si>
    <t>AP-4403</t>
  </si>
  <si>
    <t>E. crus-galli, M. vaginalis, C. difformis, S. maritimus</t>
  </si>
  <si>
    <t>Rice | E. crus-galli, M. vaginalis, C. difformis, S. maritimus | 800 gm/ha</t>
  </si>
  <si>
    <t>Vim chlor 35WP</t>
  </si>
  <si>
    <t>AP-4406</t>
  </si>
  <si>
    <t>Milestone 35WP</t>
  </si>
  <si>
    <t>AP-4407</t>
  </si>
  <si>
    <t>Escape 35WP</t>
  </si>
  <si>
    <t>AP-4844</t>
  </si>
  <si>
    <t>E. crus-galli, M. vaginalis, C. difformis,</t>
  </si>
  <si>
    <t>Rice | E. crus-galli, M. vaginalis, C. difformis, | 800 gm/ha</t>
  </si>
  <si>
    <t>(34.40%+0/60%)</t>
  </si>
  <si>
    <t>Agacha Clean 35WP</t>
  </si>
  <si>
    <t>AP-4845</t>
  </si>
  <si>
    <t>Oschlor 35WP</t>
  </si>
  <si>
    <t>AP-5211</t>
  </si>
  <si>
    <t>E. crus-galli,, C. difformis, S. maritimus</t>
  </si>
  <si>
    <t>Rice | E. crus-galli,, C. difformis, S. maritimus | 800 gm/ha</t>
  </si>
  <si>
    <t>(14.5%+1.5%)</t>
  </si>
  <si>
    <t>Storite 16.5GG</t>
  </si>
  <si>
    <t>AP-5212</t>
  </si>
  <si>
    <t>(0.15% + 6.00%) (14.5%+1.5%)</t>
  </si>
  <si>
    <t>Eros 6.15GR</t>
  </si>
  <si>
    <t>AP-5470</t>
  </si>
  <si>
    <t xml:space="preserve"> (30%+0.75%) (34.40%+0.60%) (14.5%+1.5%)</t>
  </si>
  <si>
    <t>Turup 16WG</t>
  </si>
  <si>
    <t>AP-5836</t>
  </si>
  <si>
    <t>650 gm/ha</t>
  </si>
  <si>
    <t>Rice | E. crus-galli, M. vaginalis, C. difformis, S. maritimus | 650 gm/ha</t>
  </si>
  <si>
    <t>Eros Gold 30.75DF</t>
  </si>
  <si>
    <t>AP-5837</t>
  </si>
  <si>
    <t>L-Pyrazo Plus 35WP</t>
  </si>
  <si>
    <t>AP-5840</t>
  </si>
  <si>
    <t>600 gm</t>
  </si>
  <si>
    <t>Rice | E. crus-galli, M. vaginalis, C. difformis, S. maritimus | 600 gm</t>
  </si>
  <si>
    <t>Jiji 16G</t>
  </si>
  <si>
    <t>AP-6134</t>
  </si>
  <si>
    <t>E. crus-galli, M. vaginalis, C. difformis, S. maritimus, C.colonum, E.crusgalli</t>
  </si>
  <si>
    <t>.50 Kg/ha; 3.0 Kg/ha</t>
  </si>
  <si>
    <t>Rice | E. crus-galli, M. vaginalis, C. difformis, S. maritimus | .50 Kg/ha
Jute | C.colonum, E.crusgalli | 3.0 Kg/ha</t>
  </si>
  <si>
    <t>Pretilachlor (50%) + Triasulfuron (2%)</t>
  </si>
  <si>
    <t>Telone 52WP</t>
  </si>
  <si>
    <t>AP-4426</t>
  </si>
  <si>
    <t>Rice | E. crus-galli, M. vaginalis, C. difformis, S. maritimus | 750 gm/ha</t>
  </si>
  <si>
    <t>Super Wash 52WP</t>
  </si>
  <si>
    <t>AP-5472</t>
  </si>
  <si>
    <t>Pyrazosulfuron Ethyl (34.4%) + Pretilachlor (0.6%)</t>
  </si>
  <si>
    <t>Game 35WP</t>
  </si>
  <si>
    <t>AP-5473</t>
  </si>
  <si>
    <t>E. crus-galli, N. nouchali, M.vaginalis, C. difformis</t>
  </si>
  <si>
    <t>Rice | E. crus-galli, N. nouchali, M.vaginalis, C. difformis | 800 gm/ha</t>
  </si>
  <si>
    <t>Pyrazosulfuran-ethyl (3%) + Quinclorac (47%)</t>
  </si>
  <si>
    <t>Petal 50WP</t>
  </si>
  <si>
    <t>AP-3688</t>
  </si>
  <si>
    <t>E.crus-galli, M.vaginalis, C.difformis</t>
  </si>
  <si>
    <t>Rice | E.crus-galli, M.vaginalis, C.difformis | 600 gm/ha</t>
  </si>
  <si>
    <t>Quizalofop-p-Ethyl</t>
  </si>
  <si>
    <t>Weednil 5EC</t>
  </si>
  <si>
    <t>AP-2571</t>
  </si>
  <si>
    <t>E.colonum, D.canguinals, P.distichum</t>
  </si>
  <si>
    <t>Jute | E.colonum, D.canguinals, P.distichum | 650 ml/ha</t>
  </si>
  <si>
    <t>Tyzalo Super 5EC</t>
  </si>
  <si>
    <t>AP-2572</t>
  </si>
  <si>
    <t>E.colonum, D.sanguinals</t>
  </si>
  <si>
    <t>Jute | E.colonum, D.sanguinals | 650 ml/ha</t>
  </si>
  <si>
    <t>Patex 5EC</t>
  </si>
  <si>
    <t>AP-2573</t>
  </si>
  <si>
    <t>Pull 5EC</t>
  </si>
  <si>
    <t>AP-2816</t>
  </si>
  <si>
    <t>Jute, Mustard</t>
  </si>
  <si>
    <t>E.colonum, Durba Gaghra</t>
  </si>
  <si>
    <t>650 ml/ha; 250 ml/ha</t>
  </si>
  <si>
    <t>Jute | E.colonum | 650 ml/ha
Mustard | Durba Gaghra | 250 ml/ha</t>
  </si>
  <si>
    <t>Quilop 5EC</t>
  </si>
  <si>
    <t>AP-3195</t>
  </si>
  <si>
    <t>Party-Fop 5EC</t>
  </si>
  <si>
    <t>AP-3196</t>
  </si>
  <si>
    <t>E.colonum</t>
  </si>
  <si>
    <t>Jute | E.colonum | 650 ml/ha</t>
  </si>
  <si>
    <t>Opera 5EC</t>
  </si>
  <si>
    <t>AP-3197</t>
  </si>
  <si>
    <t>Sanzola 5EC</t>
  </si>
  <si>
    <t>AP-3198</t>
  </si>
  <si>
    <t>Juteox 5EC</t>
  </si>
  <si>
    <t>AP-3199</t>
  </si>
  <si>
    <t>E.colonum, P.distichum, D.sanguinals, C.rotundus</t>
  </si>
  <si>
    <t>Jute | E.colonum, P.distichum, D.sanguinals, C.rotundus | 650 ml/ha</t>
  </si>
  <si>
    <t>Quizal 5EC</t>
  </si>
  <si>
    <t>AP-3658</t>
  </si>
  <si>
    <t>E.colonum,, D.sanguinals,</t>
  </si>
  <si>
    <t>Jute | E.colonum,, D.sanguinals, | 650 ml/ha</t>
  </si>
  <si>
    <t>Jojo 5EC</t>
  </si>
  <si>
    <t>AP-3659</t>
  </si>
  <si>
    <t>Rexifop 5EC</t>
  </si>
  <si>
    <t>AP-3660</t>
  </si>
  <si>
    <t>I. cylindrica, C. rotundus, B. hispida, M.pudica</t>
  </si>
  <si>
    <t>2.5 L/ha</t>
  </si>
  <si>
    <t>Tea | I. cylindrica, C. rotundus, B. hispida, M.pudica | 2.5 L/ha</t>
  </si>
  <si>
    <t>Bikash 5EC</t>
  </si>
  <si>
    <t>AP-4155</t>
  </si>
  <si>
    <t>Tea | B. hispida, I. cylindrica | 2.5 L/ha</t>
  </si>
  <si>
    <t>G-Clean 5EC</t>
  </si>
  <si>
    <t>AP-4326</t>
  </si>
  <si>
    <t>C. rotundus, E.indica, E.colonum,, D.sanguinals,</t>
  </si>
  <si>
    <t>2.5 L/ha; 650 ml/ha</t>
  </si>
  <si>
    <t>Tea | C. rotundus, E.indica | 2.5 L/ha
Jute | E.colonum,, D.sanguinals, | 650 ml/ha</t>
  </si>
  <si>
    <t>Samfop 5EC</t>
  </si>
  <si>
    <t>AP-4327</t>
  </si>
  <si>
    <t>Digitaria spp, E colonun, E.indica, P. distichum, C. rotundus</t>
  </si>
  <si>
    <t>Potato | Digitaria spp, E colonun, E.indica, P. distichum, C. rotundus | 2.5 L/ha</t>
  </si>
  <si>
    <t>Quell 8.8EC</t>
  </si>
  <si>
    <t>AP-4328</t>
  </si>
  <si>
    <t>Potato, Jute</t>
  </si>
  <si>
    <t>C. album, C. rotundus, E. futuans, E. crusgalli, E. colonum, D. songuinalis</t>
  </si>
  <si>
    <t>2.5 L/ha; 400 ml/ha</t>
  </si>
  <si>
    <t>Potato | C. album, C. rotundus, E. futuans, E. crusgalli | 2.5 L/ha
Jute | E. colonum, D. songuinalis | 400 ml/ha</t>
  </si>
  <si>
    <t>Forquick 5EC</t>
  </si>
  <si>
    <t>AP-4857</t>
  </si>
  <si>
    <t>I. cylindrica,, B. hispida,, E. colonum, D. songuinalis</t>
  </si>
  <si>
    <t>2.50 L/ha; 650 ml/ha</t>
  </si>
  <si>
    <t>Tea | I. cylindrica,, B. hispida, | 2.50 L/ha
Jute | E. colonum, D. songuinalis | 650 ml/ha</t>
  </si>
  <si>
    <t>Sonat 5EC</t>
  </si>
  <si>
    <t>AP-4858</t>
  </si>
  <si>
    <t>M-Qiuz 5EC</t>
  </si>
  <si>
    <t>AP-4859</t>
  </si>
  <si>
    <t>Sunwell 5EC</t>
  </si>
  <si>
    <t>AP-4861</t>
  </si>
  <si>
    <t>Mostop 5EC</t>
  </si>
  <si>
    <t>AP-5117</t>
  </si>
  <si>
    <t>E. crasgalli, C. rotundus, G. offine</t>
  </si>
  <si>
    <t>Brinjal | E. crasgalli, C. rotundus, G. offine | 650 ml/ha</t>
  </si>
  <si>
    <t>Susten 5EC</t>
  </si>
  <si>
    <t>AP-5119</t>
  </si>
  <si>
    <t>Targa Super 5EC</t>
  </si>
  <si>
    <t>AP-5120</t>
  </si>
  <si>
    <t>Dhanuka Agri Solution Pvt. Ltd.</t>
  </si>
  <si>
    <t>Eastclean 5EC</t>
  </si>
  <si>
    <t>AP-5121</t>
  </si>
  <si>
    <t>Sunbil 5EC</t>
  </si>
  <si>
    <t>AP-5122</t>
  </si>
  <si>
    <t>C. album, G. offine</t>
  </si>
  <si>
    <t>Onion | C. album, G. offine | 800 ml/ha</t>
  </si>
  <si>
    <t>Quifos 5EC</t>
  </si>
  <si>
    <t>AP-5480</t>
  </si>
  <si>
    <t>Raven Fertilizer Limited</t>
  </si>
  <si>
    <t>I. cylindrica,, B. hispida,, E. colonum,, D. songuinalis</t>
  </si>
  <si>
    <t>Tea | I. cylindrica,, B. hispida, | 2.50 L/ha
Jute | E. colonum,, D. songuinalis | 650 ml/ha</t>
  </si>
  <si>
    <t>Limon Super 5EC</t>
  </si>
  <si>
    <t>AP-5482</t>
  </si>
  <si>
    <t>C. album, C. rotundus, E.colonum,, D.sanguinals,</t>
  </si>
  <si>
    <t>250 ml/ha; 650 ml/ha</t>
  </si>
  <si>
    <t>Potato | C. album, C. rotundus | 250 ml/ha
Jute | E.colonum,, D.sanguinals, | 650 ml/ha</t>
  </si>
  <si>
    <t>Pazuizel 5EC</t>
  </si>
  <si>
    <t>AP-5639</t>
  </si>
  <si>
    <t>E. colonum,, D. songuinalis</t>
  </si>
  <si>
    <t>Jute | E. colonum,, D. songuinalis | 650 ml/ha</t>
  </si>
  <si>
    <t>Sonalisawpnoo 5EC</t>
  </si>
  <si>
    <t>AP-5640</t>
  </si>
  <si>
    <t>Rajtop 8.8EC</t>
  </si>
  <si>
    <t>AP-5641</t>
  </si>
  <si>
    <t>Hit Killer 5EC</t>
  </si>
  <si>
    <t>AP-5642</t>
  </si>
  <si>
    <t>Rice | E. crus-galli, S. maritums, C. difformis, M. vaginalis | 750 ml/ha</t>
  </si>
  <si>
    <t>Gallery 5EC</t>
  </si>
  <si>
    <t>AP-5643</t>
  </si>
  <si>
    <t>Green Quiz 5EC</t>
  </si>
  <si>
    <t>AP-5644</t>
  </si>
  <si>
    <t>G-Break 5EC</t>
  </si>
  <si>
    <t>AP-5825</t>
  </si>
  <si>
    <t>C. album, E.crusgalli, C. rotundus, E.colonum,, D.sanguinals,</t>
  </si>
  <si>
    <t>Potato | C. album, E.crusgalli, C. rotundus | 2.50 L/ha
Jute | E.colonum,, D.sanguinals, | 650 ml/ha</t>
  </si>
  <si>
    <t>Fops 5EC</t>
  </si>
  <si>
    <t>AP-5826</t>
  </si>
  <si>
    <t>Potato | E.colonum,, D.sanguinals, | 2.50 L/ha</t>
  </si>
  <si>
    <t>Unisuper 5EC</t>
  </si>
  <si>
    <t>AP-5827</t>
  </si>
  <si>
    <t>Lotus 8.8EC</t>
  </si>
  <si>
    <t>AP-5828</t>
  </si>
  <si>
    <t>Right Super 8.8EC</t>
  </si>
  <si>
    <t>AP-5829</t>
  </si>
  <si>
    <t>Filton 5EC</t>
  </si>
  <si>
    <t>AP-5830</t>
  </si>
  <si>
    <t>Miami 5EC</t>
  </si>
  <si>
    <t>AP-5831</t>
  </si>
  <si>
    <t>Dara 15EC</t>
  </si>
  <si>
    <t>AP-5832</t>
  </si>
  <si>
    <t>Cotton | E. colonum,, D. songuinalis | 500 ml/ha</t>
  </si>
  <si>
    <t>Quipet 20EC</t>
  </si>
  <si>
    <t>AP-5833</t>
  </si>
  <si>
    <t>190 ml/ha</t>
  </si>
  <si>
    <t>Onion | C. album | 190 ml/ha</t>
  </si>
  <si>
    <t>Hakama 5EC</t>
  </si>
  <si>
    <t>AP-6074</t>
  </si>
  <si>
    <t>Cotton | E. colonum,, D. songuinalis | 1.0 L/ha</t>
  </si>
  <si>
    <t>Nikkty 8.8EC</t>
  </si>
  <si>
    <t>AP-6075</t>
  </si>
  <si>
    <t>E.crusgalli, C.album, C.dactylon, E.fluctuans</t>
  </si>
  <si>
    <t>Potato | E.crusgalli, C.album, C.dactylon, E.fluctuans | 500 ml/ha</t>
  </si>
  <si>
    <t>Qusaar 5EC</t>
  </si>
  <si>
    <t>AP-6076</t>
  </si>
  <si>
    <t>2.50 ml/ha</t>
  </si>
  <si>
    <t>Potato | E.crusgalli, C.album, C.dactylon, E.fluctuans | 2.50 ml/ha</t>
  </si>
  <si>
    <t>Mapquiz 5EC</t>
  </si>
  <si>
    <t>AP-6077</t>
  </si>
  <si>
    <t>V.hirsuta, V.sativa, C.album</t>
  </si>
  <si>
    <t>Mustard | V.hirsuta, V.sativa, C.album | 250 ml/ha</t>
  </si>
  <si>
    <t>Grass Off 15EC</t>
  </si>
  <si>
    <t>AP-6078</t>
  </si>
  <si>
    <t>E. colonum, E crusgalli</t>
  </si>
  <si>
    <t>Jute | E. colonum, E crusgalli | 650 ml/ha</t>
  </si>
  <si>
    <t>Quizalofop-p-ethyl (5%) + Ethoxysulfuron (15%)</t>
  </si>
  <si>
    <t>Factor 20WDG</t>
  </si>
  <si>
    <t>AP-5824</t>
  </si>
  <si>
    <t>B. hispida, L.cylindrica, C.rotundus, E.colonum, D.sangunals</t>
  </si>
  <si>
    <t>400 gm/ha; 250 gm/ha</t>
  </si>
  <si>
    <t>Cotton | B. hispida, L.cylindrica | 400 gm/ha
Jute | C.rotundus, E.colonum, D.sangunals | 250 gm/ha</t>
  </si>
  <si>
    <t>Sama 20WDG</t>
  </si>
  <si>
    <t>AP-6135</t>
  </si>
  <si>
    <t>Ad. Agro</t>
  </si>
  <si>
    <t>C.rotundus, D.sangunals</t>
  </si>
  <si>
    <t>Jute | C.rotundus, D.sangunals | 250 g/ha</t>
  </si>
  <si>
    <t>Metsulfuron methyl (20%)</t>
  </si>
  <si>
    <t>Joankana 20WP</t>
  </si>
  <si>
    <t>AP-5468</t>
  </si>
  <si>
    <t>C.rotundus</t>
  </si>
  <si>
    <t>0.5 gm/L of water</t>
  </si>
  <si>
    <t>Banana | C.rotundus | 0.5 gm/L of water</t>
  </si>
  <si>
    <t>Jump 20WDG</t>
  </si>
  <si>
    <t>AP-5467</t>
  </si>
  <si>
    <t>C. dactylon, E. crus-galli</t>
  </si>
  <si>
    <t>Rice | C. dactylon, E. crus-galli | 80 gm/ha</t>
  </si>
  <si>
    <t>Metsulfuron methyl (10%) + Chlorimuron ethyl (10%)</t>
  </si>
  <si>
    <t>Almix 20WP</t>
  </si>
  <si>
    <t>AP-4842</t>
  </si>
  <si>
    <t>C. difformis, S. maritimus, M.vaginals, E.crus-galli</t>
  </si>
  <si>
    <t>20 gm/ha</t>
  </si>
  <si>
    <t>Rice | C. difformis, S. maritimus, M.vaginals, E.crus-galli | 20 gm/ha</t>
  </si>
  <si>
    <t>Mesuron 20WP</t>
  </si>
  <si>
    <t>AP-5225</t>
  </si>
  <si>
    <t>Somadhan 20WP</t>
  </si>
  <si>
    <t>AP-5861</t>
  </si>
  <si>
    <t>C. difformis,, S. maritimus</t>
  </si>
  <si>
    <t>Rice | C. difformis,, S. maritimus | 20 gm/ha</t>
  </si>
  <si>
    <t>Farmclean 20WP</t>
  </si>
  <si>
    <t>AP-5862</t>
  </si>
  <si>
    <t>S. maritimus, M.vaginals</t>
  </si>
  <si>
    <t>Rice | S. maritimus, M.vaginals | 20 gm/ha</t>
  </si>
  <si>
    <t>Tymix 20WP</t>
  </si>
  <si>
    <t>AP-6129</t>
  </si>
  <si>
    <t>20 g/ha</t>
  </si>
  <si>
    <t>Rice | C. difformis, S. maritimus, M.vaginals, E.crus-galli | 20 g/ha</t>
  </si>
  <si>
    <t>Gacha 20WP</t>
  </si>
  <si>
    <t>AP-6130</t>
  </si>
  <si>
    <t>Amitrole 20WP</t>
  </si>
  <si>
    <t>AP-6131</t>
  </si>
  <si>
    <t>Metolachlor ( 16%) + Bensulfuron methyl ( 4%)</t>
  </si>
  <si>
    <t>Destroy 20GR</t>
  </si>
  <si>
    <t>AP-4843</t>
  </si>
  <si>
    <t>190 gm/ha</t>
  </si>
  <si>
    <t>Rice | C. difformis, S. maritimus, M.vaginals, E.crus-galli | 190 gm/ha</t>
  </si>
  <si>
    <t>Sulfentrazone</t>
  </si>
  <si>
    <t>Authority 48SC</t>
  </si>
  <si>
    <t>AP-4760</t>
  </si>
  <si>
    <t>Soyabean, Sugarcane, Rice</t>
  </si>
  <si>
    <t>E. fluctuans, C.rotundus, C.dactylon, E.crus-galli, P.distichum, Broad Leaf and Sadges, C. difformis, S. maritimus, M.vaginals, E.crus-galli</t>
  </si>
  <si>
    <t>550 ml/ha; 1.04 L/ha; 200 ml/ha</t>
  </si>
  <si>
    <t>Soyabean | E. fluctuans, C.rotundus, C.dactylon, E.crus-galli, P.distichum | 550 ml/ha
Sugarcane | Broad Leaf and Sadges | 1.04 L/ha
Rice | C. difformis, S. maritimus, M.vaginals, E.crus-galli | 200 ml/ha</t>
  </si>
  <si>
    <t>Quizalofop-p-tefuryl</t>
  </si>
  <si>
    <t>Pantara 4.41EC</t>
  </si>
  <si>
    <t>AP-3261</t>
  </si>
  <si>
    <t>I.cylindrica, C.colonum, P.distichum,D.sanguinals</t>
  </si>
  <si>
    <t>11.25 L/ha; 750 ml/ha</t>
  </si>
  <si>
    <t>Tea | I.cylindrica | 11.25 L/ha
Jute | C.colonum, P.distichum,D.sanguinals | 750 ml/ha</t>
  </si>
  <si>
    <t>Triasulfuron</t>
  </si>
  <si>
    <t>Logran 75WG</t>
  </si>
  <si>
    <t>AP-1451</t>
  </si>
  <si>
    <t>C. difformis, E. fluctuans, M.vaginals, I. adscendens, R. scleratus, S. zeylanica, E. crus-galli, A.sessilis,M. Minuta</t>
  </si>
  <si>
    <t>10 gm/ha</t>
  </si>
  <si>
    <t>Rice | C. difformis, E. fluctuans, M.vaginals, I. adscendens, R. scleratus, S. zeylanica, E. crus-galli, A.sessilis,M. Minuta | 10 gm/ha</t>
  </si>
  <si>
    <t>Bensulfuron (1.1%) + Metsulfuron (0.2%) + Acetachlor (14.7%)</t>
  </si>
  <si>
    <t>I-wash 16WP</t>
  </si>
  <si>
    <t>AP-5224</t>
  </si>
  <si>
    <t>M. vaginalis, S. maritimus,</t>
  </si>
  <si>
    <t>Rice | M. vaginalis, S. maritimus, | 90 gm/ha</t>
  </si>
  <si>
    <t>Triafamone (20%)</t>
  </si>
  <si>
    <t>Council Prime 20SC</t>
  </si>
  <si>
    <t>AP-5220</t>
  </si>
  <si>
    <t>E. crus-galli, M. Minuta, S. maritimus, C. difformis</t>
  </si>
  <si>
    <t>Rice | E. crus-galli, M. Minuta, S. maritimus, C. difformis | 150 ml/ha</t>
  </si>
  <si>
    <t>Glufosinate Ammonium (20%) (28% (30%</t>
  </si>
  <si>
    <t>Fascinate 20SL</t>
  </si>
  <si>
    <t>AP-5147</t>
  </si>
  <si>
    <t>Tea | B. hispida, L.cylindrica | 3.00 L/ha</t>
  </si>
  <si>
    <t>Lifeline 28SL</t>
  </si>
  <si>
    <t>AP-5484</t>
  </si>
  <si>
    <t>Valex 30SL</t>
  </si>
  <si>
    <t>AP-5811</t>
  </si>
  <si>
    <t>(30%</t>
  </si>
  <si>
    <t>Biocosinate 30SL</t>
  </si>
  <si>
    <t>AP-5812</t>
  </si>
  <si>
    <t>2,4-Dichlorophenoxyacetic Acid</t>
  </si>
  <si>
    <t>Amily 48SL</t>
  </si>
  <si>
    <t>AP-5455</t>
  </si>
  <si>
    <t>C. album, A. spinosus, E. crus-galli, M. Minuta, S. maritimus, C. difformis</t>
  </si>
  <si>
    <t>2.00 L/ha; 2.0 L/ha</t>
  </si>
  <si>
    <t>Wheat | C. album, A. spinosus | 2.00 L/ha
Rice | E. crus-galli, M. Minuta, S. maritimus, C. difformis | 2.0 L/ha</t>
  </si>
  <si>
    <t>Pyriftalid (36.60%) + Bensulfuron methyl (18.48%)</t>
  </si>
  <si>
    <t>Apiro Fort 55.08SC</t>
  </si>
  <si>
    <t>AP-5479</t>
  </si>
  <si>
    <t>C. dactylon, E. crus-galli, M. vaginalis, S. maritimus, C. difformis</t>
  </si>
  <si>
    <t>Rice | C. dactylon, E. crus-galli, M. vaginalis, S. maritimus, C. difformis | 375 ml/ha</t>
  </si>
  <si>
    <t>Bentazone (48%)</t>
  </si>
  <si>
    <t>Lucid 48SL</t>
  </si>
  <si>
    <t>AP-5247</t>
  </si>
  <si>
    <t>C. irria , C. benghalensis, E. Crus-galli C. rotundus,, A. Album, G. offine</t>
  </si>
  <si>
    <t>Onion | C. irria , C. benghalensis, E. Crus-galli C. rotundus,, A. Album, G. offine | 3.00 L/ha</t>
  </si>
  <si>
    <t>HRAC C3</t>
  </si>
  <si>
    <t>Benzon 48SL</t>
  </si>
  <si>
    <t>AP-6144</t>
  </si>
  <si>
    <t>E. Crus-galli C. album, G. offine</t>
  </si>
  <si>
    <t>9 ml/L of water</t>
  </si>
  <si>
    <t>Onion | E. Crus-galli C. album, G. offine | 9 ml/L of water</t>
  </si>
  <si>
    <t>Sashroyee 48SL</t>
  </si>
  <si>
    <t>AP-6145</t>
  </si>
  <si>
    <t>B. hispida, M.pudica,C.viscosum, E. crus-galli, C. difformis, M. vaginalis, S. maritimus</t>
  </si>
  <si>
    <t>2.80 L/ha; 3.50 L/Ha</t>
  </si>
  <si>
    <t>Tea | B. hispida, M.pudica,C.viscosum | 2.80 L/ha
Rice | E. crus-galli, C. difformis, M. vaginalis, S. maritimus | 3.50 L/Ha</t>
  </si>
  <si>
    <t>Quinclorac ( 50%) + Fenoxaprop-p-ethyl (13%) + Pyrazosulfuran ethyl (7%)</t>
  </si>
  <si>
    <t>Upgrade 70WP</t>
  </si>
  <si>
    <t>AP-5257</t>
  </si>
  <si>
    <t>185 gm/ha</t>
  </si>
  <si>
    <t>Rice | C. dactylon, E. crus-galli, M. vaginalis, S. maritimus, C. difformis | 185 gm/ha</t>
  </si>
  <si>
    <t>Bicosaf 70WP</t>
  </si>
  <si>
    <t>AP-5660</t>
  </si>
  <si>
    <t>E. crus-galli, M. vaginalis, S. maritimus</t>
  </si>
  <si>
    <t>175 gm/ha</t>
  </si>
  <si>
    <t>Rice | E. crus-galli, M. vaginalis, S. maritimus | 175 gm/ha</t>
  </si>
  <si>
    <t>MCPA (10%) + Ametryn (30%) Diuron (15%)</t>
  </si>
  <si>
    <t>Riteup 55WP</t>
  </si>
  <si>
    <t>AP-5661</t>
  </si>
  <si>
    <t>2.25 Kg/ha</t>
  </si>
  <si>
    <t>Tea | B. hispida, L.cylindrica | 2.25 Kg/ha</t>
  </si>
  <si>
    <t>Bensulfuron methyl (2%) Pretilachlor (28%)</t>
  </si>
  <si>
    <t>Matali 30 OD</t>
  </si>
  <si>
    <t>AP-6146</t>
  </si>
  <si>
    <t>Raven Agro chemicals Limited</t>
  </si>
  <si>
    <t>C. difformis, M. vaginalis, S. maritimus</t>
  </si>
  <si>
    <t>9.0 Kg/ha</t>
  </si>
  <si>
    <t>Rice | C. difformis, M. vaginalis, S. maritimus | 9.0 Kg/ha</t>
  </si>
  <si>
    <t>Penoxsulam (1.5%) Pretilachlor (38.5%)</t>
  </si>
  <si>
    <t>Nazif 40SE</t>
  </si>
  <si>
    <t>AP-6147</t>
  </si>
  <si>
    <t>C. difformis, M.vaginLIs, M. vaginalis, S. maritimus, E. colonum, D. sanguinalis</t>
  </si>
  <si>
    <t>2.0 L/ha; 2.0 Kg/ha</t>
  </si>
  <si>
    <t>Rice | C. difformis, M.vaginLIs, M. vaginalis, S. maritimus | 2.0 L/ha
Jute | E. colonum, D. sanguinalis | 2.0 Kg/ha</t>
  </si>
  <si>
    <t>Fenoxaprop-p-ethyl (7%) + Bensulfuron (15%)</t>
  </si>
  <si>
    <t>Crasher 22WP</t>
  </si>
  <si>
    <t>AP-6148</t>
  </si>
  <si>
    <t>C. difformis, M.vaginLIs, M. vaginalis, S. maritimus</t>
  </si>
  <si>
    <t>- | C. difformis, M.vaginLIs, M. vaginalis, S. maritimus | 2.0 Kg/ha</t>
  </si>
  <si>
    <t>Rimsulfuron (2.5%) Quizalofop-p-ethyl (8.50%)</t>
  </si>
  <si>
    <t>Xilian 11 OD</t>
  </si>
  <si>
    <t>AP-6149</t>
  </si>
  <si>
    <t>E.crusgalli, C. album, C.rotundus, E. fluctuans</t>
  </si>
  <si>
    <t>Potato | E.crusgalli, C. album, C.rotundus, E. fluctuans | 2.25 L/ha</t>
  </si>
  <si>
    <t>Topramezone (33.60%)</t>
  </si>
  <si>
    <t>Clio 33.60SC</t>
  </si>
  <si>
    <t>AP-5868</t>
  </si>
  <si>
    <t>C.album, D. songuinalis,E.indica, E.crussgalli, Amaranthus spp</t>
  </si>
  <si>
    <t>75 ml/ha</t>
  </si>
  <si>
    <t>Maize | C.album, D. songuinalis,E.indica, E.crussgalli, Amaranthus spp | 75 ml/ha</t>
  </si>
  <si>
    <t>HRAC H</t>
  </si>
  <si>
    <t>Registered Store Grain Insecticide Products — up to 81st PTAC Meeting</t>
  </si>
  <si>
    <t>Aluminium Phosphide</t>
  </si>
  <si>
    <t>Agriphos 57%</t>
  </si>
  <si>
    <t>AP-174</t>
  </si>
  <si>
    <t>Stored grain pest in Rice</t>
  </si>
  <si>
    <t>Red grain bettle</t>
  </si>
  <si>
    <t>4 tables/1000 kg</t>
  </si>
  <si>
    <t>Stored grain pest in Rice | Red grain bettle | 4 tables/1000 kg</t>
  </si>
  <si>
    <t>IRAC 24A</t>
  </si>
  <si>
    <t>Alumphos 56%</t>
  </si>
  <si>
    <t>AP-253</t>
  </si>
  <si>
    <t>Quck-Fume</t>
  </si>
  <si>
    <t>AP-254</t>
  </si>
  <si>
    <t>Fumitox 56%</t>
  </si>
  <si>
    <t>AP-530</t>
  </si>
  <si>
    <t>Al-cor 56%</t>
  </si>
  <si>
    <t>AP-661</t>
  </si>
  <si>
    <t>Gilphos 56%</t>
  </si>
  <si>
    <t>AP-662</t>
  </si>
  <si>
    <t>Sanphos 56%</t>
  </si>
  <si>
    <t>AP-663</t>
  </si>
  <si>
    <t>Fumiphos 56%</t>
  </si>
  <si>
    <t>AP-738</t>
  </si>
  <si>
    <t>Tinder 56%</t>
  </si>
  <si>
    <t>AP-904</t>
  </si>
  <si>
    <t>Green Fune 56%</t>
  </si>
  <si>
    <t>AP-905</t>
  </si>
  <si>
    <t>Alphos 56%</t>
  </si>
  <si>
    <t>AP-908</t>
  </si>
  <si>
    <t>Quick balm 56%</t>
  </si>
  <si>
    <t>AP-910</t>
  </si>
  <si>
    <t>Hayphos 57%</t>
  </si>
  <si>
    <t>AP-913</t>
  </si>
  <si>
    <t>Saratox 56%</t>
  </si>
  <si>
    <t>AP-1144</t>
  </si>
  <si>
    <t>Gastap 56%</t>
  </si>
  <si>
    <t>AP-1155</t>
  </si>
  <si>
    <t>Phostab 57%</t>
  </si>
  <si>
    <t>AP-1307</t>
  </si>
  <si>
    <t>Lock 57%</t>
  </si>
  <si>
    <t>AP-1561</t>
  </si>
  <si>
    <t>Tribolium, Rhizopertha, Sitophilus</t>
  </si>
  <si>
    <t>Stored grain pest in Rice | Tribolium, Rhizopertha, Sitophilus | 4 tables/1000 kg</t>
  </si>
  <si>
    <t>Melphos 57%</t>
  </si>
  <si>
    <t>AP-1562</t>
  </si>
  <si>
    <t>Weevilcide</t>
  </si>
  <si>
    <t>AP-1563</t>
  </si>
  <si>
    <t>Sinophos 57%</t>
  </si>
  <si>
    <t>AP-1581</t>
  </si>
  <si>
    <t>Raj-Fume 56%</t>
  </si>
  <si>
    <t>AP-1679</t>
  </si>
  <si>
    <t>Trust Phos 56%</t>
  </si>
  <si>
    <t>AP-1759</t>
  </si>
  <si>
    <t>Map Napum 56%</t>
  </si>
  <si>
    <t>AP-1760</t>
  </si>
  <si>
    <t>I-Phos 56%</t>
  </si>
  <si>
    <t>AP-1761</t>
  </si>
  <si>
    <t>Get Phos 56&amp;</t>
  </si>
  <si>
    <t>AP-2085</t>
  </si>
  <si>
    <t>Evatox 56%</t>
  </si>
  <si>
    <t>AP-2086</t>
  </si>
  <si>
    <t>Fumi 57%</t>
  </si>
  <si>
    <t>AP-2087</t>
  </si>
  <si>
    <t>Amcofume 57%</t>
  </si>
  <si>
    <t>AP-2089</t>
  </si>
  <si>
    <t>Alumtop 56%</t>
  </si>
  <si>
    <t>AP-2090</t>
  </si>
  <si>
    <t>Mingfos 56%</t>
  </si>
  <si>
    <t>AP-2191</t>
  </si>
  <si>
    <t>AP-Tap 57%</t>
  </si>
  <si>
    <t>AP--2277</t>
  </si>
  <si>
    <t>Saota 57%</t>
  </si>
  <si>
    <t>AP-2278</t>
  </si>
  <si>
    <t>Nolo 56%</t>
  </si>
  <si>
    <t>AP-2279</t>
  </si>
  <si>
    <t>Vapour 57%</t>
  </si>
  <si>
    <t>AP-2282</t>
  </si>
  <si>
    <t>Royal 57%</t>
  </si>
  <si>
    <t>AP-2283</t>
  </si>
  <si>
    <t>Genetox 56%</t>
  </si>
  <si>
    <t>AP-2284</t>
  </si>
  <si>
    <t>Byco Tap 57%</t>
  </si>
  <si>
    <t>AP-2285</t>
  </si>
  <si>
    <t>Five Star 57%</t>
  </si>
  <si>
    <t>AP-2286</t>
  </si>
  <si>
    <t>Abfume 56 TB</t>
  </si>
  <si>
    <t>AP-2417</t>
  </si>
  <si>
    <t>Laphide 56%</t>
  </si>
  <si>
    <t>AP-2418</t>
  </si>
  <si>
    <t>Gasto 56T</t>
  </si>
  <si>
    <t>AP-2419</t>
  </si>
  <si>
    <t>Super Fume 57%</t>
  </si>
  <si>
    <t>AP-2420</t>
  </si>
  <si>
    <t>Fitox 56%</t>
  </si>
  <si>
    <t>AP-2763</t>
  </si>
  <si>
    <t>SAK 56T</t>
  </si>
  <si>
    <t>AP-2764</t>
  </si>
  <si>
    <t>Delphide 56%</t>
  </si>
  <si>
    <t>AP-2765</t>
  </si>
  <si>
    <t>Stored grain pest in Wheat</t>
  </si>
  <si>
    <t>S.Oryzae, R.Dominica, T.Castaneum</t>
  </si>
  <si>
    <t>Stored grain pest in Wheat | S.Oryzae, R.Dominica, T.Castaneum | 4 tables/1000 kg</t>
  </si>
  <si>
    <t>Pafide 56%</t>
  </si>
  <si>
    <t>AP-3065</t>
  </si>
  <si>
    <t>Padmatop 56%</t>
  </si>
  <si>
    <t>AP-3066</t>
  </si>
  <si>
    <t>Padma Agro Sprayers Co. Ltd.</t>
  </si>
  <si>
    <t>Security 56%</t>
  </si>
  <si>
    <t>AP-3067</t>
  </si>
  <si>
    <t>Rexifos 56% Tab</t>
  </si>
  <si>
    <t>AP-3517</t>
  </si>
  <si>
    <t>Vantage 56%</t>
  </si>
  <si>
    <t>AP-3901</t>
  </si>
  <si>
    <t>Alumida Gas tablet</t>
  </si>
  <si>
    <t>AP-3902</t>
  </si>
  <si>
    <t>E-Phos 56%</t>
  </si>
  <si>
    <t>AP-3903</t>
  </si>
  <si>
    <t>Rajtox 57%</t>
  </si>
  <si>
    <t>AP-3904</t>
  </si>
  <si>
    <t>Hiphos 56%</t>
  </si>
  <si>
    <t>AP-4156</t>
  </si>
  <si>
    <t>Stored grain pest</t>
  </si>
  <si>
    <t>Stored grain pest | Tribolium, Rhizopertha, Sitophilus | 4 tables/1000 kg</t>
  </si>
  <si>
    <t>Raifume 56%</t>
  </si>
  <si>
    <t>AP-4157</t>
  </si>
  <si>
    <t>Wheat | Tribolium, Rhizopertha, Sitophilus | 4 tables/1000 kg</t>
  </si>
  <si>
    <t>Mimtox 57%</t>
  </si>
  <si>
    <t>AP-4158</t>
  </si>
  <si>
    <t>Rice | Tribolium, Rhizopertha, Sitophilus | 4 tables/1000 kg</t>
  </si>
  <si>
    <t>Winphos G Tab 57%</t>
  </si>
  <si>
    <t>AP-4159</t>
  </si>
  <si>
    <t>Lalphide G Tab 56%</t>
  </si>
  <si>
    <t>AP-4160</t>
  </si>
  <si>
    <t>KS-Phos 57%</t>
  </si>
  <si>
    <t>AP-4161</t>
  </si>
  <si>
    <t>Pin-fume 57%</t>
  </si>
  <si>
    <t>AP-4162</t>
  </si>
  <si>
    <t>Shocho Bangladesh</t>
  </si>
  <si>
    <t>Amatoxin 56%</t>
  </si>
  <si>
    <t>AP-4163</t>
  </si>
  <si>
    <t>Amana Agro Sicence</t>
  </si>
  <si>
    <t>Sealuphos 56%</t>
  </si>
  <si>
    <t>AP-4584</t>
  </si>
  <si>
    <t>N-Tox 57%</t>
  </si>
  <si>
    <t>AP-4585</t>
  </si>
  <si>
    <t>King-Phos 57%</t>
  </si>
  <si>
    <t>AP-4586</t>
  </si>
  <si>
    <t>M-Fume 57%</t>
  </si>
  <si>
    <t>AP-4588</t>
  </si>
  <si>
    <t>Finalphos 57% PT</t>
  </si>
  <si>
    <t>AP-5005</t>
  </si>
  <si>
    <t>Fume Plus 57%</t>
  </si>
  <si>
    <t>AP-5006</t>
  </si>
  <si>
    <t>TS-Keller 57%</t>
  </si>
  <si>
    <t>AP-5007</t>
  </si>
  <si>
    <t>Ta-Sin &amp; Co.</t>
  </si>
  <si>
    <t>Asfume 57% TB</t>
  </si>
  <si>
    <t>AP-5008</t>
  </si>
  <si>
    <t>Mai-Fume 57%</t>
  </si>
  <si>
    <t>AP-5009</t>
  </si>
  <si>
    <t>SB-Fume 57% TB</t>
  </si>
  <si>
    <t>AP-5010</t>
  </si>
  <si>
    <t>Farmphid 57%</t>
  </si>
  <si>
    <t>AP-5359</t>
  </si>
  <si>
    <t>Bicophosphide 57%TB</t>
  </si>
  <si>
    <t>AP-6021</t>
  </si>
  <si>
    <t>Grab 57%TB</t>
  </si>
  <si>
    <t>AP-6022</t>
  </si>
  <si>
    <t>Tribolium, Rhizopertha, Sitophilus, Weevil</t>
  </si>
  <si>
    <t>Wheat | Tribolium, Rhizopertha, Sitophilus | 4 tables/1000 kg
Rice | Weevil | 4 tables/1000 kg</t>
  </si>
  <si>
    <t>Bio Phos 57%TB</t>
  </si>
  <si>
    <t>AP-6023</t>
  </si>
  <si>
    <t>Fennium 57%TB</t>
  </si>
  <si>
    <t>AP-6024</t>
  </si>
  <si>
    <t>Alum Tablet 56%TB</t>
  </si>
  <si>
    <t>AP-6025</t>
  </si>
  <si>
    <t>KAP Fume 57%TB</t>
  </si>
  <si>
    <t>AP-6026</t>
  </si>
  <si>
    <t>Queen Tox 57%TB</t>
  </si>
  <si>
    <t>AP-6027</t>
  </si>
  <si>
    <t>Alu Fostry 56%TB</t>
  </si>
  <si>
    <t>AP-6028</t>
  </si>
  <si>
    <t>Rice | Weevil | 4 tables/1000 kg</t>
  </si>
  <si>
    <t>Raditab 57%TB</t>
  </si>
  <si>
    <t>AP-6029</t>
  </si>
  <si>
    <t>Radical Crop Science Ltd.</t>
  </si>
  <si>
    <t>Methyl Bromide</t>
  </si>
  <si>
    <t>AP-1229</t>
  </si>
  <si>
    <t>Property Care Services Bangladesh (Pvt) Limited</t>
  </si>
  <si>
    <t>Wooden packing, materials</t>
  </si>
  <si>
    <t>Wooden pest</t>
  </si>
  <si>
    <t>48 g/M3</t>
  </si>
  <si>
    <t>Wooden packing, materials | Wooden pest | 48 g/M3</t>
  </si>
  <si>
    <t>IRAC 8A</t>
  </si>
  <si>
    <t>Pirimiphos methyl</t>
  </si>
  <si>
    <t>Super Guard 50EC</t>
  </si>
  <si>
    <t>AP-580</t>
  </si>
  <si>
    <t>Rice weevil</t>
  </si>
  <si>
    <t>10 ml/1000 kg</t>
  </si>
  <si>
    <t>Stored grain pest in Rice | Rice weevil | 10 ml/1000 kg</t>
  </si>
  <si>
    <t>Nokmethyl 50EC</t>
  </si>
  <si>
    <t>AP-2276</t>
  </si>
  <si>
    <t>Baifos methyl 50EC</t>
  </si>
  <si>
    <t>AP-2766</t>
  </si>
  <si>
    <t>20 ml/L of water</t>
  </si>
  <si>
    <t>Stored grain pest in Rice | Rice weevil | 20 ml/L of water</t>
  </si>
  <si>
    <t>Primithyl 50EC</t>
  </si>
  <si>
    <t>AP-3905</t>
  </si>
  <si>
    <t>Rexiguard 50EC</t>
  </si>
  <si>
    <t>AP-4325</t>
  </si>
  <si>
    <t>Wheat | Tribolium, Rhizopertha, Sitophilus | 20 ml/L of water</t>
  </si>
  <si>
    <t>Fasmethyl 50EC</t>
  </si>
  <si>
    <t>AP-4589</t>
  </si>
  <si>
    <t>Rice | Tribolium, Rhizopertha, Sitophilus | 20 ml/L of water</t>
  </si>
  <si>
    <t>Registered Rodenticides in Bangladesh — up to 81st PTAC Meeting</t>
  </si>
  <si>
    <t>Bromadiolone</t>
  </si>
  <si>
    <t>Lanirat</t>
  </si>
  <si>
    <t>AP-182</t>
  </si>
  <si>
    <t>Crops field</t>
  </si>
  <si>
    <t>Rats</t>
  </si>
  <si>
    <t>2-3 times should be eaten</t>
  </si>
  <si>
    <t>Crops field | Rats | 2-3 times should be eaten</t>
  </si>
  <si>
    <t>Bromapoint</t>
  </si>
  <si>
    <t>AP-271</t>
  </si>
  <si>
    <t>"</t>
  </si>
  <si>
    <t>" | Rats | 2-3 times should be eaten</t>
  </si>
  <si>
    <t>Ratox</t>
  </si>
  <si>
    <t>AP-430</t>
  </si>
  <si>
    <t>Roma</t>
  </si>
  <si>
    <t>AP-1559</t>
  </si>
  <si>
    <t>Ratonil</t>
  </si>
  <si>
    <t>AP-1892</t>
  </si>
  <si>
    <t>Ratoma 0.005% RB</t>
  </si>
  <si>
    <t>AP-5605</t>
  </si>
  <si>
    <t>Rat Finish</t>
  </si>
  <si>
    <t>AP-6030</t>
  </si>
  <si>
    <t>Roban</t>
  </si>
  <si>
    <t>AP-6031</t>
  </si>
  <si>
    <t>Cannon Pest Management (BD) Pvt Ltd.</t>
  </si>
  <si>
    <t>Rat Killer</t>
  </si>
  <si>
    <t>AP-6032</t>
  </si>
  <si>
    <t>Zinc Phosphide</t>
  </si>
  <si>
    <t>AP-17</t>
  </si>
  <si>
    <t>2% bait</t>
  </si>
  <si>
    <t>" | Rats | 2% bait</t>
  </si>
  <si>
    <t>Gilphide 80%</t>
  </si>
  <si>
    <t>AP-739</t>
  </si>
  <si>
    <t>Commando 80%</t>
  </si>
  <si>
    <t>AP-915</t>
  </si>
  <si>
    <t>Ratil</t>
  </si>
  <si>
    <t>AP-916</t>
  </si>
  <si>
    <t>Crystal Zinc 2%</t>
  </si>
  <si>
    <t>AP-1891</t>
  </si>
  <si>
    <t>Phonix Brand 2%</t>
  </si>
  <si>
    <t>AP-5604</t>
  </si>
  <si>
    <t>Khaja Chemical Industries</t>
  </si>
  <si>
    <t>Registered Bio Pesticicides in Bangladesh — up to 81st PTAC Meeting</t>
  </si>
  <si>
    <t>Matrixine Plus 5% ME</t>
  </si>
  <si>
    <t>AP (Bio)-21</t>
  </si>
  <si>
    <t>Russell IPM Bangladesh Ltd.</t>
  </si>
  <si>
    <t>Cuelure (97%)</t>
  </si>
  <si>
    <t>Q-Phero</t>
  </si>
  <si>
    <t>AP (Bio)-02</t>
  </si>
  <si>
    <t>Ispahani Agro Limited</t>
  </si>
  <si>
    <t>Bitter gourd</t>
  </si>
  <si>
    <t>Fruit fly</t>
  </si>
  <si>
    <t>70 Lures/ha</t>
  </si>
  <si>
    <t>Bitter gourd | Fruit fly | 70 Lures/ha</t>
  </si>
  <si>
    <t>Bactro-D</t>
  </si>
  <si>
    <t>AP (Bio)-03</t>
  </si>
  <si>
    <t>Mango, Guava</t>
  </si>
  <si>
    <t>80 Lures/ha</t>
  </si>
  <si>
    <t>Mango, Guava | Fruit fly | 80 Lures/ha</t>
  </si>
  <si>
    <t>AT Cuelure '69</t>
  </si>
  <si>
    <t>AP (Bio)-28</t>
  </si>
  <si>
    <t>Agritech 69 Limited</t>
  </si>
  <si>
    <t>Tabiz Pheromone Trap</t>
  </si>
  <si>
    <t>AP (Bio)-29</t>
  </si>
  <si>
    <t>ACP Bangladesh</t>
  </si>
  <si>
    <t>100 Lures/ha</t>
  </si>
  <si>
    <t>Bitter gourd | Fruit fly | 100 Lures/ha</t>
  </si>
  <si>
    <t>Pheromone lure (4[p-acetoxiphenyl]-2-butanon</t>
  </si>
  <si>
    <t>BSFB-Phero</t>
  </si>
  <si>
    <t>AP (Bio)-05</t>
  </si>
  <si>
    <t>100 lures/ha</t>
  </si>
  <si>
    <t>Brinjal | Shoot &amp; Fruit borer | 100 lures/ha</t>
  </si>
  <si>
    <t>Spodo-lure</t>
  </si>
  <si>
    <t>AP (Bio)-06</t>
  </si>
  <si>
    <t>Common cutworm</t>
  </si>
  <si>
    <t>40 lures/ha</t>
  </si>
  <si>
    <t>Cabbage | Common cutworm | 40 lures/ha</t>
  </si>
  <si>
    <t>Fuji Qlure</t>
  </si>
  <si>
    <t>AP (Bio)-11</t>
  </si>
  <si>
    <t>70 lures/ha</t>
  </si>
  <si>
    <t>Bitter gourd | Fruit fly | 70 lures/ha</t>
  </si>
  <si>
    <t>Bio-lure</t>
  </si>
  <si>
    <t>AP (Bio)-42</t>
  </si>
  <si>
    <t>Cue Magneto</t>
  </si>
  <si>
    <t>AP (Bio)-43</t>
  </si>
  <si>
    <t>TBS Agro Limited</t>
  </si>
  <si>
    <t>90 lures/ha</t>
  </si>
  <si>
    <t>Bitter gourd | Fruit fly | 90 lures/ha</t>
  </si>
  <si>
    <t>Azadiractin</t>
  </si>
  <si>
    <t>Ecomec 1.8EC</t>
  </si>
  <si>
    <t>AP (Bio)-10</t>
  </si>
  <si>
    <t>Aphid, Red Spider mite</t>
  </si>
  <si>
    <t>1 ml/Lof water; 0.5 L/ha</t>
  </si>
  <si>
    <t>Brinjal | Aphid | 1 ml/Lof water
Tea | Red Spider mite | 0.5 L/ha</t>
  </si>
  <si>
    <t>Bio-cure Plus 1EC</t>
  </si>
  <si>
    <t>AP (Bio)-33</t>
  </si>
  <si>
    <t>Tea | Red Spider mite | 1.00 L/ha</t>
  </si>
  <si>
    <t>1,2-Diemthoxy-4-(2-propenyl) Benzene</t>
  </si>
  <si>
    <t>Fuji Fruit Lure</t>
  </si>
  <si>
    <t>AP (Bio)-14</t>
  </si>
  <si>
    <t>Guava</t>
  </si>
  <si>
    <t>80 lures/ha</t>
  </si>
  <si>
    <t>Guava | Fruit fly | 80 lures/ha</t>
  </si>
  <si>
    <t>Fruit Magneto</t>
  </si>
  <si>
    <t>AP (Bio)-40</t>
  </si>
  <si>
    <t>Mango &amp; Guava</t>
  </si>
  <si>
    <t>80 ml/ha</t>
  </si>
  <si>
    <t>Mango &amp; Guava | Fruit fly | 80 ml/ha</t>
  </si>
  <si>
    <t>Alkaloids mater Lantadenes &amp; Vasine</t>
  </si>
  <si>
    <t>Archer 75WP</t>
  </si>
  <si>
    <t>AP (Bio) -17</t>
  </si>
  <si>
    <t>Red rust, Damping off</t>
  </si>
  <si>
    <t>2.00 kg/ha; 3 g/L of water</t>
  </si>
  <si>
    <t>Tea | Red rust | 2.00 kg/ha
Tomato | Damping off | 3 g/L of water</t>
  </si>
  <si>
    <t>Azadirectin A + Azadirectin B</t>
  </si>
  <si>
    <t>Achta 1%EC</t>
  </si>
  <si>
    <t>AP (Bio) -18</t>
  </si>
  <si>
    <t>1.50 L/ha; 1 ml/L of water</t>
  </si>
  <si>
    <t>Jute | Hairy caterpillar | 1.50 L/ha
Tomato | Aphid | 1 ml/L of water</t>
  </si>
  <si>
    <t>Ceranock</t>
  </si>
  <si>
    <t>AP (Bio) -19</t>
  </si>
  <si>
    <t>100 trap/ha</t>
  </si>
  <si>
    <t>Mango | Fruit fly | 100 trap/ha</t>
  </si>
  <si>
    <t>Methyl Euginol + Abamectin</t>
  </si>
  <si>
    <t>Zonatrac</t>
  </si>
  <si>
    <t>AP (Bio) -20</t>
  </si>
  <si>
    <t>Mango | Fruit fly | 100 g/ha</t>
  </si>
  <si>
    <t>Spodoptera Litura, nucleo polyhedro virus</t>
  </si>
  <si>
    <t>Spodo-NPV</t>
  </si>
  <si>
    <t>AP (Bio) -22</t>
  </si>
  <si>
    <t>0.2 g/l of water</t>
  </si>
  <si>
    <t>Cabbage | Common cutworm | 0.2 g/l of water</t>
  </si>
  <si>
    <t>Spodoptera frugiperda multiple nucleo polyhedro virus</t>
  </si>
  <si>
    <t>Fawligen (SFNPV)</t>
  </si>
  <si>
    <t>AP (Bio) -44</t>
  </si>
  <si>
    <t>Maize | Fall Armyworm, (Spodoptera frugiperda) | 1 ml/L of water</t>
  </si>
  <si>
    <t>Microbial Fungicide, Cell Microbe</t>
  </si>
  <si>
    <t>Decoprima</t>
  </si>
  <si>
    <t>AP (Bio) - 23</t>
  </si>
  <si>
    <t>Mohsin Enterprise</t>
  </si>
  <si>
    <t>Fusarium Wilt</t>
  </si>
  <si>
    <t>Brinjal | Fusarium Wilt | 100 g/ha</t>
  </si>
  <si>
    <t>Trichoderma</t>
  </si>
  <si>
    <t>Tricost 1%WP</t>
  </si>
  <si>
    <t>AP (Bio)-24</t>
  </si>
  <si>
    <t>Charcoal Stump Rot, Collar Rot</t>
  </si>
  <si>
    <t>5.0 Kg/ha</t>
  </si>
  <si>
    <t>Tea | Charcoal Stump Rot | 5.0 Kg/ha
Tea | Collar Rot | 5.0 Kg/ha</t>
  </si>
  <si>
    <t>Pseudomons Fluorescens 0.5%</t>
  </si>
  <si>
    <t>Monexe 0.5WP</t>
  </si>
  <si>
    <t>AP (Bio)-25</t>
  </si>
  <si>
    <t>Haychem (Bangladesh) Ltd.</t>
  </si>
  <si>
    <t>Bacterial Wilt, Black rot</t>
  </si>
  <si>
    <t>5 g/L of water; 5 kg/ha</t>
  </si>
  <si>
    <t>Tomato | Bacterial Wilt | 5 g/L of water
Tea | Black rot | 5 kg/ha</t>
  </si>
  <si>
    <t>[(E)-11-hexadecenyl acetate and (E)-11-hexadecen-1-01] sex pheromone lure</t>
  </si>
  <si>
    <t>BSFB Lure '69</t>
  </si>
  <si>
    <t>AP (Bio)-27</t>
  </si>
  <si>
    <t>Haylure Brinjal</t>
  </si>
  <si>
    <t>AP (Bio)-41</t>
  </si>
  <si>
    <t>Methyl Eugenol</t>
  </si>
  <si>
    <t>AT Fruit's Lure '69</t>
  </si>
  <si>
    <t>Mango | Fruit fly | 100 lures/ha</t>
  </si>
  <si>
    <t>Ratan Pheromone</t>
  </si>
  <si>
    <t>AP (Bio)-36</t>
  </si>
  <si>
    <t>Mango &amp; Guava | Fruit fly | 80 lures/ha</t>
  </si>
  <si>
    <t>Apache</t>
  </si>
  <si>
    <t>AP (Bio)-37</t>
  </si>
  <si>
    <t>Orolure</t>
  </si>
  <si>
    <t>AP (Bio)-38</t>
  </si>
  <si>
    <t>Supernet</t>
  </si>
  <si>
    <t>AP (Bio)-39</t>
  </si>
  <si>
    <t>Naafco (Pvt) Limited</t>
  </si>
  <si>
    <t>Serriconin</t>
  </si>
  <si>
    <t>New Serrico</t>
  </si>
  <si>
    <t>AP (Bio)-30</t>
  </si>
  <si>
    <t>Stored Grain</t>
  </si>
  <si>
    <t>Lasidoderma serricore</t>
  </si>
  <si>
    <t>1 trap/100m2</t>
  </si>
  <si>
    <t>Stored Grain | Lasidoderma serricore | 1 trap/100m2</t>
  </si>
  <si>
    <t>Matril</t>
  </si>
  <si>
    <t>Biotrin</t>
  </si>
  <si>
    <t>AP (Bio)-34</t>
  </si>
  <si>
    <t>700 ml/ha; 1.40 ml/L of water</t>
  </si>
  <si>
    <t>Tea | Thrips | 700 ml/ha
Brinjal | Aphid | 1.40 ml/L of water</t>
  </si>
  <si>
    <t>K-Mite</t>
  </si>
  <si>
    <t>AP (Bio)-35</t>
  </si>
  <si>
    <t>Red Spider mite, Mite</t>
  </si>
  <si>
    <t>Tea | Red Spider mite | 1.0 L/ha
Brinjal | Mite | 1 ml/L of water</t>
  </si>
  <si>
    <t>(Z)-9-Tetradecenyl acetate)</t>
  </si>
  <si>
    <t>Fall Army-lure</t>
  </si>
  <si>
    <t>AP (Bio)-31</t>
  </si>
  <si>
    <t>Maise</t>
  </si>
  <si>
    <t>Fall Armyworm</t>
  </si>
  <si>
    <t>Maise | Fall Armyworm | 40 lures/ha</t>
  </si>
  <si>
    <t>(Z)-9-Tetradecenyl acetate) (Z)-7-Dodecenyl acetate</t>
  </si>
  <si>
    <t>Hay Lure Army Worm</t>
  </si>
  <si>
    <t>AP (Bio)-32</t>
  </si>
  <si>
    <t>Maize | Fall Armyworm | 40 lures/ha</t>
  </si>
  <si>
    <t>Registered Public Health Pesticides (PHP) in Bangladesh — up to 81st PTAC Meeting</t>
  </si>
  <si>
    <t>Recommendations (Pest | Dosage)</t>
  </si>
  <si>
    <t>S-bio-allethrin (0.10%)+Permethrin (0.50%) Tetramethrin (0.20%)</t>
  </si>
  <si>
    <t>ACI Mosquito Inseciticdes</t>
  </si>
  <si>
    <t>PHP-186</t>
  </si>
  <si>
    <t>Adult Mosquito and Cockroach</t>
  </si>
  <si>
    <t>Adult Mosquito and Cockroach | 2.0 L/ha</t>
  </si>
  <si>
    <t>D-tetramethrin + Permethrin</t>
  </si>
  <si>
    <t>Globe Aerosol</t>
  </si>
  <si>
    <t>PHP-120</t>
  </si>
  <si>
    <t>Globe Insecticides Limited</t>
  </si>
  <si>
    <t>10 Second stroke; spray/100 cft room/12 ml/100 cft</t>
  </si>
  <si>
    <t>Adult Mosquito and Cockroach | 10 Second stroke
- | spray/100 cft room/12 ml/100 cft</t>
  </si>
  <si>
    <t>S Bioallethrin+Permethrin</t>
  </si>
  <si>
    <t>Phonix Powder</t>
  </si>
  <si>
    <t>PHP-257</t>
  </si>
  <si>
    <t>Khaza Chemical Industries</t>
  </si>
  <si>
    <t>Cockroach</t>
  </si>
  <si>
    <t>10 gm/m2</t>
  </si>
  <si>
    <t>Cockroach | 10 gm/m2</t>
  </si>
  <si>
    <t>Pynamine Fort</t>
  </si>
  <si>
    <t>Alpha Mosquito Coil</t>
  </si>
  <si>
    <t>PHP-176</t>
  </si>
  <si>
    <t>Adult Mosquito</t>
  </si>
  <si>
    <t>6 gm/32 m3</t>
  </si>
  <si>
    <t>Adult Mosquito | 6 gm/32 m3</t>
  </si>
  <si>
    <t>Fenon 40WP</t>
  </si>
  <si>
    <t>PHP-1056</t>
  </si>
  <si>
    <t>A &amp; E International</t>
  </si>
  <si>
    <t>Mosquito Larva &amp; Adult</t>
  </si>
  <si>
    <t>5 g/Square meter/2.0 Litre water</t>
  </si>
  <si>
    <t>Mosquito Larva &amp; Adult | 5 g/Square meter/2.0 Litre water</t>
  </si>
  <si>
    <t>Delete 2.5 EC</t>
  </si>
  <si>
    <t>PHP-162</t>
  </si>
  <si>
    <t>Mosquito Larvae</t>
  </si>
  <si>
    <t>103.74 ml per hectare</t>
  </si>
  <si>
    <t>Mosquito Larvae | 103.74 ml per hectare</t>
  </si>
  <si>
    <t>Finis Insect Chalk</t>
  </si>
  <si>
    <t>PHP-213</t>
  </si>
  <si>
    <t>Standard Finis Oil Company</t>
  </si>
  <si>
    <t>1.1gm2</t>
  </si>
  <si>
    <t>Cockroach | 1.1gm2</t>
  </si>
  <si>
    <t>Alta 2.5 EC</t>
  </si>
  <si>
    <t>PHP-214</t>
  </si>
  <si>
    <t>Mosquito Larva/Adult</t>
  </si>
  <si>
    <t>100 ml/ha &amp; 2 ml/33m2</t>
  </si>
  <si>
    <t>Mosquito Larva/Adult | 100 ml/ha &amp; 2 ml/33m2</t>
  </si>
  <si>
    <t>K-Othrine 1%SC</t>
  </si>
  <si>
    <t>PHP-215</t>
  </si>
  <si>
    <t>Mosquito Adult</t>
  </si>
  <si>
    <t>40 ml+0.5 Litre of water/15m2</t>
  </si>
  <si>
    <t>Mosquito Adult | 40 ml+0.5 Litre of water/15m2</t>
  </si>
  <si>
    <t>K-Othrine 2.5WP</t>
  </si>
  <si>
    <t>PHP-222</t>
  </si>
  <si>
    <t>200 gm/250m2</t>
  </si>
  <si>
    <t>Mosquito Adult | 200 gm/250m2</t>
  </si>
  <si>
    <t>K-Othrine 5% WP</t>
  </si>
  <si>
    <t>PHP-223</t>
  </si>
  <si>
    <t>100 gm/250m2</t>
  </si>
  <si>
    <t>Mosquito Adult | 100 gm/250m2</t>
  </si>
  <si>
    <t>Lakshaya 2.5Flow</t>
  </si>
  <si>
    <t>PHP-238</t>
  </si>
  <si>
    <t>300 ml/500m2</t>
  </si>
  <si>
    <t>Mosquito Adult | 300 ml/500m2</t>
  </si>
  <si>
    <t>Shastra 0.5 DP</t>
  </si>
  <si>
    <t>PHP-244</t>
  </si>
  <si>
    <t>10gm/m2</t>
  </si>
  <si>
    <t>Cockroach | 10gm/m2</t>
  </si>
  <si>
    <t>K-Ohtrine WG 250</t>
  </si>
  <si>
    <t>PHP-338</t>
  </si>
  <si>
    <t>Sandfly</t>
  </si>
  <si>
    <t>25 gm/250m2</t>
  </si>
  <si>
    <t>Sandfly | 25 gm/250m2</t>
  </si>
  <si>
    <t>Deltajet 5 WP</t>
  </si>
  <si>
    <t>PHP-339</t>
  </si>
  <si>
    <t>12.50 gm/50m2 (0.25 gm/m2)</t>
  </si>
  <si>
    <t>Sandfly | 12.50 gm/50m2 (0.25 gm/m2)</t>
  </si>
  <si>
    <t>Pali 5 WP</t>
  </si>
  <si>
    <t>PHP-341</t>
  </si>
  <si>
    <t>0.4 gm/m2</t>
  </si>
  <si>
    <t>Sandfly | 0.4 gm/m2</t>
  </si>
  <si>
    <t>Rocky Brand Insect Chalk</t>
  </si>
  <si>
    <t>PHP-477</t>
  </si>
  <si>
    <t>Rocky Chemical Company</t>
  </si>
  <si>
    <t>Mosquito/Cockroach</t>
  </si>
  <si>
    <t>10 gm/100 cm X 100 cm</t>
  </si>
  <si>
    <t>Mosquito/Cockroach | 10 gm/100 cm X 100 cm</t>
  </si>
  <si>
    <t>Unikill 2.5 EC</t>
  </si>
  <si>
    <t>PHP-487</t>
  </si>
  <si>
    <t>Mosquito | 100 ml/ha</t>
  </si>
  <si>
    <t>Ibich Brand Insect Chalk</t>
  </si>
  <si>
    <t>PHP-500</t>
  </si>
  <si>
    <t>Three Star Enterprise</t>
  </si>
  <si>
    <t>10 x 100 x 100 cm</t>
  </si>
  <si>
    <t>Cockroach | 10 x 100 x 100 cm</t>
  </si>
  <si>
    <t>Phoenix Brand Insect Chalk Powder</t>
  </si>
  <si>
    <t>PHP-527</t>
  </si>
  <si>
    <t>10 gm X 63 X 73</t>
  </si>
  <si>
    <t>Cockroach | 10 gm X 63 X 73</t>
  </si>
  <si>
    <t>Famish Brand Mosquito Coil</t>
  </si>
  <si>
    <t>PHP-529</t>
  </si>
  <si>
    <t>Shantona Chemical Company</t>
  </si>
  <si>
    <t>Suprim Brand Insect Chalk</t>
  </si>
  <si>
    <t>PHP-541</t>
  </si>
  <si>
    <t>Shahid Chemical Co.</t>
  </si>
  <si>
    <t>0.5m2</t>
  </si>
  <si>
    <t>Cockroach | 0.5m2</t>
  </si>
  <si>
    <t>K-2 Brand Insect Chalk</t>
  </si>
  <si>
    <t>PHP-549</t>
  </si>
  <si>
    <t>J H Chemical Co.</t>
  </si>
  <si>
    <t>Al-Amin Insect Chalk</t>
  </si>
  <si>
    <t>PHP-555</t>
  </si>
  <si>
    <t>Al-Amin Agro Kit Company</t>
  </si>
  <si>
    <t>Green Chalk</t>
  </si>
  <si>
    <t>PHP-586</t>
  </si>
  <si>
    <t>1 piece/fit2</t>
  </si>
  <si>
    <t>Cockroach | 1 piece/fit2</t>
  </si>
  <si>
    <t>PermaNet 2.0</t>
  </si>
  <si>
    <t>PHP-590</t>
  </si>
  <si>
    <t>Mosquito Net</t>
  </si>
  <si>
    <t>10 g/m2</t>
  </si>
  <si>
    <t>Mosquito Net | 10 g/m2</t>
  </si>
  <si>
    <t>Dubar 2.5SC</t>
  </si>
  <si>
    <t>PHP-774</t>
  </si>
  <si>
    <t>Babylon Agriscience Ltd</t>
  </si>
  <si>
    <t>2 ml/2 Litre of water</t>
  </si>
  <si>
    <t>Mosquito | 2 ml/2 Litre of water</t>
  </si>
  <si>
    <t>Touch Out Cockroach Killer</t>
  </si>
  <si>
    <t>PHP-867</t>
  </si>
  <si>
    <t>Haque Daily Chemical Industry</t>
  </si>
  <si>
    <t>Al-Amin Insect Chalk Plus</t>
  </si>
  <si>
    <t>PHP-1025</t>
  </si>
  <si>
    <t>City Clean-S 2EW</t>
  </si>
  <si>
    <t>PHP-1038</t>
  </si>
  <si>
    <t>Dhaka South City Corporation</t>
  </si>
  <si>
    <t>5 Litre/ha</t>
  </si>
  <si>
    <t>Mosquito | 5 Litre/ha</t>
  </si>
  <si>
    <t>City Clean-N 2EW</t>
  </si>
  <si>
    <t>PHP-1040</t>
  </si>
  <si>
    <t>Dhaka North City Corporation</t>
  </si>
  <si>
    <t>Hot Clean Insect Powder 5WP</t>
  </si>
  <si>
    <t>PHP-1053</t>
  </si>
  <si>
    <t>Chistia Marketing &amp; Distribution</t>
  </si>
  <si>
    <t>100 g/250 m2</t>
  </si>
  <si>
    <t>Mosquito | 100 g/250 m2</t>
  </si>
  <si>
    <t>1.25%</t>
  </si>
  <si>
    <t>Cityclean 1.25 ULV</t>
  </si>
  <si>
    <t>PHP-1095</t>
  </si>
  <si>
    <t>6 ml/100m2</t>
  </si>
  <si>
    <t>Adult Mosquito | 6 ml/100m2</t>
  </si>
  <si>
    <t>2%</t>
  </si>
  <si>
    <t>Cityclean-G 2% EW</t>
  </si>
  <si>
    <t>PHP-1087</t>
  </si>
  <si>
    <t>Gazipur City Corporation</t>
  </si>
  <si>
    <t>Mosquito Larva</t>
  </si>
  <si>
    <t>Mosquito Larva | 5 Litre/ha</t>
  </si>
  <si>
    <t>City Delta-G 1.25 ULV</t>
  </si>
  <si>
    <t>PHP-1088</t>
  </si>
  <si>
    <t>50 ml/1000 m3</t>
  </si>
  <si>
    <t>Adult Mosquito | 50 ml/1000 m3</t>
  </si>
  <si>
    <t>Deltafog 2.5EC</t>
  </si>
  <si>
    <t>PHP-1096</t>
  </si>
  <si>
    <t>M R Enterprise</t>
  </si>
  <si>
    <t>0.40 ml/m2</t>
  </si>
  <si>
    <t>Adult Mosquito | 0.40 ml/m2</t>
  </si>
  <si>
    <t>Biobos 2.5EC</t>
  </si>
  <si>
    <t>PHP-1101</t>
  </si>
  <si>
    <t>Adult Mosquito | 100 ml/ha</t>
  </si>
  <si>
    <t>Bio Killer 2.5EC</t>
  </si>
  <si>
    <t>PHP-1103</t>
  </si>
  <si>
    <t>Biosave Agrovet</t>
  </si>
  <si>
    <t>Chemmothrin 2.5EC</t>
  </si>
  <si>
    <t>PHP-1114</t>
  </si>
  <si>
    <t>Hiter 2.5EC</t>
  </si>
  <si>
    <t>PHP-1115</t>
  </si>
  <si>
    <t>Super Killer 1.25 ULV</t>
  </si>
  <si>
    <t>PHP-1121</t>
  </si>
  <si>
    <t>Mosquito | 6 ml/100m2</t>
  </si>
  <si>
    <t>Permethrin (5%)</t>
  </si>
  <si>
    <t>Finis Insect Powder</t>
  </si>
  <si>
    <t>PHP-59</t>
  </si>
  <si>
    <t>Supreme Insect Powder</t>
  </si>
  <si>
    <t>PHP-245</t>
  </si>
  <si>
    <t>Eagle Insect Powder</t>
  </si>
  <si>
    <t>PHP-250</t>
  </si>
  <si>
    <t>Quazi Enterprises Limited</t>
  </si>
  <si>
    <t>Ant/Bed bug/Cockroach</t>
  </si>
  <si>
    <t>Ant/Bed bug/Cockroach | 10 gm/m2</t>
  </si>
  <si>
    <t>Nokon Insect Powder</t>
  </si>
  <si>
    <t>PHP-330</t>
  </si>
  <si>
    <t>10 gm/50m2</t>
  </si>
  <si>
    <t>Cockroach | 10 gm/50m2</t>
  </si>
  <si>
    <t>Challenge Insect Powder</t>
  </si>
  <si>
    <t>PHP-335</t>
  </si>
  <si>
    <t>Santana Chemical Company</t>
  </si>
  <si>
    <t>15 gm/m2</t>
  </si>
  <si>
    <t>Cockroach | 15 gm/m2</t>
  </si>
  <si>
    <t>Standard Insect Powder</t>
  </si>
  <si>
    <t>PHP-345</t>
  </si>
  <si>
    <t>Finis Liquid Spray</t>
  </si>
  <si>
    <t>PHP-376</t>
  </si>
  <si>
    <t>10 ml/100m3</t>
  </si>
  <si>
    <t>Mosquito | 10 ml/100m3</t>
  </si>
  <si>
    <t>Finis Booster Insect Powder</t>
  </si>
  <si>
    <t>PHP-377</t>
  </si>
  <si>
    <t>2 gm/m2</t>
  </si>
  <si>
    <t>Cockroach | 2 gm/m2</t>
  </si>
  <si>
    <t>Super Star Insect Power</t>
  </si>
  <si>
    <t>PHP-474</t>
  </si>
  <si>
    <t>Selina Chemical Industries</t>
  </si>
  <si>
    <t>10 gm/m2 X 100 CM</t>
  </si>
  <si>
    <t>Cockroach | 10 gm/m2 X 100 CM</t>
  </si>
  <si>
    <t>Rocky Brand Insect Power</t>
  </si>
  <si>
    <t>PHP-488</t>
  </si>
  <si>
    <t>10 gm/82 Ft</t>
  </si>
  <si>
    <t>Cockroach | 10 gm/82 Ft</t>
  </si>
  <si>
    <t>K-2 Brand Insect Power</t>
  </si>
  <si>
    <t>PHP-498</t>
  </si>
  <si>
    <t>Boss Brand Insect Power</t>
  </si>
  <si>
    <t>PHP-499</t>
  </si>
  <si>
    <t>Shomon Chemical Co.</t>
  </si>
  <si>
    <t>Tiger Brand Insecticides Powder</t>
  </si>
  <si>
    <t>PHP-544</t>
  </si>
  <si>
    <t>M H Chemical Co.</t>
  </si>
  <si>
    <t>Action 1 Brand Insect Power</t>
  </si>
  <si>
    <t>PHP-575</t>
  </si>
  <si>
    <t>Jamuna Chemical Co.</t>
  </si>
  <si>
    <t>Hit Super Insect Powder</t>
  </si>
  <si>
    <t>PHP-609</t>
  </si>
  <si>
    <t>North Bengal Manufacturing Co.</t>
  </si>
  <si>
    <t>Vanish Liquid Insecticides</t>
  </si>
  <si>
    <t>PHP-612</t>
  </si>
  <si>
    <t>6 ml/100m3</t>
  </si>
  <si>
    <t>Mosquito | 6 ml/100m3</t>
  </si>
  <si>
    <t>Diamond Insect Power</t>
  </si>
  <si>
    <t>PHP-613</t>
  </si>
  <si>
    <t>10 gm/ft2</t>
  </si>
  <si>
    <t>Cockroach | 10 gm/ft2</t>
  </si>
  <si>
    <t>Fine Insect Power</t>
  </si>
  <si>
    <t>PHP-615</t>
  </si>
  <si>
    <t>Eagle Liquid Spray</t>
  </si>
  <si>
    <t>PHP-634</t>
  </si>
  <si>
    <t>Cockroach/Ants/Mosquito</t>
  </si>
  <si>
    <t>10 stroke spray/100 ft3</t>
  </si>
  <si>
    <t>Cockroach/Ants/Mosquito | 10 stroke spray/100 ft3</t>
  </si>
  <si>
    <t>China Brand Insect Power</t>
  </si>
  <si>
    <t>PHP-677</t>
  </si>
  <si>
    <t>China Chemical</t>
  </si>
  <si>
    <t>10g/100/cm/100cm</t>
  </si>
  <si>
    <t>Cockroach | 10g/100/cm/100cm</t>
  </si>
  <si>
    <t>Super Finis Brand Insect Powder</t>
  </si>
  <si>
    <t>PHP-681</t>
  </si>
  <si>
    <t>12.5 cm diamater</t>
  </si>
  <si>
    <t>Cockroach | 12.5 cm diamater</t>
  </si>
  <si>
    <t>High Power Insect Powder</t>
  </si>
  <si>
    <t>PHP-720</t>
  </si>
  <si>
    <t>S M enterprise</t>
  </si>
  <si>
    <t>100gm/100cm X 100cm</t>
  </si>
  <si>
    <t>Cockroach | 100gm/100cm X 100cm</t>
  </si>
  <si>
    <t>Super Finas Brand Insect Powder</t>
  </si>
  <si>
    <t>PHP-778</t>
  </si>
  <si>
    <t>Shazol Chemical &amp; Co.</t>
  </si>
  <si>
    <t>Cockroach | 10 gm/100 cm X 100 cm</t>
  </si>
  <si>
    <t>Touch &amp; Kill Insect Killer</t>
  </si>
  <si>
    <t>PHP-868</t>
  </si>
  <si>
    <t>Haque &amp; Sons</t>
  </si>
  <si>
    <t>10 g/1m2</t>
  </si>
  <si>
    <t>Cockroach | 10 g/1m2</t>
  </si>
  <si>
    <t>Taha 3EC Liquid Insecticides</t>
  </si>
  <si>
    <t>PHP-904</t>
  </si>
  <si>
    <t>Mosquito, Cockorach</t>
  </si>
  <si>
    <t>33 m2 - 8 ml/100 m2</t>
  </si>
  <si>
    <t>Mosquito, Cockorach | 33 m2 - 8 ml/100 m2</t>
  </si>
  <si>
    <t>Rupali Fine Insect Powder</t>
  </si>
  <si>
    <t>PHP-914</t>
  </si>
  <si>
    <t>Sonar Bangla Chemical Co.</t>
  </si>
  <si>
    <t>Cockorach</t>
  </si>
  <si>
    <t>1m2 - 10gm/m2</t>
  </si>
  <si>
    <t>Cockorach | 1m2 - 10gm/m2</t>
  </si>
  <si>
    <t>Daniel WHOP Insect Power</t>
  </si>
  <si>
    <t>PHP-915</t>
  </si>
  <si>
    <t>Damiel Agrochemicals</t>
  </si>
  <si>
    <t>1m2 - 25gm/m2</t>
  </si>
  <si>
    <t>Cockorach | 1m2 - 25gm/m2</t>
  </si>
  <si>
    <t>Octopus Super Insect Powder</t>
  </si>
  <si>
    <t>PHP-916</t>
  </si>
  <si>
    <t>R K International</t>
  </si>
  <si>
    <t>10gm/1m2 - 1 sq. meter</t>
  </si>
  <si>
    <t>Cockorach | 10gm/1m2 - 1 sq. meter</t>
  </si>
  <si>
    <t>Octopus Liquid Insecticdes</t>
  </si>
  <si>
    <t>PHP-941</t>
  </si>
  <si>
    <t>33 m2 - 6 ml/m2</t>
  </si>
  <si>
    <t>Mosquito | 33 m2 - 6 ml/m2</t>
  </si>
  <si>
    <t>Moharaj Insect Powder</t>
  </si>
  <si>
    <t>PHP-943</t>
  </si>
  <si>
    <t>1m2-10 gm/m2</t>
  </si>
  <si>
    <t>Cockorach | 1m2-10 gm/m2</t>
  </si>
  <si>
    <t>Tighter Finish Brand Insecticide Powder</t>
  </si>
  <si>
    <t>PHP-946</t>
  </si>
  <si>
    <t>-0.03 0.30% 0.30% 0.10% 0.30% 0.30%</t>
  </si>
  <si>
    <t>Astro Liquid Spray</t>
  </si>
  <si>
    <t>PHP-951</t>
  </si>
  <si>
    <t>Ashad Enterprise</t>
  </si>
  <si>
    <t>30 ml/L of water, 100m2</t>
  </si>
  <si>
    <t>Adult Mosquito | 30 ml/L of water, 100m2</t>
  </si>
  <si>
    <t>Khushi High Power Mosquito Coil</t>
  </si>
  <si>
    <t>PHP-970</t>
  </si>
  <si>
    <t>63X63X73 cm3</t>
  </si>
  <si>
    <t>Mosquito | 63X63X73 cm3</t>
  </si>
  <si>
    <t>Al-Time High Power Mosquito Coil</t>
  </si>
  <si>
    <t>PHP-987</t>
  </si>
  <si>
    <t>Byuyan Corporation</t>
  </si>
  <si>
    <t>Daniel Spray Liquid Insecticide</t>
  </si>
  <si>
    <t>PHP-1023</t>
  </si>
  <si>
    <t>Daniel Agro Chemicals</t>
  </si>
  <si>
    <t>Mosquito Larva | 6 ml/100m3</t>
  </si>
  <si>
    <t>Saff Liquid Spray</t>
  </si>
  <si>
    <t>PHP-1024</t>
  </si>
  <si>
    <t>Ecotraps</t>
  </si>
  <si>
    <t>PHP-1048</t>
  </si>
  <si>
    <t>Square Pharmaceuticals Ltd.</t>
  </si>
  <si>
    <t>1 Trap/404m2</t>
  </si>
  <si>
    <t>Mosquito | 1 Trap/404m2</t>
  </si>
  <si>
    <t>Star Liquid Insecticides</t>
  </si>
  <si>
    <t>PHP-1054</t>
  </si>
  <si>
    <t>Alam Trading</t>
  </si>
  <si>
    <t>Rico Liquid Insecticides</t>
  </si>
  <si>
    <t>PHP-1086</t>
  </si>
  <si>
    <t>Moskill Spray</t>
  </si>
  <si>
    <t>PHP-1068</t>
  </si>
  <si>
    <t>12 Stroke/1200 cft Room - 20 minute</t>
  </si>
  <si>
    <t>Adult Mosquito | 12 Stroke/1200 cft Room - 20 minute</t>
  </si>
  <si>
    <t>Cosmo Insect Powder</t>
  </si>
  <si>
    <t>PHP-1080</t>
  </si>
  <si>
    <t>Cosmo Consumer Products Ltd.</t>
  </si>
  <si>
    <t>Adult Mosquito | 10 gm/m2</t>
  </si>
  <si>
    <t>Fast Kill Liquid Spray</t>
  </si>
  <si>
    <t>PHP-1099</t>
  </si>
  <si>
    <t>May Gold Agro Science</t>
  </si>
  <si>
    <t>Biolin Liquid Insecticide</t>
  </si>
  <si>
    <t>PHP-1100</t>
  </si>
  <si>
    <t>Vanish Plus 0.30EC</t>
  </si>
  <si>
    <t>PHP-1102</t>
  </si>
  <si>
    <t>Biosafe Agrovet</t>
  </si>
  <si>
    <t>1.5 ml/m2</t>
  </si>
  <si>
    <t>Adult Mosquito | 1.5 ml/m2</t>
  </si>
  <si>
    <t>Gene Liquid Spray</t>
  </si>
  <si>
    <t>PHP-1105</t>
  </si>
  <si>
    <t>Tonic Liquid Spray</t>
  </si>
  <si>
    <t>PHP-1113</t>
  </si>
  <si>
    <t>Krishan Liquid Insecticides</t>
  </si>
  <si>
    <t>PHP-1116</t>
  </si>
  <si>
    <t>Krishan Agro Chemicals</t>
  </si>
  <si>
    <t>Furnish Liquid Insecticides</t>
  </si>
  <si>
    <t>PHP-1117</t>
  </si>
  <si>
    <t>Labiba Liquid Insecticides</t>
  </si>
  <si>
    <t>PHP-1120</t>
  </si>
  <si>
    <t>Ariyan Trading</t>
  </si>
  <si>
    <t>Permethrin + Tetramethrin</t>
  </si>
  <si>
    <t>Duracide 25%</t>
  </si>
  <si>
    <t>PHP-236</t>
  </si>
  <si>
    <t>10 ml/100 m2</t>
  </si>
  <si>
    <t>Adult Mosquito | 10 ml/100 m2</t>
  </si>
  <si>
    <t>Goldeer Aerosol</t>
  </si>
  <si>
    <t>PHP-228</t>
  </si>
  <si>
    <t>Bismillah Trading</t>
  </si>
  <si>
    <t>33 CFT</t>
  </si>
  <si>
    <t>Adult Mosquito | 33 CFT</t>
  </si>
  <si>
    <t>Grand Lion Aerosol</t>
  </si>
  <si>
    <t>PHP-724</t>
  </si>
  <si>
    <t>Mannan Electronic</t>
  </si>
  <si>
    <t>5 sce spray/50m3</t>
  </si>
  <si>
    <t>Mosquito | 5 sce spray/50m3</t>
  </si>
  <si>
    <t>Azamethiphos</t>
  </si>
  <si>
    <t>No-Kroach</t>
  </si>
  <si>
    <t>PHP-254</t>
  </si>
  <si>
    <t>Akros 1 WDG</t>
  </si>
  <si>
    <t>PHP-779</t>
  </si>
  <si>
    <t>Sun Seed Pesticide</t>
  </si>
  <si>
    <t>Chlorpyriphos</t>
  </si>
  <si>
    <t>Limban 20 EC</t>
  </si>
  <si>
    <t>PHP-102</t>
  </si>
  <si>
    <t>Adult Mosquito &amp; Larva</t>
  </si>
  <si>
    <t>0.125 litre/ai/ha</t>
  </si>
  <si>
    <t>Adult Mosquito &amp; Larva | 0.125 litre/ai/ha</t>
  </si>
  <si>
    <t>M Fos 20EC</t>
  </si>
  <si>
    <t>PHP-939</t>
  </si>
  <si>
    <t>62.50 ml/ha</t>
  </si>
  <si>
    <t>Mosquito | 62.50 ml/ha</t>
  </si>
  <si>
    <t>Cleaner 50 EC</t>
  </si>
  <si>
    <t>PHP-175</t>
  </si>
  <si>
    <t>2 gm/m2 and 200 ml/ha</t>
  </si>
  <si>
    <t>Adult Mosquito &amp; Larva | 2 gm/m2 and 200 ml/ha</t>
  </si>
  <si>
    <t>Ciyphos-S 50EC</t>
  </si>
  <si>
    <t>PHP-1039</t>
  </si>
  <si>
    <t>Cityphos-N 50EC</t>
  </si>
  <si>
    <t>PHP-1041</t>
  </si>
  <si>
    <t>City Fos-G 50%</t>
  </si>
  <si>
    <t>PHP-1091</t>
  </si>
  <si>
    <t>2 ml/m2</t>
  </si>
  <si>
    <t>Adult Mosquito | 2 ml/m2</t>
  </si>
  <si>
    <t>Temiphos</t>
  </si>
  <si>
    <t>Limbate 50 EC</t>
  </si>
  <si>
    <t>PHP-163</t>
  </si>
  <si>
    <t>Mosquito Larva | 100 ml/ha</t>
  </si>
  <si>
    <t>Missile 50 EC</t>
  </si>
  <si>
    <t>PHP-184</t>
  </si>
  <si>
    <t>Mosquito Larva | 90 ml/ha</t>
  </si>
  <si>
    <t>Temeguard 50 EC</t>
  </si>
  <si>
    <t>PHP-221</t>
  </si>
  <si>
    <t>Temper 50EC</t>
  </si>
  <si>
    <t>PHP-336</t>
  </si>
  <si>
    <t>Shesh 50EC</t>
  </si>
  <si>
    <t>PHP-343</t>
  </si>
  <si>
    <t>Addphos 50 EC</t>
  </si>
  <si>
    <t>PHP-506</t>
  </si>
  <si>
    <t>Adnan Corporation</t>
  </si>
  <si>
    <t>100 ml</t>
  </si>
  <si>
    <t>Mosquito | 100 ml</t>
  </si>
  <si>
    <t>Temos 50EC</t>
  </si>
  <si>
    <t>PHP-551</t>
  </si>
  <si>
    <t>Tetop 50EC</t>
  </si>
  <si>
    <t>PHP-563</t>
  </si>
  <si>
    <t>Mix 50EC</t>
  </si>
  <si>
    <t>PHP-782</t>
  </si>
  <si>
    <t>0.5 ml/ Litre of water</t>
  </si>
  <si>
    <t>Mosquito Larva | 0.5 ml/ Litre of water</t>
  </si>
  <si>
    <t>T-Phos 50%</t>
  </si>
  <si>
    <t>PHP-863</t>
  </si>
  <si>
    <t>Tasin &amp; Co.</t>
  </si>
  <si>
    <t>Marex 50EC</t>
  </si>
  <si>
    <t>PHP-865</t>
  </si>
  <si>
    <t>Terminator 1SG</t>
  </si>
  <si>
    <t>PHP-940</t>
  </si>
  <si>
    <t>120 gm+10 Litre water/Decomel</t>
  </si>
  <si>
    <t>Mosquito Larva | 120 gm+10 Litre water/Decomel</t>
  </si>
  <si>
    <t>Temelarve 50EC</t>
  </si>
  <si>
    <t>PHP-1021</t>
  </si>
  <si>
    <t>Temeopest 50EC</t>
  </si>
  <si>
    <t>PHP-1022</t>
  </si>
  <si>
    <t>Agrivision Crop Care &amp; Public Health</t>
  </si>
  <si>
    <t>Hiltem 50EC</t>
  </si>
  <si>
    <t>PHP-1034</t>
  </si>
  <si>
    <t>Larviguard 50EC</t>
  </si>
  <si>
    <t>PHP-1052</t>
  </si>
  <si>
    <t>Mosquito | 90 ml/ha</t>
  </si>
  <si>
    <t>Ravtelic 50EC</t>
  </si>
  <si>
    <t>PHP-1075</t>
  </si>
  <si>
    <t>Raven Agro Chemicals Ltd.</t>
  </si>
  <si>
    <t>2 gm/m3</t>
  </si>
  <si>
    <t>Adult Mosquito | 2 gm/m3</t>
  </si>
  <si>
    <t>Tephra 50EC</t>
  </si>
  <si>
    <t>PHP-1094</t>
  </si>
  <si>
    <t>Temegold 50EC</t>
  </si>
  <si>
    <t>PHP-1097</t>
  </si>
  <si>
    <t>Padma Agro Sprayer Co. Ltd.</t>
  </si>
  <si>
    <t>Charlie Phos 50EC</t>
  </si>
  <si>
    <t>PHP-1122</t>
  </si>
  <si>
    <t>Noback 50L</t>
  </si>
  <si>
    <t>PHP-22</t>
  </si>
  <si>
    <t>3.00 litre/ha</t>
  </si>
  <si>
    <t>Mosquito Larva | 3.00 litre/ha</t>
  </si>
  <si>
    <t>Fendona 5WP</t>
  </si>
  <si>
    <t>PHP-29</t>
  </si>
  <si>
    <t>200 gm/ha &amp; 0.2 gm/m2 respectively</t>
  </si>
  <si>
    <t>Adult Mosquito &amp; Larva | 200 gm/ha &amp; 0.2 gm/m2 respectively</t>
  </si>
  <si>
    <t>Fendona 10SC</t>
  </si>
  <si>
    <t>PHP-24</t>
  </si>
  <si>
    <t>0.01 gm ai/m2/100 litre of water</t>
  </si>
  <si>
    <t>Adult Mosquito &amp; Larva | 0.01 gm ai/m2/100 litre of water</t>
  </si>
  <si>
    <t>Rubi 5 WP</t>
  </si>
  <si>
    <t>PHP-379</t>
  </si>
  <si>
    <t>0.6 gm + 25 ml water/m2</t>
  </si>
  <si>
    <t>Sandfly | 0.6 gm + 25 ml water/m2</t>
  </si>
  <si>
    <t>Unipar 10EC</t>
  </si>
  <si>
    <t>PHP-485</t>
  </si>
  <si>
    <t>1000 ml/ha</t>
  </si>
  <si>
    <t>Mosquito | 1000 ml/ha</t>
  </si>
  <si>
    <t>Alcykon 5WP</t>
  </si>
  <si>
    <t>PHP-942</t>
  </si>
  <si>
    <t>33m2-50 gm+10 Litre water</t>
  </si>
  <si>
    <t>Mosquito | 33m2-50 gm+10 Litre water</t>
  </si>
  <si>
    <t>Cyperkil 10EC</t>
  </si>
  <si>
    <t>PHP-1107</t>
  </si>
  <si>
    <t>Redical Crop Science Ltd.</t>
  </si>
  <si>
    <t>2 ml with 24c.c.water/100 m3 area</t>
  </si>
  <si>
    <t>Mosquito Larva | 2 ml with 24c.c.water/100 m3 area</t>
  </si>
  <si>
    <t>Uniper Plus 10EC</t>
  </si>
  <si>
    <t>PHP-1109</t>
  </si>
  <si>
    <t>United Pest Control Services</t>
  </si>
  <si>
    <t>Propoxour</t>
  </si>
  <si>
    <t>Prosper 50WP</t>
  </si>
  <si>
    <t>PHP-918</t>
  </si>
  <si>
    <t>33m2-500 gm+15 Litre water/250m2</t>
  </si>
  <si>
    <t>Cockroach | 33m2-500 gm+15 Litre water/250m2</t>
  </si>
  <si>
    <t>Demon 10 EC</t>
  </si>
  <si>
    <t>PHP-36</t>
  </si>
  <si>
    <t>Syngenta (Bangladesh) Limited</t>
  </si>
  <si>
    <t>2 c.c/100 m3</t>
  </si>
  <si>
    <t>Adult Mosquito | 2 c.c/100 m3</t>
  </si>
  <si>
    <t>Cyperhealth 10 EC</t>
  </si>
  <si>
    <t>PHP-91</t>
  </si>
  <si>
    <t>Servi Health</t>
  </si>
  <si>
    <t>20c.c mixed with 225c.c/water/100m3</t>
  </si>
  <si>
    <t>Adult Mosquito | 20c.c mixed with 225c.c/water/100m3</t>
  </si>
  <si>
    <t>Keeper 10 EC</t>
  </si>
  <si>
    <t>PHP-168</t>
  </si>
  <si>
    <t>1.20 ml/water/m2</t>
  </si>
  <si>
    <t>Adult Mosquito &amp; Larva | 1.20 ml/water/m2</t>
  </si>
  <si>
    <t>Devicyper 10 EC</t>
  </si>
  <si>
    <t>PHP-185</t>
  </si>
  <si>
    <t>Adult Mosquito | 2 ml with 24c.c.water/100 m3 area</t>
  </si>
  <si>
    <t>Gear 10EC</t>
  </si>
  <si>
    <t>PHP-264</t>
  </si>
  <si>
    <t>Hit Chalk</t>
  </si>
  <si>
    <t>PHP-679</t>
  </si>
  <si>
    <t>Godrej Household Products (BD) Pvt. Ltd</t>
  </si>
  <si>
    <t>Two cross lines in a circle with 12.5 cm</t>
  </si>
  <si>
    <t>Cockroach | Two cross lines in a circle with 12.5 cm</t>
  </si>
  <si>
    <t>Bentacide 2.50 EC Special</t>
  </si>
  <si>
    <t>PHP-1089</t>
  </si>
  <si>
    <t>10 ml/m2</t>
  </si>
  <si>
    <t>Mosquito Larva | 10 ml/m2</t>
  </si>
  <si>
    <t>Adulthion S 57 EC</t>
  </si>
  <si>
    <t>PHP-1042</t>
  </si>
  <si>
    <t>Mosquito &amp; larva (adult)</t>
  </si>
  <si>
    <t>3.5 ml with 80c.c. water/m2</t>
  </si>
  <si>
    <t>Mosquito &amp; larva (adult) | 3.5 ml with 80c.c. water/m2</t>
  </si>
  <si>
    <t>Citythion S 5% RFU</t>
  </si>
  <si>
    <t>PHP-1043</t>
  </si>
  <si>
    <t>Mosquito &amp; larva (adult) | 6 ml/100m3</t>
  </si>
  <si>
    <t>Citythion N 5% RFU</t>
  </si>
  <si>
    <t>PHP-1044</t>
  </si>
  <si>
    <t>Adultthion N 57EC</t>
  </si>
  <si>
    <t>PHP-1045</t>
  </si>
  <si>
    <t>Adiskill Liquid Spray 5% RFU</t>
  </si>
  <si>
    <t>PHP-1067</t>
  </si>
  <si>
    <t>Adult Mosquit</t>
  </si>
  <si>
    <t>Adult Mosquit | 6 ml/100m3</t>
  </si>
  <si>
    <t>Gethion 5% RUF</t>
  </si>
  <si>
    <t>PHP-1090</t>
  </si>
  <si>
    <t>40 Litre/100 Litres of water</t>
  </si>
  <si>
    <t>Adult Mosquit | 40 Litre/100 Litres of water</t>
  </si>
  <si>
    <t>Citythion 5% RFU</t>
  </si>
  <si>
    <t>PHP-1093</t>
  </si>
  <si>
    <t>Shooter 2.5 EC</t>
  </si>
  <si>
    <t>PHP-140</t>
  </si>
  <si>
    <t>Cockroach, Mosquito Larva</t>
  </si>
  <si>
    <t>100-120 gm/100 m2 active; 1000ml/ha</t>
  </si>
  <si>
    <t>Cockroach | 100-120 gm/100 m2 active
Mosquito Larva | 1000ml/ha</t>
  </si>
  <si>
    <t>Limcon 2.5 EC</t>
  </si>
  <si>
    <t>PHP-321</t>
  </si>
  <si>
    <t>Mosquito Adult, Mosquito Larva</t>
  </si>
  <si>
    <t>4 ml/24 ml lit of water</t>
  </si>
  <si>
    <t>Mosquito Adult | 4 ml/24 ml lit of water
Mosquito Larva | 4 ml/24 ml lit of water</t>
  </si>
  <si>
    <t>Tasla 10WP</t>
  </si>
  <si>
    <t>PHP-344</t>
  </si>
  <si>
    <t>Adult Mosquito, Cockroach</t>
  </si>
  <si>
    <t>62.5 gm/8 litre of water in 200m2; 62.20 g//8 Litre in 200 m2</t>
  </si>
  <si>
    <t>Adult Mosquito | 62.5 gm/8 litre of water in 200m2
Cockroach | 62.20 g//8 Litre in 200 m2</t>
  </si>
  <si>
    <t>Lambda Gold 2.5 EC</t>
  </si>
  <si>
    <t>PHP-406</t>
  </si>
  <si>
    <t>33 cm</t>
  </si>
  <si>
    <t>Mosquito | 33 cm</t>
  </si>
  <si>
    <t>Unida 2.5 EC</t>
  </si>
  <si>
    <t>PHP-486</t>
  </si>
  <si>
    <t>Proton 10WP</t>
  </si>
  <si>
    <t>PHP-631</t>
  </si>
  <si>
    <t>100gm +10 Litre water/500m2</t>
  </si>
  <si>
    <t>Mosquito/Cockroach | 100gm +10 Litre water/500m2</t>
  </si>
  <si>
    <t>Token 10WP</t>
  </si>
  <si>
    <t>PHP-772</t>
  </si>
  <si>
    <t>62.5 gm/2000m2</t>
  </si>
  <si>
    <t>Mosquito/Cockroach | 62.5 gm/2000m2</t>
  </si>
  <si>
    <t>Sherat Plus 10WP</t>
  </si>
  <si>
    <t>PHP-775</t>
  </si>
  <si>
    <t>Baybylon Agriscience Ltd.</t>
  </si>
  <si>
    <t>125 gm/10 Litre of water</t>
  </si>
  <si>
    <t>Mosquito | 125 gm/10 Litre of water</t>
  </si>
  <si>
    <t>Ahad 10WP</t>
  </si>
  <si>
    <t>PHP-781</t>
  </si>
  <si>
    <t>Mosquito/Cockroach | 125 gm/10 Litre of water</t>
  </si>
  <si>
    <t>Flake 10WP</t>
  </si>
  <si>
    <t>PHP-866</t>
  </si>
  <si>
    <t>Mosquito, Cockroach</t>
  </si>
  <si>
    <t>62.5 gm + 8 Litre water/200m2; 70 gm + 8 Litre water/200m2</t>
  </si>
  <si>
    <t>Mosquito | 62.5 gm + 8 Litre water/200m2
Cockroach | 70 gm + 8 Litre water/200m2</t>
  </si>
  <si>
    <t>Santi 10WP</t>
  </si>
  <si>
    <t>PHP-881</t>
  </si>
  <si>
    <t>33m2, 100 gm+10 Litre water/500m2</t>
  </si>
  <si>
    <t>Mosquito | 33m2, 100 gm+10 Litre water/500m2</t>
  </si>
  <si>
    <t>Feda 10WP</t>
  </si>
  <si>
    <t>PHP-882</t>
  </si>
  <si>
    <t>Mosquito, Cockroach, Bed bug</t>
  </si>
  <si>
    <t>62.5 gm+8 Litre water/200m2</t>
  </si>
  <si>
    <t>Mosquito, Cockroach, Bed bug | 62.5 gm+8 Litre water/200m2</t>
  </si>
  <si>
    <t>M R Lambda 2.5EC</t>
  </si>
  <si>
    <t>PHP-925</t>
  </si>
  <si>
    <t>2.0 L/ha (4 ml/L of water)</t>
  </si>
  <si>
    <t>Mosquito Larva | 2.0 L/ha (4 ml/L of water)</t>
  </si>
  <si>
    <t>Cockcide 10WP</t>
  </si>
  <si>
    <t>PHP-952</t>
  </si>
  <si>
    <t>Adult Mosquito, Cockroach,Housefly</t>
  </si>
  <si>
    <t>62.5 gm/8 Litre water/100m2</t>
  </si>
  <si>
    <t>Adult Mosquito, Cockroach,Housefly | 62.5 gm/8 Litre water/100m2</t>
  </si>
  <si>
    <t>Mukim 10WP</t>
  </si>
  <si>
    <t>PHP-1029</t>
  </si>
  <si>
    <t>Adult Mosquito, Housefly</t>
  </si>
  <si>
    <t>Adult Mosquito, Housefly | 62.5 gm/8 Litre water/100m2</t>
  </si>
  <si>
    <t>iGold 10WP</t>
  </si>
  <si>
    <t>PHP-1030</t>
  </si>
  <si>
    <t>D M Crop Care Ltd.</t>
  </si>
  <si>
    <t>Nasla 10WP</t>
  </si>
  <si>
    <t>PHP-1104</t>
  </si>
  <si>
    <t>RIS Agro</t>
  </si>
  <si>
    <t>Adult Mosquito | 62.5 gm/8 Litre water/100m2</t>
  </si>
  <si>
    <t>Rasler 10WP</t>
  </si>
  <si>
    <t>PHP-1106</t>
  </si>
  <si>
    <t>Ramda 1oWP</t>
  </si>
  <si>
    <t>PHP-1118</t>
  </si>
  <si>
    <t>Labiba 10WP</t>
  </si>
  <si>
    <t>PHP-1119</t>
  </si>
  <si>
    <t>d-allethrin (Pynamine fort)</t>
  </si>
  <si>
    <t>Globe Mosquito Coil</t>
  </si>
  <si>
    <t>PHP-06</t>
  </si>
  <si>
    <t>1.20 ml/m2</t>
  </si>
  <si>
    <t>Adult Mosquito | 1.20 ml/m2</t>
  </si>
  <si>
    <t>A R S Mosquito Coil</t>
  </si>
  <si>
    <t>PHP-16</t>
  </si>
  <si>
    <t>Polar Brand Mosquito Coil</t>
  </si>
  <si>
    <t>PHP-42</t>
  </si>
  <si>
    <t>Shanta Chemical Company</t>
  </si>
  <si>
    <t>Lizard Brand Mosquito Coil</t>
  </si>
  <si>
    <t>PHP-43</t>
  </si>
  <si>
    <t>Shiyuli Chemical Works</t>
  </si>
  <si>
    <t>AC-7 Brand Mosquito Coil</t>
  </si>
  <si>
    <t>PHP-45</t>
  </si>
  <si>
    <t>Alif Chemical Company</t>
  </si>
  <si>
    <t>Akash Pori Brand Mosquito Coil</t>
  </si>
  <si>
    <t>PHP-107</t>
  </si>
  <si>
    <t>Yakub and Mahbub Chemical Works</t>
  </si>
  <si>
    <t>Stop Brand Mosquito Coil</t>
  </si>
  <si>
    <t>PHP-139</t>
  </si>
  <si>
    <t>Globe-Janakantha Shilpa Paribar Limited</t>
  </si>
  <si>
    <t>Aroma Mosquito Coil</t>
  </si>
  <si>
    <t>PHP-165</t>
  </si>
  <si>
    <t>Ruma Chemical Company</t>
  </si>
  <si>
    <t>Family Super Mosquito Coil</t>
  </si>
  <si>
    <t>PHP-166</t>
  </si>
  <si>
    <t>Joy Chemical Company</t>
  </si>
  <si>
    <t>d-trans allethrin (0.30%)</t>
  </si>
  <si>
    <t>Elephant King Plus Mosquito Coil</t>
  </si>
  <si>
    <t>PHP-172</t>
  </si>
  <si>
    <t>Maladesh International (Pvt) Limited</t>
  </si>
  <si>
    <t>Lion King Mosquito Coil</t>
  </si>
  <si>
    <t>PHP-177</t>
  </si>
  <si>
    <t>Lancei Chemecomplex</t>
  </si>
  <si>
    <t>Parot Mosquito Coil</t>
  </si>
  <si>
    <t>PHP-178</t>
  </si>
  <si>
    <t>Acme King</t>
  </si>
  <si>
    <t>PHP-277</t>
  </si>
  <si>
    <t>Sinha &amp; Sons</t>
  </si>
  <si>
    <t>63x63x73 cm3</t>
  </si>
  <si>
    <t>Adult Mosquito | 63x63x73 cm3</t>
  </si>
  <si>
    <t>Acme Booster Mosquito Coil</t>
  </si>
  <si>
    <t>PHP-278</t>
  </si>
  <si>
    <t>Elephant King Mosquito Coil</t>
  </si>
  <si>
    <t>PHP-309</t>
  </si>
  <si>
    <t>Chakra Mosquito Coil</t>
  </si>
  <si>
    <t>PHP-325</t>
  </si>
  <si>
    <t>Ethical Organics Ltd</t>
  </si>
  <si>
    <t>Baoma Mosquito Repellent Insect Killer Mosquito Coil</t>
  </si>
  <si>
    <t>PHP-398</t>
  </si>
  <si>
    <t>Rafiq Traders</t>
  </si>
  <si>
    <t>Mosquito | 63x63x73 cm3</t>
  </si>
  <si>
    <t>Sant Martien Brand Mosquito Coil</t>
  </si>
  <si>
    <t>PHP-408</t>
  </si>
  <si>
    <t>Bashir Chemical Works</t>
  </si>
  <si>
    <t>Suprime 556 Booster Mosquito Coil</t>
  </si>
  <si>
    <t>PHP-414</t>
  </si>
  <si>
    <t>Shahid Chemical Company</t>
  </si>
  <si>
    <t>ROC Mosquito Coil</t>
  </si>
  <si>
    <t>PHP-425</t>
  </si>
  <si>
    <t>S A Formulation Ltd.</t>
  </si>
  <si>
    <t>Phonix Power Booster Mosquito Coil</t>
  </si>
  <si>
    <t>PHP-432</t>
  </si>
  <si>
    <t>PHP-440</t>
  </si>
  <si>
    <t>Astro Brand Mosquito Coil</t>
  </si>
  <si>
    <t>PHP-456</t>
  </si>
  <si>
    <t>Asad Enterprise</t>
  </si>
  <si>
    <t>Elephant King Booster Mosquito Coil</t>
  </si>
  <si>
    <t>PHP-457</t>
  </si>
  <si>
    <t>Rico Mosquito Coil</t>
  </si>
  <si>
    <t>PHP-459</t>
  </si>
  <si>
    <t>Bengal Tiger Brand Mosquito Coil</t>
  </si>
  <si>
    <t>PHP-463</t>
  </si>
  <si>
    <t>Asia Winner Bangladesh</t>
  </si>
  <si>
    <t>Sound Sleep Mosquito Coil</t>
  </si>
  <si>
    <t>PHP-470</t>
  </si>
  <si>
    <t>BG Enterprise</t>
  </si>
  <si>
    <t>Dragon Brand Mosquito Coil</t>
  </si>
  <si>
    <t>PHP-481</t>
  </si>
  <si>
    <t>Sunon International</t>
  </si>
  <si>
    <t>Grand Lion Mosquito Coil</t>
  </si>
  <si>
    <t>PHP-502</t>
  </si>
  <si>
    <t>Hit Aerosol Flying Insect Killer</t>
  </si>
  <si>
    <t>PHP-528</t>
  </si>
  <si>
    <t>Anlu Brand Mosquito Coil</t>
  </si>
  <si>
    <t>PHP-542</t>
  </si>
  <si>
    <t>Quality Craft (BD) Ltd</t>
  </si>
  <si>
    <t>Hero Jumboo Mosquito Coil</t>
  </si>
  <si>
    <t>PHP-559</t>
  </si>
  <si>
    <t>Perfect Chemical Company</t>
  </si>
  <si>
    <t>Bomb Special Brand Mosquito Coil</t>
  </si>
  <si>
    <t>PHP-571</t>
  </si>
  <si>
    <t>Khan Traders</t>
  </si>
  <si>
    <t>Power Boss Brand Mosquito Coil</t>
  </si>
  <si>
    <t>PHP-572</t>
  </si>
  <si>
    <t>H R T Corporation</t>
  </si>
  <si>
    <t>Nova Super Brand Mosquito Coil</t>
  </si>
  <si>
    <t>PHP-580</t>
  </si>
  <si>
    <t>Red Star Mosquito Coil</t>
  </si>
  <si>
    <t>PHP-584</t>
  </si>
  <si>
    <t>Nuha International</t>
  </si>
  <si>
    <t>Bangla Hi Power Jumboo Mosquito Coil</t>
  </si>
  <si>
    <t>PHP-635</t>
  </si>
  <si>
    <t>Bangla Food &amp; Chemical Industries</t>
  </si>
  <si>
    <t>New Good Knight Jumbo Mosquit Coil</t>
  </si>
  <si>
    <t>PHP-638</t>
  </si>
  <si>
    <t>Beema Brand Mosquit Coil</t>
  </si>
  <si>
    <t>PHP-639</t>
  </si>
  <si>
    <t>Heaven International</t>
  </si>
  <si>
    <t>Qiao Huai Mosquito</t>
  </si>
  <si>
    <t>PHP-642</t>
  </si>
  <si>
    <t>Sarah Comminication</t>
  </si>
  <si>
    <t>Hot Link Mosquito Coil</t>
  </si>
  <si>
    <t>PHP-646</t>
  </si>
  <si>
    <t>Masranga Mosquito Coil</t>
  </si>
  <si>
    <t>PHP-648</t>
  </si>
  <si>
    <t>Shova Consumer Care</t>
  </si>
  <si>
    <t>Penguin Super Mosquito Coil</t>
  </si>
  <si>
    <t>PHP-649</t>
  </si>
  <si>
    <t>ATN Premium Mosquito Coil</t>
  </si>
  <si>
    <t>PHP-661</t>
  </si>
  <si>
    <t>ATN Chemical Industries Ltd.</t>
  </si>
  <si>
    <t>Frog King Jumbo Mosquito Coil</t>
  </si>
  <si>
    <t>PHP-662</t>
  </si>
  <si>
    <t>S K Corporation</t>
  </si>
  <si>
    <t>New Solar Violet Power Mosquito Coil</t>
  </si>
  <si>
    <t>PHP-683</t>
  </si>
  <si>
    <t>Nuha Chemical Works</t>
  </si>
  <si>
    <t>Sun Seed Mosquito Coil</t>
  </si>
  <si>
    <t>PHP-688</t>
  </si>
  <si>
    <t>Top One Mosquito Coil</t>
  </si>
  <si>
    <t>PHP-690</t>
  </si>
  <si>
    <t>Ratro Oval Mosquito Coil</t>
  </si>
  <si>
    <t>PHP-693</t>
  </si>
  <si>
    <t>Ashraf Food Products</t>
  </si>
  <si>
    <t>Camel Active Mosquito Coil</t>
  </si>
  <si>
    <t>PHP-706</t>
  </si>
  <si>
    <t>J K Corporation</t>
  </si>
  <si>
    <t>Don Super Jamboo Mosquito Coil</t>
  </si>
  <si>
    <t>PHP-707</t>
  </si>
  <si>
    <t>J &amp; B Chemical Works</t>
  </si>
  <si>
    <t>Black Panther Plant Fibre Mosquito Coil</t>
  </si>
  <si>
    <t>PHP-732</t>
  </si>
  <si>
    <t>Hussain Trading Company</t>
  </si>
  <si>
    <t>New Frog King Mosquito Coil</t>
  </si>
  <si>
    <t>PHP-734</t>
  </si>
  <si>
    <t>Bhai Bhai Chemical</t>
  </si>
  <si>
    <t>Chim Thai Mosquito Coil</t>
  </si>
  <si>
    <t>PHP-735</t>
  </si>
  <si>
    <t>Rural Mosquito Coil</t>
  </si>
  <si>
    <t>PHP-742</t>
  </si>
  <si>
    <t>R M Mosquito Coil</t>
  </si>
  <si>
    <t>PHP-743</t>
  </si>
  <si>
    <t>R M International</t>
  </si>
  <si>
    <t>New Dragon Plant Fibre Mosquito Coil</t>
  </si>
  <si>
    <t>PHP-748</t>
  </si>
  <si>
    <t>BD United Power</t>
  </si>
  <si>
    <t>Moon Star Deadly Mosquito Coil</t>
  </si>
  <si>
    <t>PHP-751</t>
  </si>
  <si>
    <t>Mim Trading</t>
  </si>
  <si>
    <t>Bonus Mosquti Coil</t>
  </si>
  <si>
    <t>PHP-752</t>
  </si>
  <si>
    <t>World Rivolt Mother &amp; Sons</t>
  </si>
  <si>
    <t>Quick Killer Mosquito Coil</t>
  </si>
  <si>
    <t>PHP-754</t>
  </si>
  <si>
    <t>Versatle</t>
  </si>
  <si>
    <t>Lulu Plant Fibre Mosquito Coil</t>
  </si>
  <si>
    <t>PHP-756</t>
  </si>
  <si>
    <t>Evana Crop Life</t>
  </si>
  <si>
    <t>Ali Always Time King Mosquito Coil</t>
  </si>
  <si>
    <t>PHP-765</t>
  </si>
  <si>
    <t>Ali Chemical</t>
  </si>
  <si>
    <t>New Sweet Dream Mosquito Coil</t>
  </si>
  <si>
    <t>PHP-787</t>
  </si>
  <si>
    <t>A B Traders</t>
  </si>
  <si>
    <t>Sisstar Mosquito Coil</t>
  </si>
  <si>
    <t>PHP-788</t>
  </si>
  <si>
    <t>Nadia Enterprise</t>
  </si>
  <si>
    <t>Bests Mosquito Coil</t>
  </si>
  <si>
    <t>PHP-790</t>
  </si>
  <si>
    <t>Rosi Enterprise</t>
  </si>
  <si>
    <t>Special Power Mosquito Coil</t>
  </si>
  <si>
    <t>PHP-800</t>
  </si>
  <si>
    <t>Jogonnath Chemical Works</t>
  </si>
  <si>
    <t>Selfi Mosquito Coil</t>
  </si>
  <si>
    <t>PHP-801</t>
  </si>
  <si>
    <t>Nanjing Agro Chemical</t>
  </si>
  <si>
    <t>Hight Speed Acition Mosquito Coil</t>
  </si>
  <si>
    <t>PHP-802</t>
  </si>
  <si>
    <t>Sadiya Enterprise</t>
  </si>
  <si>
    <t>NMR Magic Jamboo Mosquito Coil</t>
  </si>
  <si>
    <t>PHP-803</t>
  </si>
  <si>
    <t>N M R Enterprise</t>
  </si>
  <si>
    <t>New Cobra Super Mosquito Coil</t>
  </si>
  <si>
    <t>PHP-805</t>
  </si>
  <si>
    <t>Triangle Consumer</t>
  </si>
  <si>
    <t>Ninja Style Mosquito Coil</t>
  </si>
  <si>
    <t>PHP-829</t>
  </si>
  <si>
    <t>Rafique &amp; Co. (Pvt) Ltd.</t>
  </si>
  <si>
    <t>Shizi Mosquito Coil</t>
  </si>
  <si>
    <t>PHP-834</t>
  </si>
  <si>
    <t>Omega Mosquito Coil</t>
  </si>
  <si>
    <t>PHP-844</t>
  </si>
  <si>
    <t>Omega Extraction</t>
  </si>
  <si>
    <t>Shapla Exclusive Mosquito</t>
  </si>
  <si>
    <t>PHP-845</t>
  </si>
  <si>
    <t>Sanjim Food and Chemical Industries</t>
  </si>
  <si>
    <t>Magpie Mosquito Coil</t>
  </si>
  <si>
    <t>PHP-848</t>
  </si>
  <si>
    <t>Maruf Enterprise</t>
  </si>
  <si>
    <t>Domino Mosquito Coil</t>
  </si>
  <si>
    <t>PHP-853</t>
  </si>
  <si>
    <t>Sunmoon Micro Smoke Mosquito Repellent Inceuse Coil</t>
  </si>
  <si>
    <t>PHP-858</t>
  </si>
  <si>
    <t>Niha International</t>
  </si>
  <si>
    <t>S S Active Booster Mosquito Coil</t>
  </si>
  <si>
    <t>PHP-859</t>
  </si>
  <si>
    <t>S S Trade Com International</t>
  </si>
  <si>
    <t>Norani Mosquito Coil</t>
  </si>
  <si>
    <t>PHP-870</t>
  </si>
  <si>
    <t>Ruhan &amp; Ratul Chemical Works</t>
  </si>
  <si>
    <t>New Chokh Mosquito Coil</t>
  </si>
  <si>
    <t>PHP-875</t>
  </si>
  <si>
    <t>Sakib Chemicals &amp; Industrr</t>
  </si>
  <si>
    <t>Eyassa Super Mosquito Coil</t>
  </si>
  <si>
    <t>PHP-876</t>
  </si>
  <si>
    <t>Al-Eyassa Trading</t>
  </si>
  <si>
    <t>Tip Top Mosquito Coil</t>
  </si>
  <si>
    <t>PHP-900</t>
  </si>
  <si>
    <t>Rafa Enterprise</t>
  </si>
  <si>
    <t>Tata Mosquito Coil</t>
  </si>
  <si>
    <t>PHP-902</t>
  </si>
  <si>
    <t>Sanjida Chemical Works</t>
  </si>
  <si>
    <t>Bonolota Mega Mosquito</t>
  </si>
  <si>
    <t>PHP-903</t>
  </si>
  <si>
    <t>Medul International</t>
  </si>
  <si>
    <t>Black Panther Mega Mosquito Coil</t>
  </si>
  <si>
    <t>PHP-905</t>
  </si>
  <si>
    <t>Dhanes Pakhi Mosquito Coil</t>
  </si>
  <si>
    <t>PHP-907</t>
  </si>
  <si>
    <t>Kadir &amp; Co.</t>
  </si>
  <si>
    <t>Capital Mosquito Coil</t>
  </si>
  <si>
    <t>PHP-910</t>
  </si>
  <si>
    <t>Capital Coil Industries</t>
  </si>
  <si>
    <t>Safe Guard Ki9ng Mosquito Coil</t>
  </si>
  <si>
    <t>PHP-922</t>
  </si>
  <si>
    <t>Riyaz Consumer Products</t>
  </si>
  <si>
    <t>S S Power Mosquito Coil</t>
  </si>
  <si>
    <t>PHP-926</t>
  </si>
  <si>
    <t>S S Power</t>
  </si>
  <si>
    <t>Teer Mosquito Coil</t>
  </si>
  <si>
    <t>PHP-927</t>
  </si>
  <si>
    <t>Harun Chemical Works</t>
  </si>
  <si>
    <t>New Tech Agro Science</t>
  </si>
  <si>
    <t>PHP-934</t>
  </si>
  <si>
    <t>New Tech Mosquito Coil</t>
  </si>
  <si>
    <t>Joom Mosquito Coil</t>
  </si>
  <si>
    <t>PHP-937</t>
  </si>
  <si>
    <t>Sun Basic Chemicals Ltd.</t>
  </si>
  <si>
    <t>Yash Mosqutio Coil</t>
  </si>
  <si>
    <t>PHP-947</t>
  </si>
  <si>
    <t>Pak Panjatan Chemical works</t>
  </si>
  <si>
    <t>Kaman Mosquito Coil</t>
  </si>
  <si>
    <t>PHP-949</t>
  </si>
  <si>
    <t>Agromine Heat Max Mosquito Coil</t>
  </si>
  <si>
    <t>PHP-954</t>
  </si>
  <si>
    <t>Agromine (Pvt) Limited</t>
  </si>
  <si>
    <t>Surja Magic Mosquito Coil</t>
  </si>
  <si>
    <t>PHP-955</t>
  </si>
  <si>
    <t>Chisthia Marketing &amp; Distribution</t>
  </si>
  <si>
    <t>M R Mosquito Coil</t>
  </si>
  <si>
    <t>PHP-956</t>
  </si>
  <si>
    <t>Rani Super Hi Quality Mosquito Coil</t>
  </si>
  <si>
    <t>PHP-957</t>
  </si>
  <si>
    <t>Jasmine Chemical &amp; Company</t>
  </si>
  <si>
    <t>World Mosquito Coil</t>
  </si>
  <si>
    <t>PHP-958</t>
  </si>
  <si>
    <t>Royal Power Booster Mosquito Coil</t>
  </si>
  <si>
    <t>PHP-959</t>
  </si>
  <si>
    <t>Khan Trading Corporation</t>
  </si>
  <si>
    <t>Panna Mosquito Coil</t>
  </si>
  <si>
    <t>PHP-960</t>
  </si>
  <si>
    <t>Panna Enterprise</t>
  </si>
  <si>
    <t>Killer Jumbo Extra Power Mosquito Coil</t>
  </si>
  <si>
    <t>PHP-962</t>
  </si>
  <si>
    <t>Mosa Killer Mosquito Coil</t>
  </si>
  <si>
    <t>PHP-966</t>
  </si>
  <si>
    <t>M M Traders</t>
  </si>
  <si>
    <t>J C I Mosquito Coil</t>
  </si>
  <si>
    <t>PHP-967</t>
  </si>
  <si>
    <t>Jamil Consumer Ltd.</t>
  </si>
  <si>
    <t>Talent Mosquito Coil</t>
  </si>
  <si>
    <t>PHP-969</t>
  </si>
  <si>
    <t>Talent Trading Corporation</t>
  </si>
  <si>
    <t>Murog Mosquito Coil</t>
  </si>
  <si>
    <t>PHP-971</t>
  </si>
  <si>
    <t>Sajib Consumer Products</t>
  </si>
  <si>
    <t>Star Jumbo Mosquito Coil</t>
  </si>
  <si>
    <t>PHP-976</t>
  </si>
  <si>
    <t>Star Chemical &amp; Consumer Products</t>
  </si>
  <si>
    <t>Real Mosquito Coil</t>
  </si>
  <si>
    <t>PHP-977</t>
  </si>
  <si>
    <t>Fine Max Jumbo Mosquito Coil</t>
  </si>
  <si>
    <t>PHP-979</t>
  </si>
  <si>
    <t>L M Chemical &amp; Co.</t>
  </si>
  <si>
    <t>Rater Pori Mosquito Coil</t>
  </si>
  <si>
    <t>PHP-985</t>
  </si>
  <si>
    <t>AAA International</t>
  </si>
  <si>
    <t>Arosh Heavy Heat Mosquito Coil</t>
  </si>
  <si>
    <t>PHP-988</t>
  </si>
  <si>
    <t>Arosh International</t>
  </si>
  <si>
    <t>Dada Mosquito Coil</t>
  </si>
  <si>
    <t>PHP-989</t>
  </si>
  <si>
    <t>A K Chemical &amp; Consumer Products</t>
  </si>
  <si>
    <t>Kartus Mosquito Coil</t>
  </si>
  <si>
    <t>PHP-991</t>
  </si>
  <si>
    <t>Jahan Chemical</t>
  </si>
  <si>
    <t>R M Mega Mosquito Coil</t>
  </si>
  <si>
    <t>PHP-995</t>
  </si>
  <si>
    <t>R M Chemical Industry</t>
  </si>
  <si>
    <t>Shera Mosquito Coil</t>
  </si>
  <si>
    <t>PHP-997</t>
  </si>
  <si>
    <t>Islam Chemicals Industries</t>
  </si>
  <si>
    <t>Bullet King Mosquito Coil</t>
  </si>
  <si>
    <t>PHP-999</t>
  </si>
  <si>
    <t>Mahbub Enterprise</t>
  </si>
  <si>
    <t>Champion Super Mosquito Coil</t>
  </si>
  <si>
    <t>PHP-1000</t>
  </si>
  <si>
    <t>Khan Enterprise</t>
  </si>
  <si>
    <t>Masa Mosquito Coil</t>
  </si>
  <si>
    <t>PHP-1001</t>
  </si>
  <si>
    <t>Azad Chemical Works</t>
  </si>
  <si>
    <t>Gopal Mosquito Coil</t>
  </si>
  <si>
    <t>PHP-1005</t>
  </si>
  <si>
    <t>Rudra Chemical Works</t>
  </si>
  <si>
    <t>Binash Mosquito Coil</t>
  </si>
  <si>
    <t>PHP-1007</t>
  </si>
  <si>
    <t>Udoyon Manufacturing</t>
  </si>
  <si>
    <t>Beema Bangla Mosquito Coil</t>
  </si>
  <si>
    <t>PHP-1010</t>
  </si>
  <si>
    <t>King Mosquito Coil</t>
  </si>
  <si>
    <t>King Trade Services</t>
  </si>
  <si>
    <t>Tiger Head Jumbo Mosquito Coil</t>
  </si>
  <si>
    <t>PHP-1014</t>
  </si>
  <si>
    <t>Rahim Uddin Varosha &amp; Co. Ltd.</t>
  </si>
  <si>
    <t>Dream Night Mosquito Coil</t>
  </si>
  <si>
    <t>PHP-1015</t>
  </si>
  <si>
    <t>Night Sheba Mosquito Coil</t>
  </si>
  <si>
    <t>PHP-1046</t>
  </si>
  <si>
    <t>Haji Chemical Works</t>
  </si>
  <si>
    <t>Allethrin 0.55%</t>
  </si>
  <si>
    <t>Globe Brand Mat</t>
  </si>
  <si>
    <t>PHP-20</t>
  </si>
  <si>
    <t>Good Knight Aerosol</t>
  </si>
  <si>
    <t>PHP-144</t>
  </si>
  <si>
    <t>Es biothrin</t>
  </si>
  <si>
    <t>Borak Brand Mosquito Coil</t>
  </si>
  <si>
    <t>PHP-41</t>
  </si>
  <si>
    <t>Minar Brand Mosquito Coil</t>
  </si>
  <si>
    <t>PHP-75</t>
  </si>
  <si>
    <t>Noor Chemical Company Works</t>
  </si>
  <si>
    <t>Good Knight Jambo Mosquito Repellent Coil</t>
  </si>
  <si>
    <t>PHP-142</t>
  </si>
  <si>
    <t>Super Knight Power Booster Mosquito Coil</t>
  </si>
  <si>
    <t>PHP-272</t>
  </si>
  <si>
    <t>63x63x73 cm2</t>
  </si>
  <si>
    <t>Adult Mosquito | 63x63x73 cm2</t>
  </si>
  <si>
    <t>Pollar King Mosquito Coil</t>
  </si>
  <si>
    <t>PHP-276</t>
  </si>
  <si>
    <t>City Brand Mosquito Coil</t>
  </si>
  <si>
    <t>PHP-381</t>
  </si>
  <si>
    <t>Babul Chemical Works</t>
  </si>
  <si>
    <t>Top Satar Brand Mosquito Coil</t>
  </si>
  <si>
    <t>PHP-392</t>
  </si>
  <si>
    <t>W H International</t>
  </si>
  <si>
    <t>All Time High Power Mosquito Coil</t>
  </si>
  <si>
    <t>PHP-399</t>
  </si>
  <si>
    <t>Happy Power Booster Mosquito Coil</t>
  </si>
  <si>
    <t>PHP-448</t>
  </si>
  <si>
    <t>Monir Chemical Works</t>
  </si>
  <si>
    <t>Chamak Mosquito Coil</t>
  </si>
  <si>
    <t>PHP-453</t>
  </si>
  <si>
    <t>M.D. Consumers Products</t>
  </si>
  <si>
    <t>Desh Sprime Brand Mosquito Coil</t>
  </si>
  <si>
    <t>PHP-489</t>
  </si>
  <si>
    <t>Desh Products</t>
  </si>
  <si>
    <t>Mosquito | 63x63x73 cm2</t>
  </si>
  <si>
    <t>Sonali King Black Mosquito Coil</t>
  </si>
  <si>
    <t>PHP-530</t>
  </si>
  <si>
    <t>Sharmin Chemical Works</t>
  </si>
  <si>
    <t>Nur Super Jadu Booster Mosquito Coil</t>
  </si>
  <si>
    <t>PHP-535</t>
  </si>
  <si>
    <t>Arif Enterprise</t>
  </si>
  <si>
    <t>Uzala Brand Mosquito Coil</t>
  </si>
  <si>
    <t>PHP-597</t>
  </si>
  <si>
    <t>Master Brand Mosquito Coil</t>
  </si>
  <si>
    <t>PHP-626</t>
  </si>
  <si>
    <t>Mahin Chemical Co.</t>
  </si>
  <si>
    <t>Boss Mosquito Coil</t>
  </si>
  <si>
    <t>PHP-660</t>
  </si>
  <si>
    <t>Arafat Chemical Works</t>
  </si>
  <si>
    <t>Hacker Mosquito Coil</t>
  </si>
  <si>
    <t>PHP-664</t>
  </si>
  <si>
    <t>Kazol Night Power Mosquito Coil</t>
  </si>
  <si>
    <t>PHP-731</t>
  </si>
  <si>
    <t>Kazol Chemical Industries</t>
  </si>
  <si>
    <t>Night Guard Tofan Mosquito Coil</t>
  </si>
  <si>
    <t>PHP-745</t>
  </si>
  <si>
    <t>Takwa Marketing Network</t>
  </si>
  <si>
    <t>Z-Fire Mosquito Coil</t>
  </si>
  <si>
    <t>PHP-791</t>
  </si>
  <si>
    <t>Z-Trading International</t>
  </si>
  <si>
    <t>New Sony Super Mosquito Coil</t>
  </si>
  <si>
    <t>PHP-795</t>
  </si>
  <si>
    <t>Tahasin Consumer Products</t>
  </si>
  <si>
    <t>Top King Mosquito Coil</t>
  </si>
  <si>
    <t>PHP-799</t>
  </si>
  <si>
    <t>Metali Enterprise</t>
  </si>
  <si>
    <t>Modi Mosquito Coil</t>
  </si>
  <si>
    <t>PHP-807</t>
  </si>
  <si>
    <t>S &amp; R Corporation</t>
  </si>
  <si>
    <t>Qeen Mega Mosquito Coil</t>
  </si>
  <si>
    <t>PHP-809</t>
  </si>
  <si>
    <t>Q Rani Ma Chemical Works</t>
  </si>
  <si>
    <t>Civil Magic Mosquito Coil</t>
  </si>
  <si>
    <t>PHP-810</t>
  </si>
  <si>
    <t>Seba Corporation</t>
  </si>
  <si>
    <t>Night Dream Mosquito Coil</t>
  </si>
  <si>
    <t>PHP-827</t>
  </si>
  <si>
    <t>Himaloy Mosquito Coil</t>
  </si>
  <si>
    <t>PHP-852</t>
  </si>
  <si>
    <t>Sharif Enterprise</t>
  </si>
  <si>
    <t>Mousumi Extra Power Mosquito Coil</t>
  </si>
  <si>
    <t>PHP-877</t>
  </si>
  <si>
    <t>Mousumi Chemical Works</t>
  </si>
  <si>
    <t>Jaguar Super Mosquito Coil</t>
  </si>
  <si>
    <t>PHP-883</t>
  </si>
  <si>
    <t>Shefa Chemical &amp; Food Industries (Pvt) Ltd.</t>
  </si>
  <si>
    <t>Mometa Super Mosquito Coil</t>
  </si>
  <si>
    <t>PHP-884</t>
  </si>
  <si>
    <t>Sent Martin Super Mosquito Coil</t>
  </si>
  <si>
    <t>PHP-893</t>
  </si>
  <si>
    <t>Golden Messi Mosquito Coil</t>
  </si>
  <si>
    <t>PHP-898</t>
  </si>
  <si>
    <t>National King Mosquito Coil</t>
  </si>
  <si>
    <t>PHP-917</t>
  </si>
  <si>
    <t>Bhuyan Chemical &amp; Foods</t>
  </si>
  <si>
    <t>Happy Noght Booster Mosquito Coil</t>
  </si>
  <si>
    <t>PHP-930</t>
  </si>
  <si>
    <t>Dayal Trading &amp; Chemical Works</t>
  </si>
  <si>
    <t>Zeero Mosquito Coil</t>
  </si>
  <si>
    <t>PHP-931</t>
  </si>
  <si>
    <t>Nazrul &amp; Brothers Chemical Works</t>
  </si>
  <si>
    <t>Ispat Neem Mosquito Coil</t>
  </si>
  <si>
    <t>PHP-968</t>
  </si>
  <si>
    <t>Golap Enterprise</t>
  </si>
  <si>
    <t>Arambag Jumbo Mosquito Coil</t>
  </si>
  <si>
    <t>PHP-972</t>
  </si>
  <si>
    <t>Biplob Chemical Company</t>
  </si>
  <si>
    <t>Banglar Bag Mosquito Coil</t>
  </si>
  <si>
    <t>PHP-974</t>
  </si>
  <si>
    <t>Duranta Chemical Works</t>
  </si>
  <si>
    <t>Magic Night Mosquito Coil</t>
  </si>
  <si>
    <t>PHP-1008</t>
  </si>
  <si>
    <t>A K Consumer Products Industries</t>
  </si>
  <si>
    <t>s-bioallethrin</t>
  </si>
  <si>
    <t>Attack King Mosquito Coil</t>
  </si>
  <si>
    <t>PHP-261</t>
  </si>
  <si>
    <t>Reaz Consumer Products</t>
  </si>
  <si>
    <t>1/2gm/63x63x73 cm2</t>
  </si>
  <si>
    <t>Adult Mosquito | 1/2gm/63x63x73 cm2</t>
  </si>
  <si>
    <t>Neem Red Rambo Mosquito Coil</t>
  </si>
  <si>
    <t>PHP-404</t>
  </si>
  <si>
    <t>ETOC (Prallethrin)</t>
  </si>
  <si>
    <t>Good Knight Expert Liquid Vaporiser</t>
  </si>
  <si>
    <t>PHP-143</t>
  </si>
  <si>
    <t>Mosfly Liquid Vaporizer</t>
  </si>
  <si>
    <t>PHP-418</t>
  </si>
  <si>
    <t>RAK Mosfly (Bangladesh) Pvt. Ltd</t>
  </si>
  <si>
    <t>63x63x73, 0.5 gm/20min</t>
  </si>
  <si>
    <t>Mosquito | 63x63x73, 0.5 gm/20min</t>
  </si>
  <si>
    <t>Kick Out Liquid Vaporizer</t>
  </si>
  <si>
    <t>PHP-1081</t>
  </si>
  <si>
    <t>Transfluthrin 0.05% 1.60% 1.50% 1.00% 1.60%</t>
  </si>
  <si>
    <t>Knock Down Mosquito Coil</t>
  </si>
  <si>
    <t>PHP-334</t>
  </si>
  <si>
    <t>Good Night Advanced Liquid Vaporizer</t>
  </si>
  <si>
    <t>PHP-458</t>
  </si>
  <si>
    <t>All Out Ultra Liquid Vaporizer</t>
  </si>
  <si>
    <t>PHP-581</t>
  </si>
  <si>
    <t>Hit Advanced Fast Card</t>
  </si>
  <si>
    <t>PHP-610</t>
  </si>
  <si>
    <t>Good Knight Advanced Fast Card</t>
  </si>
  <si>
    <t>PHP-611</t>
  </si>
  <si>
    <t>Good Knight advanced Xpress Liquid Vaporizer</t>
  </si>
  <si>
    <t>PHP-767</t>
  </si>
  <si>
    <t>Daniel Knock Out Mosquito Coil</t>
  </si>
  <si>
    <t>PHP-895</t>
  </si>
  <si>
    <t>Daniel Agrochemicals</t>
  </si>
  <si>
    <t>Black Fighter Max Masquito Coil</t>
  </si>
  <si>
    <t>PHP-896</t>
  </si>
  <si>
    <t>Atack King Super Mosquito Coil</t>
  </si>
  <si>
    <t>PHP-921</t>
  </si>
  <si>
    <t>Modi Jumbo Mosquito Coil</t>
  </si>
  <si>
    <t>PHP-990</t>
  </si>
  <si>
    <t>A to Z All in One Mosquito Coil</t>
  </si>
  <si>
    <t>PHP-992</t>
  </si>
  <si>
    <t>Nabiad</t>
  </si>
  <si>
    <t>A to Z Mega Mosquito Coil</t>
  </si>
  <si>
    <t>PHP-993</t>
  </si>
  <si>
    <t>Singal Mosquito Coil</t>
  </si>
  <si>
    <t>PHP-994</t>
  </si>
  <si>
    <t>N Z Corporation</t>
  </si>
  <si>
    <t>Hit Gel Stick</t>
  </si>
  <si>
    <t>PHP-1033</t>
  </si>
  <si>
    <t>0.125 g Get/m</t>
  </si>
  <si>
    <t>Cockroach | 0.125 g Get/m</t>
  </si>
  <si>
    <t>Good Night Gold Flash</t>
  </si>
  <si>
    <t>PHP-1035</t>
  </si>
  <si>
    <t>Hit Flying Insect Killer</t>
  </si>
  <si>
    <t>PHP-1036</t>
  </si>
  <si>
    <t>06 sec spray/33m3</t>
  </si>
  <si>
    <t>Adult Mosquito | 06 sec spray/33m3</t>
  </si>
  <si>
    <t>Good Night Power Chip</t>
  </si>
  <si>
    <t>PHP-1037</t>
  </si>
  <si>
    <t>Green Mazic Night Vaporizer</t>
  </si>
  <si>
    <t>PHP-1085</t>
  </si>
  <si>
    <t>20.minite</t>
  </si>
  <si>
    <t>Adult Mosquito | 20.minite</t>
  </si>
  <si>
    <t>ACI All Night Aerosol</t>
  </si>
  <si>
    <t>PHP-1062</t>
  </si>
  <si>
    <t>ACI Super Liquid Vaporizer</t>
  </si>
  <si>
    <t>PHP-1064</t>
  </si>
  <si>
    <t>All Out Liquid Vaporizer</t>
  </si>
  <si>
    <t>PHP-1065</t>
  </si>
  <si>
    <t>S C Johnson Private Limited</t>
  </si>
  <si>
    <t>All Out Flash Guard Burn Paper</t>
  </si>
  <si>
    <t>PHP-1066</t>
  </si>
  <si>
    <t>Good Night Gold Flash Liquid Vaporizer</t>
  </si>
  <si>
    <t>PHP-1072</t>
  </si>
  <si>
    <t>Transfluthrin 0.05% + (0.20%) D-tetramethrin (0.30%)</t>
  </si>
  <si>
    <t>Eagle Super Aerosol</t>
  </si>
  <si>
    <t>PHP-1055</t>
  </si>
  <si>
    <t>5-6 sec spray/33m3</t>
  </si>
  <si>
    <t>Adult Mosquito | 5-6 sec spray/33m3</t>
  </si>
  <si>
    <t>Propoxur &amp; Cyfluthrin</t>
  </si>
  <si>
    <t>Baygon Aerosol Spray</t>
  </si>
  <si>
    <t>PHP-113</t>
  </si>
  <si>
    <t>Adult Mosquito, House fly, Cockroach</t>
  </si>
  <si>
    <t>1.8 gm/33m3</t>
  </si>
  <si>
    <t>Adult Mosquito, House fly, Cockroach | 1.8 gm/33m3</t>
  </si>
  <si>
    <t>ETOC &amp; Sumithrin</t>
  </si>
  <si>
    <t>New ACI Aerosol Insect Spray</t>
  </si>
  <si>
    <t>PHP-122</t>
  </si>
  <si>
    <t>1000 cft/10 Second spray</t>
  </si>
  <si>
    <t>Adult Mosquito, House fly, Cockroach | 1000 cft/10 Second spray</t>
  </si>
  <si>
    <t>Gokilaht -S(d,d-T-Cypernothrin) &amp; ETOC</t>
  </si>
  <si>
    <t>Shield Aerosol</t>
  </si>
  <si>
    <t>PHP-126</t>
  </si>
  <si>
    <t>Oroni Products Limited</t>
  </si>
  <si>
    <t>4-5 Second/100 m3 indoors</t>
  </si>
  <si>
    <t>Adult Mosquito | 4-5 Second/100 m3 indoors</t>
  </si>
  <si>
    <t>Tetramathrin+Permethrin+Prallethrin</t>
  </si>
  <si>
    <t>Tepsy Liquid Spray</t>
  </si>
  <si>
    <t>PHP-135</t>
  </si>
  <si>
    <t>6.00 ml/100 cu.m</t>
  </si>
  <si>
    <t>Adult Mosquito | 6.00 ml/100 cu.m</t>
  </si>
  <si>
    <t>Limit Liquid Insecticide</t>
  </si>
  <si>
    <t>PHP-205</t>
  </si>
  <si>
    <t>6 ml/(100)1.20 ml/m2</t>
  </si>
  <si>
    <t>Adult Mosquito | 6 ml/(100)1.20 ml/m2</t>
  </si>
  <si>
    <t>Mosquito Killer</t>
  </si>
  <si>
    <t>PHP-369</t>
  </si>
  <si>
    <t>Cockroach, Adult Mosquito</t>
  </si>
  <si>
    <t>Cockroach, Adult Mosquito | 600 ml/ha</t>
  </si>
  <si>
    <t>Mosquito Liquid Insecticides</t>
  </si>
  <si>
    <t>PHP-415</t>
  </si>
  <si>
    <t>6 ml/100 m3</t>
  </si>
  <si>
    <t>Mosquito | 6 ml/100 m3</t>
  </si>
  <si>
    <t>Phonix Brand Liquid Insecticides</t>
  </si>
  <si>
    <t>PHP-640</t>
  </si>
  <si>
    <t>Top Liquid Insecticides</t>
  </si>
  <si>
    <t>PHP-725</t>
  </si>
  <si>
    <t>N K International</t>
  </si>
  <si>
    <t>(33 m3) 6 ml/100 m3</t>
  </si>
  <si>
    <t>Mosquito | (33 m3) 6 ml/100 m3</t>
  </si>
  <si>
    <t>Fighter Brand Aerosol</t>
  </si>
  <si>
    <t>PHP-776</t>
  </si>
  <si>
    <t>Supti Chemicals Co.</t>
  </si>
  <si>
    <t>Merisol</t>
  </si>
  <si>
    <t>PHP-783</t>
  </si>
  <si>
    <t>Marshal Agrovet Chemicals Indu. Ltd</t>
  </si>
  <si>
    <t>Unimethrin Liquid Insecticide</t>
  </si>
  <si>
    <t>PHP-1016</t>
  </si>
  <si>
    <t>Mosquito Larva | 6 ml/100 m3</t>
  </si>
  <si>
    <t>Padma Liquid Spray</t>
  </si>
  <si>
    <t>PHP-1027</t>
  </si>
  <si>
    <t>Padma Agro Spray Co.</t>
  </si>
  <si>
    <t>Quick Liquid Insecticides</t>
  </si>
  <si>
    <t>PHP-1031</t>
  </si>
  <si>
    <t>Moskil Liquid Spray</t>
  </si>
  <si>
    <t>PHP-1032</t>
  </si>
  <si>
    <t>Prallethrin +Tetramathrin</t>
  </si>
  <si>
    <t>Senson 0.6 Liquid</t>
  </si>
  <si>
    <t>PHP-780</t>
  </si>
  <si>
    <t>Permethrin, Tetramethrin, Es bioallethrin</t>
  </si>
  <si>
    <t>ACI Liquid Insecticide</t>
  </si>
  <si>
    <t>10 Second stroke spray/100 cft room</t>
  </si>
  <si>
    <t>Adult Mosquito | 10 Second stroke spray/100 cft room</t>
  </si>
  <si>
    <t>Nokon Mosquito Insecticide</t>
  </si>
  <si>
    <t>PHP-331</t>
  </si>
  <si>
    <t>6 ml/100 cum</t>
  </si>
  <si>
    <t>Adult Mosquito | 6 ml/100 cum</t>
  </si>
  <si>
    <t>Green Liquid Insecticide</t>
  </si>
  <si>
    <t>PHP-354</t>
  </si>
  <si>
    <t>6 ml/1000 cum2</t>
  </si>
  <si>
    <t>Adult Mosquito | 6 ml/1000 cum2</t>
  </si>
  <si>
    <t>Golder Aerosol</t>
  </si>
  <si>
    <t>S N Trade International</t>
  </si>
  <si>
    <t>Cockoroach, Adult Mosquito</t>
  </si>
  <si>
    <t>20 Second spray/100m3</t>
  </si>
  <si>
    <t>Cockoroach | 20 Second spray/100m3
Adult Mosquito | 20 Second spray/100m3</t>
  </si>
  <si>
    <t>Fix Liquid Spray</t>
  </si>
  <si>
    <t>PHP-1098</t>
  </si>
  <si>
    <t>Adult Mosquito | 6 ml/100m3</t>
  </si>
  <si>
    <t>d-allethrin (0.30%)</t>
  </si>
  <si>
    <t>Fighter King Mosquito Coil</t>
  </si>
  <si>
    <t>PHP-149</t>
  </si>
  <si>
    <t>Supti Chemical Company</t>
  </si>
  <si>
    <t>Mayakul Brand Mosquito Coil</t>
  </si>
  <si>
    <t>PHP-155</t>
  </si>
  <si>
    <t>Belal Welcome Company</t>
  </si>
  <si>
    <t>Eagle Super Mosquito Coil</t>
  </si>
  <si>
    <t>PHP-202</t>
  </si>
  <si>
    <t>Supreme Mosquito Coil</t>
  </si>
  <si>
    <t>PHP-203</t>
  </si>
  <si>
    <t>M K International</t>
  </si>
  <si>
    <t>A M Mosquito Coil</t>
  </si>
  <si>
    <t>PHP-216</t>
  </si>
  <si>
    <t>K-2 Mosquito Coil</t>
  </si>
  <si>
    <t>PHP-220</t>
  </si>
  <si>
    <t>J. H. Chemical Co.</t>
  </si>
  <si>
    <t>555 Brand Mosquito Coil</t>
  </si>
  <si>
    <t>PHP-227</t>
  </si>
  <si>
    <t>S. S. Chemical Works</t>
  </si>
  <si>
    <t>Nice Brand Mosquito Coil</t>
  </si>
  <si>
    <t>PHP-259</t>
  </si>
  <si>
    <t>Salim Enterprise</t>
  </si>
  <si>
    <t>Super Fighter King Coil</t>
  </si>
  <si>
    <t>PHP-260</t>
  </si>
  <si>
    <t>R.M. Mosquito Coil</t>
  </si>
  <si>
    <t>PHP-262</t>
  </si>
  <si>
    <t>R.M. Chemical Industry</t>
  </si>
  <si>
    <t>ARS Brand High Power Frannent</t>
  </si>
  <si>
    <t>PHP-263</t>
  </si>
  <si>
    <t>Night Rose Mosquito Coil</t>
  </si>
  <si>
    <t>PHP-265</t>
  </si>
  <si>
    <t>Inteshar Enterprise</t>
  </si>
  <si>
    <t>Top Target Mosquito Coil</t>
  </si>
  <si>
    <t>PHP-267</t>
  </si>
  <si>
    <t>N. K. International</t>
  </si>
  <si>
    <t>Phonix Brand Mosquito Coil</t>
  </si>
  <si>
    <t>PHP-273</t>
  </si>
  <si>
    <t>Five Star Mosquito Coil</t>
  </si>
  <si>
    <t>PHP-280</t>
  </si>
  <si>
    <t>Rehela Chemical Works</t>
  </si>
  <si>
    <t>Modina Brand Mosquito Coil</t>
  </si>
  <si>
    <t>PHP-293</t>
  </si>
  <si>
    <t>Hasan Chemical Company</t>
  </si>
  <si>
    <t>Lucky Brand Mosquito Coil</t>
  </si>
  <si>
    <t>PHP-294</t>
  </si>
  <si>
    <t>Erra Industries Corporation</t>
  </si>
  <si>
    <t>Lizard King Booster Brand Mosquito Coil</t>
  </si>
  <si>
    <t>PHP-295</t>
  </si>
  <si>
    <t>Shuly Chemical Works</t>
  </si>
  <si>
    <t>Stop Brand High Power Booster</t>
  </si>
  <si>
    <t>PHP-302</t>
  </si>
  <si>
    <t>Globe Janakantha Shilpa Paribar Ltd</t>
  </si>
  <si>
    <t>Apon Brand Mosquito Coil</t>
  </si>
  <si>
    <t>PHP-303</t>
  </si>
  <si>
    <t>Shova Consumers</t>
  </si>
  <si>
    <t>Fighter Booster Brand Mosquito Coil</t>
  </si>
  <si>
    <t>PHP-305</t>
  </si>
  <si>
    <t>Shupti Chemical</t>
  </si>
  <si>
    <t>Nirapod Brand Mosquito Coil</t>
  </si>
  <si>
    <t>PHP-306</t>
  </si>
  <si>
    <t>Kismat Chemical</t>
  </si>
  <si>
    <t>Mega King Brand Mosquito Coil</t>
  </si>
  <si>
    <t>PHP-307</t>
  </si>
  <si>
    <t>Alif Agro Chemicals</t>
  </si>
  <si>
    <t>Night Angle Mosquito Coil</t>
  </si>
  <si>
    <t>PHP-311</t>
  </si>
  <si>
    <t>Dolphin King Brand Mosquito Coil</t>
  </si>
  <si>
    <t>PHP-315</t>
  </si>
  <si>
    <t>Pogoda Booster Brand Mosquito Coil</t>
  </si>
  <si>
    <t>PHP-328</t>
  </si>
  <si>
    <t>Golden-5 Mosquito Coil</t>
  </si>
  <si>
    <t>PHP-353</t>
  </si>
  <si>
    <t>Quantum Pesticides Company Ltd</t>
  </si>
  <si>
    <t>Sorno Lata Brand Mosquito Coil</t>
  </si>
  <si>
    <t>PHP-356</t>
  </si>
  <si>
    <t>S. Nahar Consumers Products</t>
  </si>
  <si>
    <t>Crocodile Mosquito Coil</t>
  </si>
  <si>
    <t>PHP-358</t>
  </si>
  <si>
    <t>Aristocrat Agro Services</t>
  </si>
  <si>
    <t>Abedin Power King Mosquito Coil</t>
  </si>
  <si>
    <t>PHP-359</t>
  </si>
  <si>
    <t>Abedin Chemical Works</t>
  </si>
  <si>
    <t>RAK Mosfly Mosquito Coil</t>
  </si>
  <si>
    <t>PHP-367</t>
  </si>
  <si>
    <t>RAK Super Mosfly Mosquito Coil</t>
  </si>
  <si>
    <t>PHP-368</t>
  </si>
  <si>
    <t>Night Gun Booster Mosquito Coil</t>
  </si>
  <si>
    <t>PHP-372</t>
  </si>
  <si>
    <t>USA Brand Mosquito Coil</t>
  </si>
  <si>
    <t>PHP-375</t>
  </si>
  <si>
    <t>USA Corporation</t>
  </si>
  <si>
    <t>Night Star Brand Mosquito Coil</t>
  </si>
  <si>
    <t>PHP-380</t>
  </si>
  <si>
    <t>Ruhul Enterprise</t>
  </si>
  <si>
    <t>Zeriko Hi Booster Mosquito Coil</t>
  </si>
  <si>
    <t>PHP-389</t>
  </si>
  <si>
    <t>Cobra Agro Chemical Industries</t>
  </si>
  <si>
    <t>X-Tra Power Booster Mosquito Coil</t>
  </si>
  <si>
    <t>PHP-390</t>
  </si>
  <si>
    <t>P.T Consumer Products</t>
  </si>
  <si>
    <t>RAK Mosfly Red Mosquito Coil</t>
  </si>
  <si>
    <t>PHP-393</t>
  </si>
  <si>
    <t>Sonali King Brand Mosquito Coil</t>
  </si>
  <si>
    <t>PHP-402</t>
  </si>
  <si>
    <t>New Basundhara Power Booster Mosquito Coil</t>
  </si>
  <si>
    <t>PHP-409</t>
  </si>
  <si>
    <t>Shah Chemical Industries</t>
  </si>
  <si>
    <t>Zarico High Quality Black Mosquito Coil</t>
  </si>
  <si>
    <t>PHP-413</t>
  </si>
  <si>
    <t>Gonga Power Booster Mosquito Coil</t>
  </si>
  <si>
    <t>PHP-436</t>
  </si>
  <si>
    <t>Khan Chemical</t>
  </si>
  <si>
    <t>Shanghai Super Jamboo Mosquito Coil</t>
  </si>
  <si>
    <t>PHP-439</t>
  </si>
  <si>
    <t>Tumpa Traders</t>
  </si>
  <si>
    <t>7 Booster Brand Mosquito Coil</t>
  </si>
  <si>
    <t>PHP-443</t>
  </si>
  <si>
    <t>Mithila Products Corporation</t>
  </si>
  <si>
    <t>D'Vory Brand Mosquito Coil</t>
  </si>
  <si>
    <t>PHP-444</t>
  </si>
  <si>
    <t>Bangla Power Booster Mosquito Coil</t>
  </si>
  <si>
    <t>PHP-447</t>
  </si>
  <si>
    <t>Clear Brand Mosquito Coil</t>
  </si>
  <si>
    <t>PHP-471</t>
  </si>
  <si>
    <t>S S Active Super Brand Mosquito Coil</t>
  </si>
  <si>
    <t>PHP-504</t>
  </si>
  <si>
    <t>Sonali Chemical Company</t>
  </si>
  <si>
    <t>Antimosq Booster Brand Mosquito Coil</t>
  </si>
  <si>
    <t>PHP-505</t>
  </si>
  <si>
    <t>Hit Super Mosquito Coil</t>
  </si>
  <si>
    <t>PHP508</t>
  </si>
  <si>
    <t>North Bengal Chemical Co.</t>
  </si>
  <si>
    <t>Eagle Power Jumbo Mosquito Coil</t>
  </si>
  <si>
    <t>PHP-512</t>
  </si>
  <si>
    <t>RAK Mosfly Mini Mosquito Coil</t>
  </si>
  <si>
    <t>PHP-513</t>
  </si>
  <si>
    <t>Ringu Master Mosquito Coil</t>
  </si>
  <si>
    <t>PHP-524</t>
  </si>
  <si>
    <t>Mahim Chemical Company</t>
  </si>
  <si>
    <t>Bomba Mosquito Coil</t>
  </si>
  <si>
    <t>PHP-525</t>
  </si>
  <si>
    <t>Global Link International</t>
  </si>
  <si>
    <t>Scorpion Mosquito Coil</t>
  </si>
  <si>
    <t>PHP-536</t>
  </si>
  <si>
    <t>H T Corporation</t>
  </si>
  <si>
    <t>Night Fair Brand Mosquito Coil</t>
  </si>
  <si>
    <t>PHP-547</t>
  </si>
  <si>
    <t>Mohammadi &amp; Company</t>
  </si>
  <si>
    <t>Porima Brand Mosquito Coil</t>
  </si>
  <si>
    <t>PHP-550</t>
  </si>
  <si>
    <t>Bhai Bhai Marketing &amp; Distribution</t>
  </si>
  <si>
    <t>New Super Korian Xtra Power Jambo Coil</t>
  </si>
  <si>
    <t>PHP-558</t>
  </si>
  <si>
    <t>Riad Enterprise</t>
  </si>
  <si>
    <t>Astro King Brand Mosquito Coil</t>
  </si>
  <si>
    <t>PHP-560</t>
  </si>
  <si>
    <t>Topstar Jamboo Booster Mosquito Coil</t>
  </si>
  <si>
    <t>PHP-562</t>
  </si>
  <si>
    <t>Desh Hi Classic Brand Mosquito Coil</t>
  </si>
  <si>
    <t>PHP-592</t>
  </si>
  <si>
    <t>Desh Chemical &amp; Industries</t>
  </si>
  <si>
    <t>Guru Mosquito Coil</t>
  </si>
  <si>
    <t>PHP-602</t>
  </si>
  <si>
    <t>Boshra Jumboo Brand Mosquito Coil</t>
  </si>
  <si>
    <t>PHP-604</t>
  </si>
  <si>
    <t>Synthia Chemical Works</t>
  </si>
  <si>
    <t>Hunter All Hit Brand Mosquito Coil</t>
  </si>
  <si>
    <t>PHP-605</t>
  </si>
  <si>
    <t>Ashu Enterprise</t>
  </si>
  <si>
    <t>Max Fighter Jumboo Brand Mosquito Coil</t>
  </si>
  <si>
    <t>PHP-606</t>
  </si>
  <si>
    <t>Jahan Chemical Industries</t>
  </si>
  <si>
    <t>Super Safe Guard Mosquito Coil</t>
  </si>
  <si>
    <t>PHP-618</t>
  </si>
  <si>
    <t>Hitech Super Booster Mosquito Coil</t>
  </si>
  <si>
    <t>PHP-620</t>
  </si>
  <si>
    <t>Dhaka Mosquito Coil</t>
  </si>
  <si>
    <t>PHP-623</t>
  </si>
  <si>
    <t>Sarker Trading International</t>
  </si>
  <si>
    <t>SB King Jumbo Mosquito Coil</t>
  </si>
  <si>
    <t>PHP-627</t>
  </si>
  <si>
    <t>Finis Max Jumbo Mosquito Coil</t>
  </si>
  <si>
    <t>PHP-636</t>
  </si>
  <si>
    <t>Super Solar Plus Mosquito Coil</t>
  </si>
  <si>
    <t>PHP-684</t>
  </si>
  <si>
    <t>Zara King Mosquito Coil</t>
  </si>
  <si>
    <t>PHP-698</t>
  </si>
  <si>
    <t>Zara Trade International</t>
  </si>
  <si>
    <t>PHP-701</t>
  </si>
  <si>
    <t>Ruma Chemical Co.</t>
  </si>
  <si>
    <t>A To Z Mosquito Coil</t>
  </si>
  <si>
    <t>PHP-703</t>
  </si>
  <si>
    <t>Power Gold Mosquito Coil</t>
  </si>
  <si>
    <t>PHP-710</t>
  </si>
  <si>
    <t>M S Enterprise</t>
  </si>
  <si>
    <t>Bangla High Power Mega Mosquito Coil</t>
  </si>
  <si>
    <t>PHP-747</t>
  </si>
  <si>
    <t>Best Mosquito Coil</t>
  </si>
  <si>
    <t>PHP-753</t>
  </si>
  <si>
    <t>Platinum Holdings Ltd.</t>
  </si>
  <si>
    <t>PHP-755</t>
  </si>
  <si>
    <t>Confidence Creators</t>
  </si>
  <si>
    <t>Night Killer Mosquito Coil</t>
  </si>
  <si>
    <t>PHP-763</t>
  </si>
  <si>
    <t>M. Hossain &amp; Sons</t>
  </si>
  <si>
    <t>Tulshi Pata Extra Jumboo Mosquito Coil</t>
  </si>
  <si>
    <t>PHP-789</t>
  </si>
  <si>
    <t>Gree Star Chemical Company</t>
  </si>
  <si>
    <t>Safa Black Mosquito Coil</t>
  </si>
  <si>
    <t>PHP-793</t>
  </si>
  <si>
    <t>Super Shot Mosquito Coil</t>
  </si>
  <si>
    <t>PHP-796</t>
  </si>
  <si>
    <t>Rudronil Enterprise</t>
  </si>
  <si>
    <t>RGI Super Power Mosquito Coil</t>
  </si>
  <si>
    <t>PHP-798</t>
  </si>
  <si>
    <t>Rupa Chemical Works</t>
  </si>
  <si>
    <t>Samrat Mosquito Coil</t>
  </si>
  <si>
    <t>PHP-806</t>
  </si>
  <si>
    <t>Afsar Uddin Chemical Co.</t>
  </si>
  <si>
    <t>Extra Shokti Mosquito Coil</t>
  </si>
  <si>
    <t>PHP-816</t>
  </si>
  <si>
    <t>Jarin Enterprise</t>
  </si>
  <si>
    <t>Super Night Killer Mosquito Coil</t>
  </si>
  <si>
    <t>PHP-833</t>
  </si>
  <si>
    <t>Haque Daily Chemicals Industry</t>
  </si>
  <si>
    <t>SMC Mosquito Coil</t>
  </si>
  <si>
    <t>PHP-835</t>
  </si>
  <si>
    <t>Shanta International</t>
  </si>
  <si>
    <t>Black Morter Mosquito Coil</t>
  </si>
  <si>
    <t>PHP-804</t>
  </si>
  <si>
    <t>Tanisha Corporation</t>
  </si>
  <si>
    <t>Premier High Power Mosquito Coil</t>
  </si>
  <si>
    <t>PHP-842</t>
  </si>
  <si>
    <t>Out Mosquito Coil</t>
  </si>
  <si>
    <t>PHP-846</t>
  </si>
  <si>
    <t>Alfa Chemical Works</t>
  </si>
  <si>
    <t>Dream Night Jumbo Mosquito Coil</t>
  </si>
  <si>
    <t>PHP-851</t>
  </si>
  <si>
    <t>Shwan Enterprise</t>
  </si>
  <si>
    <t>Karnophuli Super Mosquito Coil</t>
  </si>
  <si>
    <t>PHP-855</t>
  </si>
  <si>
    <t>J S Traders</t>
  </si>
  <si>
    <t>Gangchil Mosquito Coil</t>
  </si>
  <si>
    <t>PHP-856</t>
  </si>
  <si>
    <t>M M Consumer</t>
  </si>
  <si>
    <t>Puspa Mosquito Coil</t>
  </si>
  <si>
    <t>PHP-857</t>
  </si>
  <si>
    <t>Amin Mosquito Coil</t>
  </si>
  <si>
    <t>PHP-878</t>
  </si>
  <si>
    <t>Amin Products Corporation</t>
  </si>
  <si>
    <t>Ananda Mega King Mosquito Coil</t>
  </si>
  <si>
    <t>PHP-886</t>
  </si>
  <si>
    <t>Super Coil Company</t>
  </si>
  <si>
    <t>Jet Fighter Mosquito Coil</t>
  </si>
  <si>
    <t>PHP-911</t>
  </si>
  <si>
    <t>Zom Zom Mosquito Coil</t>
  </si>
  <si>
    <t>PHP-912</t>
  </si>
  <si>
    <t>Joy Trading International</t>
  </si>
  <si>
    <t>Star Power Mosquito Coil</t>
  </si>
  <si>
    <t>PHP-923</t>
  </si>
  <si>
    <t>God Gift Enterprise</t>
  </si>
  <si>
    <t>ManhHa Bangladesh Mosquito Coil</t>
  </si>
  <si>
    <t>PHP-924</t>
  </si>
  <si>
    <t>ManHa Bnagladesh Corporation</t>
  </si>
  <si>
    <t>S K Solar Mosquito Coil</t>
  </si>
  <si>
    <t>S K Solar Consumers</t>
  </si>
  <si>
    <t>Mamoni Mosquit Coil</t>
  </si>
  <si>
    <t>PHP-929</t>
  </si>
  <si>
    <t>Sopnil Enterprise</t>
  </si>
  <si>
    <t>Symphony Mosquito Coil</t>
  </si>
  <si>
    <t>PHP-964</t>
  </si>
  <si>
    <t>Dinajpur Agro &amp; Chemical</t>
  </si>
  <si>
    <t>Robi Figheter Mosquito Coil</t>
  </si>
  <si>
    <t>PHP-975</t>
  </si>
  <si>
    <t>Alamgir Mosquito Coil Co.</t>
  </si>
  <si>
    <t>Easy Super Mosquito Coil</t>
  </si>
  <si>
    <t>PHP-981</t>
  </si>
  <si>
    <t>Caew Concern</t>
  </si>
  <si>
    <t>4G Mosquito Coil</t>
  </si>
  <si>
    <t>PHP-982</t>
  </si>
  <si>
    <t>Black Cats Mosquito Coil</t>
  </si>
  <si>
    <t>PHP-983</t>
  </si>
  <si>
    <t>Sufia Chemical Works</t>
  </si>
  <si>
    <t>Janata Super Mosquito Coil</t>
  </si>
  <si>
    <t>PHP-984</t>
  </si>
  <si>
    <t>H B International</t>
  </si>
  <si>
    <t>Shake Mosquito Coil</t>
  </si>
  <si>
    <t>PHP-998</t>
  </si>
  <si>
    <t>Bikalpa Mosquito Coil</t>
  </si>
  <si>
    <t>PHP-1002</t>
  </si>
  <si>
    <t>Harun Enterprise</t>
  </si>
  <si>
    <t>Night Power King Mosquito Coil</t>
  </si>
  <si>
    <t>PHP-1003</t>
  </si>
  <si>
    <t>Diamond Mosquito Coil</t>
  </si>
  <si>
    <t>PHP-1006</t>
  </si>
  <si>
    <t>Diamond Industries</t>
  </si>
  <si>
    <t>Rocket Jumbo Mosquito Coil</t>
  </si>
  <si>
    <t>PHP-1009</t>
  </si>
  <si>
    <t>Zara Chemical Works &amp; Electric</t>
  </si>
  <si>
    <t>Mukta Mosquito Coil</t>
  </si>
  <si>
    <t>PHP-1011</t>
  </si>
  <si>
    <t>S A Chemical Works</t>
  </si>
  <si>
    <t>Day Night Mosquito Coil</t>
  </si>
  <si>
    <t>PHP-1012</t>
  </si>
  <si>
    <t>Asif Enterprise</t>
  </si>
  <si>
    <t>Night Queen Mosquito Coil</t>
  </si>
  <si>
    <t>PHP-1058</t>
  </si>
  <si>
    <t>Tarif Products</t>
  </si>
  <si>
    <t>Metofluthrin 0.005%</t>
  </si>
  <si>
    <t>ACI Mosquito Coil Super Plus</t>
  </si>
  <si>
    <t>PHP-183</t>
  </si>
  <si>
    <t>1/2 gm 63x63x73cm</t>
  </si>
  <si>
    <t>Adult Mosquito | 1/2 gm 63x63x73cm</t>
  </si>
  <si>
    <t>New Power Mosquito Coil</t>
  </si>
  <si>
    <t>PHP-233</t>
  </si>
  <si>
    <t>Sheuly Chemical Works</t>
  </si>
  <si>
    <t>ACI Mosquito Coil Super</t>
  </si>
  <si>
    <t>PHP-241</t>
  </si>
  <si>
    <t>Good Night Octagon Mosquito Coil</t>
  </si>
  <si>
    <t>PHP-349</t>
  </si>
  <si>
    <t>63 x 63 x 73 cm2</t>
  </si>
  <si>
    <t>Mosquito | 63 x 63 x 73 cm2</t>
  </si>
  <si>
    <t>Cannon Brand Mosquito Coil</t>
  </si>
  <si>
    <t>PHP-427</t>
  </si>
  <si>
    <t>Erra Industrial Corporation</t>
  </si>
  <si>
    <t>Eagle Power Mega Booster Mosquito Coil</t>
  </si>
  <si>
    <t>PHP-449</t>
  </si>
  <si>
    <t>Top Target Quuen Mosquito Coil</t>
  </si>
  <si>
    <t>PHP-521</t>
  </si>
  <si>
    <t>Sonali King Black Brand Mosquito Coil</t>
  </si>
  <si>
    <t>PHP-531</t>
  </si>
  <si>
    <t>555 Black Brand Mosquito Coil</t>
  </si>
  <si>
    <t>PHP-686</t>
  </si>
  <si>
    <t>S S Chemical Works</t>
  </si>
  <si>
    <t>Polar Special Mega Booster Mosquito Coil</t>
  </si>
  <si>
    <t>PHP-704</t>
  </si>
  <si>
    <t>Nur Super No.1 Mosquito Coil</t>
  </si>
  <si>
    <t>PHP-705</t>
  </si>
  <si>
    <t>X-tra Power Booster Plant Fibre Mosquito Coil</t>
  </si>
  <si>
    <t>PHP-721</t>
  </si>
  <si>
    <t>P T Consumer Products Industries</t>
  </si>
  <si>
    <t>786 Booster Mosquito Coil</t>
  </si>
  <si>
    <t>PHP-738</t>
  </si>
  <si>
    <t>Masud Consumer Products</t>
  </si>
  <si>
    <t>Suprim Discovery Mosquito Coil</t>
  </si>
  <si>
    <t>PHP-739</t>
  </si>
  <si>
    <t>Nice High Power Mosquito Coil</t>
  </si>
  <si>
    <t>PHP-740</t>
  </si>
  <si>
    <t>Jilani Chemicals Works</t>
  </si>
  <si>
    <t>Caught Mosquito Coil</t>
  </si>
  <si>
    <t>PHP-841</t>
  </si>
  <si>
    <t>Sumione/Metofluthrin</t>
  </si>
  <si>
    <t>Sarnalata King Brand Mosquito Coil</t>
  </si>
  <si>
    <t>PHP-391</t>
  </si>
  <si>
    <t>Abedin Adventure Black Mosquito Coil</t>
  </si>
  <si>
    <t>PHP-437</t>
  </si>
  <si>
    <t>Mosquito | 1/2 gm 63x63x73cm</t>
  </si>
  <si>
    <t>Sumi One</t>
  </si>
  <si>
    <t>535 Brand Mosquito Coil</t>
  </si>
  <si>
    <t>PHP-407</t>
  </si>
  <si>
    <t>Hydramethylnon 2%</t>
  </si>
  <si>
    <t>Clean Bait Powder</t>
  </si>
  <si>
    <t>PHP-207</t>
  </si>
  <si>
    <t>Nazrul Enterprise</t>
  </si>
  <si>
    <t>Periplaneta American (Adult)</t>
  </si>
  <si>
    <t>(10)2 Fit</t>
  </si>
  <si>
    <t>Periplaneta American (Adult) | (10)2 Fit</t>
  </si>
  <si>
    <t>Zaps Ultra Gel</t>
  </si>
  <si>
    <t>PHP-497</t>
  </si>
  <si>
    <t>Apollo Pest Control</t>
  </si>
  <si>
    <t>Rupali Jin Mosquito Coil</t>
  </si>
  <si>
    <t>PHP-326</t>
  </si>
  <si>
    <t>63 x 63 x73 cm</t>
  </si>
  <si>
    <t>Adult Mosquito | 63 x 63 x73 cm</t>
  </si>
  <si>
    <t>Pollar Super Brand Mosquito Coil</t>
  </si>
  <si>
    <t>PHP-394</t>
  </si>
  <si>
    <t>Mosquito, Housefly, Cockroach</t>
  </si>
  <si>
    <t>100 ml/10 lt of water 80ml/M2</t>
  </si>
  <si>
    <t>Mosquito, Housefly, Cockroach | 100 ml/10 lt of water 80ml/M2</t>
  </si>
  <si>
    <t>Astro Jamboo Brand Mosquito Coil</t>
  </si>
  <si>
    <t>PHP-595</t>
  </si>
  <si>
    <t>K N Effective Mosquito Coil</t>
  </si>
  <si>
    <t>PHP-722</t>
  </si>
  <si>
    <t>Discovery Mosquito Coil</t>
  </si>
  <si>
    <t>PHP-737</t>
  </si>
  <si>
    <t>Guru 3 in 1 Mosquito Coil</t>
  </si>
  <si>
    <t>PHP-913</t>
  </si>
  <si>
    <t>Prallethrin</t>
  </si>
  <si>
    <t>All Out Liquid Mosquito Vaporiser</t>
  </si>
  <si>
    <t>PHP-464</t>
  </si>
  <si>
    <t>20 second 1/2gm 63x63x73cm2</t>
  </si>
  <si>
    <t>Mosquito | 20 second 1/2gm 63x63x73cm2</t>
  </si>
  <si>
    <t>Hydramethylnon</t>
  </si>
  <si>
    <t>Anti Cockroach</t>
  </si>
  <si>
    <t>PHP-396</t>
  </si>
  <si>
    <t>2/3 Drops/m2</t>
  </si>
  <si>
    <t>Cockroach | 2/3 Drops/m2</t>
  </si>
  <si>
    <t>Permethrin+Cypermethrin+Deltamethrin</t>
  </si>
  <si>
    <t>Vecon 3%</t>
  </si>
  <si>
    <t>PHP-362</t>
  </si>
  <si>
    <t>Mosquito, Adult &amp; Larva</t>
  </si>
  <si>
    <t>1 ml/m3 200 ml/ha</t>
  </si>
  <si>
    <t>Mosquito, Adult &amp; Larva | 1 ml/m3 200 ml/ha</t>
  </si>
  <si>
    <t>Cypermenhrin+Imipothrin+Prallethrin</t>
  </si>
  <si>
    <t>Baygon MIK Aerosol</t>
  </si>
  <si>
    <t>PHP-435</t>
  </si>
  <si>
    <t>Imiprothrin (0.3%) + Cypermethrin (0.20)</t>
  </si>
  <si>
    <t>Sunlite Aerosol Crawling Insect Killer</t>
  </si>
  <si>
    <t>PHP-1028</t>
  </si>
  <si>
    <t>Quasem Industries Ltd.</t>
  </si>
  <si>
    <t>05 sec spray/60m3</t>
  </si>
  <si>
    <t>Cockroach | 05 sec spray/60m3</t>
  </si>
  <si>
    <t>Kick Out Aerosol</t>
  </si>
  <si>
    <t>PHP-1082</t>
  </si>
  <si>
    <t>20 sec spray/m2</t>
  </si>
  <si>
    <t>Cockroach | 20 sec spray/m2</t>
  </si>
  <si>
    <t>Prallethrin 0.20% + Imiprothrin 0.04% Permethrin 0.15%</t>
  </si>
  <si>
    <t>AIK Finistox Aerosol</t>
  </si>
  <si>
    <t>PHP-1020</t>
  </si>
  <si>
    <t>Mosquito Larva, Housefly</t>
  </si>
  <si>
    <t>05 sec spray/60m3 room</t>
  </si>
  <si>
    <t>Mosquito Larva, Housefly | 05 sec spray/60m3 room</t>
  </si>
  <si>
    <t>Prallethrin+D-phenothrin (0.20% + 0.15%)</t>
  </si>
  <si>
    <t>Mosfly Fik Aerosol</t>
  </si>
  <si>
    <t>PHP-420</t>
  </si>
  <si>
    <t>12 Strock/1000 CFT</t>
  </si>
  <si>
    <t>Mosquito | 12 Strock/1000 CFT</t>
  </si>
  <si>
    <t>RXS Aerosol</t>
  </si>
  <si>
    <t>PHP-1017</t>
  </si>
  <si>
    <t>Jharna Chemical</t>
  </si>
  <si>
    <t>12 Stocks/100 m3</t>
  </si>
  <si>
    <t>Adult Mosquito | 12 Stocks/100 m3</t>
  </si>
  <si>
    <t>Sunlite Aerosol Flying Insect Killer</t>
  </si>
  <si>
    <t>PHP-1018</t>
  </si>
  <si>
    <t>5 sec Spray/60m3</t>
  </si>
  <si>
    <t>Adult Mosquito | 5 sec Spray/60m3</t>
  </si>
  <si>
    <t>Xpel Aerosol</t>
  </si>
  <si>
    <t>PHP-1019</t>
  </si>
  <si>
    <t>Square Toiletries Ltd.</t>
  </si>
  <si>
    <t>18 sec Spray/100m3</t>
  </si>
  <si>
    <t>Adult Mosquito | 18 sec Spray/100m3</t>
  </si>
  <si>
    <t>Vitacare Aerosol</t>
  </si>
  <si>
    <t>PHP-1070</t>
  </si>
  <si>
    <t>Vitacare Industries Ltd.</t>
  </si>
  <si>
    <t>4-5 sec Spray/100m3</t>
  </si>
  <si>
    <t>Adult Mosquito | 4-5 sec Spray/100m3</t>
  </si>
  <si>
    <t>Kick Out Aerosol Spray</t>
  </si>
  <si>
    <t>20 sec Spray/100m2</t>
  </si>
  <si>
    <t>Adult Mosquito | 20 sec Spray/100m2</t>
  </si>
  <si>
    <t>Lal Teer ZAP Aerosol</t>
  </si>
  <si>
    <t>PHP-1084</t>
  </si>
  <si>
    <t>4-5 sec spray/60m3</t>
  </si>
  <si>
    <t>Adult Mosquito | 4-5 sec spray/60m3</t>
  </si>
  <si>
    <t>Cosmo Marshal Aerosol Spray</t>
  </si>
  <si>
    <t>PHP-1078</t>
  </si>
  <si>
    <t>Jonaki Aerosol Insect Spray</t>
  </si>
  <si>
    <t>PHP-1079</t>
  </si>
  <si>
    <t>Simple Spray Aerosol</t>
  </si>
  <si>
    <t>PHP-1110</t>
  </si>
  <si>
    <t>R S International</t>
  </si>
  <si>
    <t>10 ml/100 cft</t>
  </si>
  <si>
    <t>Adult Mosquito | 10 ml/100 cft</t>
  </si>
  <si>
    <t>Quick Down Aerosol</t>
  </si>
  <si>
    <t>PHP-1111</t>
  </si>
  <si>
    <t>1.20 ml/m3</t>
  </si>
  <si>
    <t>Adult Mosquito | 1.20 ml/m3</t>
  </si>
  <si>
    <t>Aerosol Insect Spray</t>
  </si>
  <si>
    <t>PHP-1112</t>
  </si>
  <si>
    <t>10 second/100 cft</t>
  </si>
  <si>
    <t>Adult Mosquito | 10 second/100 cft</t>
  </si>
  <si>
    <t>S-biothrin + Permethrin</t>
  </si>
  <si>
    <t>Ebich Brand Insecticide Powder</t>
  </si>
  <si>
    <t>PHP-360</t>
  </si>
  <si>
    <t>Famis Power Finis Insecticide Powder</t>
  </si>
  <si>
    <t>PHP-1026</t>
  </si>
  <si>
    <t>Zihad Chemical Company</t>
  </si>
  <si>
    <t>Topsol Gel</t>
  </si>
  <si>
    <t>PHP-574</t>
  </si>
  <si>
    <t>4 drop/m2</t>
  </si>
  <si>
    <t>Cockroach | 4 drop/m2</t>
  </si>
  <si>
    <t>Lim Gel</t>
  </si>
  <si>
    <t>PHP-621</t>
  </si>
  <si>
    <t>Hit Anti-Roach Gel</t>
  </si>
  <si>
    <t>PHP-678</t>
  </si>
  <si>
    <t>0.1g/spot/1 corner</t>
  </si>
  <si>
    <t>Cockroach | 0.1g/spot/1 corner</t>
  </si>
  <si>
    <t>Top Bait Cockroach</t>
  </si>
  <si>
    <t>PHP-1049</t>
  </si>
  <si>
    <t>Zero Pest</t>
  </si>
  <si>
    <t>4 Drop/m2</t>
  </si>
  <si>
    <t>Cockroach | 4 Drop/m2</t>
  </si>
  <si>
    <t>Imiprothrin + Deltamethrin</t>
  </si>
  <si>
    <t>ACI Cockroach Spray</t>
  </si>
  <si>
    <t>PHP-237</t>
  </si>
  <si>
    <t>1 gm from 1 ft distance</t>
  </si>
  <si>
    <t>Cockroach | 1 gm from 1 ft distance</t>
  </si>
  <si>
    <t>Permethrin+S-bioallethrin+prallethrin</t>
  </si>
  <si>
    <t>Invent Liquid Insecticide</t>
  </si>
  <si>
    <t>PHP-383</t>
  </si>
  <si>
    <t>Mosquito | 500 ml/ha</t>
  </si>
  <si>
    <t>Energy Mosquito Insecticide</t>
  </si>
  <si>
    <t>PHP-766</t>
  </si>
  <si>
    <t>12ft2 (500 ml/ha); 15X15X12/10 second/20 min</t>
  </si>
  <si>
    <t>Mosquito | 12ft2 (500 ml/ha)
Mosquito | 15X15X12/10 second/20 min</t>
  </si>
  <si>
    <t>(d-tetramethrin +d-d-T Cyphenothrin)</t>
  </si>
  <si>
    <t>Mosfly Cik Aerosol</t>
  </si>
  <si>
    <t>PHP-419</t>
  </si>
  <si>
    <t>Meperfluthrin</t>
  </si>
  <si>
    <t>Astro Herbal Brand Mosquito Coil</t>
  </si>
  <si>
    <t>PHP-552</t>
  </si>
  <si>
    <t>M. Rose Plant Fiber Mosquito Coil</t>
  </si>
  <si>
    <t>PHP-616</t>
  </si>
  <si>
    <t>Green Leaves International</t>
  </si>
  <si>
    <t>Gecko osquito Coil</t>
  </si>
  <si>
    <t>PHP-625</t>
  </si>
  <si>
    <t>M. R. Khan Associates Company</t>
  </si>
  <si>
    <t>Eagle Max Hit Jumboo Mosquito Coil</t>
  </si>
  <si>
    <t>PHP-717</t>
  </si>
  <si>
    <t>DF Artillery Plant Fibre Mosquito Coil</t>
  </si>
  <si>
    <t>PHP-792</t>
  </si>
  <si>
    <t>Dewan Trading</t>
  </si>
  <si>
    <t>DF Artilllery 1 Mosquito Coil</t>
  </si>
  <si>
    <t>PHP-794</t>
  </si>
  <si>
    <t>Extra Power King Mosquito Coil</t>
  </si>
  <si>
    <t>PHP-808</t>
  </si>
  <si>
    <t>Banglar Raja Mosquito Coil</t>
  </si>
  <si>
    <t>PHP-811</t>
  </si>
  <si>
    <t>Golden Lion Mosquito Coil</t>
  </si>
  <si>
    <t>PHP-815</t>
  </si>
  <si>
    <t>Danger Gold Mosquito Coil</t>
  </si>
  <si>
    <t>PHP-828</t>
  </si>
  <si>
    <t>Unison Trading Co.</t>
  </si>
  <si>
    <t>Sprarrow Mosquito Coil</t>
  </si>
  <si>
    <t>PHP-849</t>
  </si>
  <si>
    <t>Egale Super Booster Mosquito Coil</t>
  </si>
  <si>
    <t>PHP-871</t>
  </si>
  <si>
    <t>Egale One Shooter Mosquito Coil</t>
  </si>
  <si>
    <t>PHP-872</t>
  </si>
  <si>
    <t>Good Knight Jumboo Mosquito Coil</t>
  </si>
  <si>
    <t>PHP-890</t>
  </si>
  <si>
    <t>Good Knight Advance Xpress Mosquito Coil</t>
  </si>
  <si>
    <t>PHP-891</t>
  </si>
  <si>
    <t>Good Fight Mosquito Coil</t>
  </si>
  <si>
    <t>PHP-899</t>
  </si>
  <si>
    <t>Sabbir Chemical Works</t>
  </si>
  <si>
    <t>Finis Power Hit Mosquito Coil</t>
  </si>
  <si>
    <t>PHP-919</t>
  </si>
  <si>
    <t>0.5 gm in - 63x63x73 cm2</t>
  </si>
  <si>
    <t>Mosquito | 0.5 gm in - 63x63x73 cm2</t>
  </si>
  <si>
    <t>ACI Black Figheter Neem Advance Mosquito Coil</t>
  </si>
  <si>
    <t>PHP-948</t>
  </si>
  <si>
    <t>Finis New Booster Mosquito Coil</t>
  </si>
  <si>
    <t>PHP-965</t>
  </si>
  <si>
    <t>0.5 gm - 63x63x73 cm2</t>
  </si>
  <si>
    <t>Mosquito | 0.5 gm - 63x63x73 cm2</t>
  </si>
  <si>
    <t>Night Guard Mosquito Coil</t>
  </si>
  <si>
    <t>PHP-973</t>
  </si>
  <si>
    <t>Dimefluthrin 0.25%</t>
  </si>
  <si>
    <t>Super Star Mosquito Coil</t>
  </si>
  <si>
    <t>PHP-450</t>
  </si>
  <si>
    <t>Tasin Corporation</t>
  </si>
  <si>
    <t>Jonaki Brand Mosquito Coil</t>
  </si>
  <si>
    <t>PHP-475</t>
  </si>
  <si>
    <t>Finis Black Booster Mosquito Coil</t>
  </si>
  <si>
    <t>PHP-482</t>
  </si>
  <si>
    <t>0.5 gm in (63 x 63 x 73 cm2)</t>
  </si>
  <si>
    <t>Mosquito | 0.5 gm in (63 x 63 x 73 cm2)</t>
  </si>
  <si>
    <t>Anlu Plant Fibre Mosquito Coil</t>
  </si>
  <si>
    <t>PHP-483</t>
  </si>
  <si>
    <t>Quality Craft (BD) Limited</t>
  </si>
  <si>
    <t>ACI Tornedo Mosquito Coil</t>
  </si>
  <si>
    <t>PHP-496</t>
  </si>
  <si>
    <t>Black Panther Mosquito Coil</t>
  </si>
  <si>
    <t>PHP-532</t>
  </si>
  <si>
    <t>Rocket Brand Mosquito Coil</t>
  </si>
  <si>
    <t>PHP-565</t>
  </si>
  <si>
    <t>Nuruzzaman Biswas Industries Ltd</t>
  </si>
  <si>
    <t>RAK Magic Jumboo Mosquito Coil</t>
  </si>
  <si>
    <t>PHP-647</t>
  </si>
  <si>
    <t>RAK Mosfly (Bangladesh) Pvt. Ltd.</t>
  </si>
  <si>
    <t>Maxu Mosquito Coil</t>
  </si>
  <si>
    <t>PHP-656</t>
  </si>
  <si>
    <t>Tasmiya Chemical Works</t>
  </si>
  <si>
    <t>Kite Mosquito Coil</t>
  </si>
  <si>
    <t>PHP-658</t>
  </si>
  <si>
    <t>Moni Enterprise</t>
  </si>
  <si>
    <t>Octopus Mosquito Coil</t>
  </si>
  <si>
    <t>PHP-711</t>
  </si>
  <si>
    <t>Eagle Super Power Mosquito Coil</t>
  </si>
  <si>
    <t>PHP-716</t>
  </si>
  <si>
    <t>TRM-7 Mosquito Coil</t>
  </si>
  <si>
    <t>PHP-736</t>
  </si>
  <si>
    <t>Astro Mega Mosquito Coil</t>
  </si>
  <si>
    <t>PHP-762</t>
  </si>
  <si>
    <t>D K Booster Mosquito Coil</t>
  </si>
  <si>
    <t>PHP-785</t>
  </si>
  <si>
    <t>D K Marketing &amp; Trading Co.</t>
  </si>
  <si>
    <t>Action Prime Mosquito Coil</t>
  </si>
  <si>
    <t>PHP-786</t>
  </si>
  <si>
    <t>Trio Enterprise</t>
  </si>
  <si>
    <t>Mongosi Hi Mega Mosquito Coil</t>
  </si>
  <si>
    <t>PHP-812</t>
  </si>
  <si>
    <t>Santa Chemical Co.</t>
  </si>
  <si>
    <t>Megnet Mosquito Coil</t>
  </si>
  <si>
    <t>PHP-813</t>
  </si>
  <si>
    <t>Rocket Plant Fibre Mosquito Coil</t>
  </si>
  <si>
    <t>PHP-814</t>
  </si>
  <si>
    <t>A C-7 Mosquito Coil</t>
  </si>
  <si>
    <t>PHP-817</t>
  </si>
  <si>
    <t>Alif Chemical Co.</t>
  </si>
  <si>
    <t>Nice Gold Mosquito Coil</t>
  </si>
  <si>
    <t>PHP-818</t>
  </si>
  <si>
    <t>Jannat Industries BD</t>
  </si>
  <si>
    <t>Nishan Jamboo Mosquito Coil</t>
  </si>
  <si>
    <t>PHP-819</t>
  </si>
  <si>
    <t>Mass Mosquito Coil</t>
  </si>
  <si>
    <t>PHP-820</t>
  </si>
  <si>
    <t>Shahela Trading</t>
  </si>
  <si>
    <t>Good Kinght Advanced 5 min Xpress Mosquito Coil</t>
  </si>
  <si>
    <t>PHP-830</t>
  </si>
  <si>
    <t>Godrej Household Products (BD) Pvt. Ltd.</t>
  </si>
  <si>
    <t>ACI Xtra Power Black Fighetr Mosquito Coil</t>
  </si>
  <si>
    <t>PHP-836</t>
  </si>
  <si>
    <t>Bangla Mail Mosquito Coil</t>
  </si>
  <si>
    <t>PHP-838</t>
  </si>
  <si>
    <t>Bisher Bashi Chemical Works</t>
  </si>
  <si>
    <t>T-20 Mosquito Coil</t>
  </si>
  <si>
    <t>PHP-839</t>
  </si>
  <si>
    <t>Hasan Chemical Co.</t>
  </si>
  <si>
    <t>F &amp; F Mosquito Coil</t>
  </si>
  <si>
    <t>PHP-840</t>
  </si>
  <si>
    <t>Mir Enterprise</t>
  </si>
  <si>
    <t>Ethical Organic Limited</t>
  </si>
  <si>
    <t>Monihar Mosquito Coil</t>
  </si>
  <si>
    <t>PHP-847</t>
  </si>
  <si>
    <t>Dreamco Consumer Products</t>
  </si>
  <si>
    <t>Three Fair G Mosquito Coil</t>
  </si>
  <si>
    <t>PHP-850</t>
  </si>
  <si>
    <t>Fair United Chemical</t>
  </si>
  <si>
    <t>Evana Super Granet Mosquito Coil</t>
  </si>
  <si>
    <t>PHP-854</t>
  </si>
  <si>
    <t>Evana Food &amp; Chemical Industries</t>
  </si>
  <si>
    <t>Boshra Night Action Mosquito Coil</t>
  </si>
  <si>
    <t>Sinthia Chemical Works &amp; Food</t>
  </si>
  <si>
    <t>X-Night Doyel Mosquito Coil</t>
  </si>
  <si>
    <t>PHP-869</t>
  </si>
  <si>
    <t>S S S Corporation</t>
  </si>
  <si>
    <t>Xtreme Mosquito Coil</t>
  </si>
  <si>
    <t>PHP-873</t>
  </si>
  <si>
    <t>Bashundhara Multi Paper Industries</t>
  </si>
  <si>
    <t>Night Attack Mosquito Coil</t>
  </si>
  <si>
    <t>PHP-874</t>
  </si>
  <si>
    <t>Dye Chem International</t>
  </si>
  <si>
    <t>Hi-Tech Mosquito Coil</t>
  </si>
  <si>
    <t>PHP-879</t>
  </si>
  <si>
    <t>EFA Trading Corporation</t>
  </si>
  <si>
    <t>Piash Mosquito Coil</t>
  </si>
  <si>
    <t>PHP-880</t>
  </si>
  <si>
    <t>Shakil Chemical Co.</t>
  </si>
  <si>
    <t>Arabian King Mosquito Coil</t>
  </si>
  <si>
    <t>PHP-885</t>
  </si>
  <si>
    <t>H N Consumer Products</t>
  </si>
  <si>
    <t>M D Mosquito Coil</t>
  </si>
  <si>
    <t>PHP-887</t>
  </si>
  <si>
    <t>Roksana Chemicals</t>
  </si>
  <si>
    <t>Riad New Super Mosquito Coil</t>
  </si>
  <si>
    <t>PHP-888</t>
  </si>
  <si>
    <t>Mukti Mosquito Coil</t>
  </si>
  <si>
    <t>PHP-889</t>
  </si>
  <si>
    <t>Rangdhunu Mosquito Coil</t>
  </si>
  <si>
    <t>PHP-892</t>
  </si>
  <si>
    <t>Dhaka Trade Corporation</t>
  </si>
  <si>
    <t>Black Fighter Mosquito Coil</t>
  </si>
  <si>
    <t>PHP-897</t>
  </si>
  <si>
    <t>Unique Super Mosquito Coil</t>
  </si>
  <si>
    <t>PHP-901</t>
  </si>
  <si>
    <t>M M Consumers</t>
  </si>
  <si>
    <t>Saba Mosquito Coil</t>
  </si>
  <si>
    <t>PHP-906</t>
  </si>
  <si>
    <t>Saba Trade &amp; Associates</t>
  </si>
  <si>
    <t>(0.02%) -0.03 (0.05%)</t>
  </si>
  <si>
    <t>Black Panther Super Mosquito Coil</t>
  </si>
  <si>
    <t>PHP-908</t>
  </si>
  <si>
    <t>Hussain Trading Company Ltd.</t>
  </si>
  <si>
    <t>Lizard Mega Mosquito Coil</t>
  </si>
  <si>
    <t>PHP-909</t>
  </si>
  <si>
    <t>B P Super Power Mosquito Coil</t>
  </si>
  <si>
    <t>PHP-920</t>
  </si>
  <si>
    <t>B P Internationa</t>
  </si>
  <si>
    <t>Hisense Mosquito Coil</t>
  </si>
  <si>
    <t>PHP-928</t>
  </si>
  <si>
    <t>S Nahar Consumer Products</t>
  </si>
  <si>
    <t>Techno Mosquito Coil</t>
  </si>
  <si>
    <t>PHP-932</t>
  </si>
  <si>
    <t>Techno Enterprise</t>
  </si>
  <si>
    <t>Godzila Mosquito Coil</t>
  </si>
  <si>
    <t>PHP-933</t>
  </si>
  <si>
    <t>Joom Power Mosquito Coil</t>
  </si>
  <si>
    <t>PHP-935</t>
  </si>
  <si>
    <t>VIP Mosquito Coil</t>
  </si>
  <si>
    <t>PHP-936</t>
  </si>
  <si>
    <t>Habib Chemical Works</t>
  </si>
  <si>
    <t>Good Kinght Octa Guard Mosquito Coil</t>
  </si>
  <si>
    <t>PHP-938</t>
  </si>
  <si>
    <t>Farin Mosquito Coil</t>
  </si>
  <si>
    <t>PHP-950</t>
  </si>
  <si>
    <t>Fambs International</t>
  </si>
  <si>
    <t>Arafat Mosquito Coil</t>
  </si>
  <si>
    <t>PHP-953</t>
  </si>
  <si>
    <t>Chisthia Narketing &amp; Dustribution</t>
  </si>
  <si>
    <t>Panchabibi Mosquito Coil</t>
  </si>
  <si>
    <t>PHP-961</t>
  </si>
  <si>
    <t>Panchabibi Trading</t>
  </si>
  <si>
    <t>G M Super Mosquito Coil</t>
  </si>
  <si>
    <t>PHP-978</t>
  </si>
  <si>
    <t>G M Sons</t>
  </si>
  <si>
    <t>Sunami Mosquito Coil</t>
  </si>
  <si>
    <t>PHP-980</t>
  </si>
  <si>
    <t>NTB Consumer Products Industry</t>
  </si>
  <si>
    <t>Life Guard Mosquito Coil</t>
  </si>
  <si>
    <t>PHP-986</t>
  </si>
  <si>
    <t>Bhuyan Corporation</t>
  </si>
  <si>
    <t>N P 100 Mosquito Coil</t>
  </si>
  <si>
    <t>PHP-996</t>
  </si>
  <si>
    <t>S R Chemicals Works</t>
  </si>
  <si>
    <t>Good Night Power Active+Liquid Vaporizer</t>
  </si>
  <si>
    <t>PHP-1073</t>
  </si>
  <si>
    <t>63x63x73 cm2 (20 minutes)</t>
  </si>
  <si>
    <t>Adult Mosquito | 63x63x73 cm2 (20 minutes)</t>
  </si>
  <si>
    <t>Imiprothrin 0.05%+Cypermethrin 0.10% Prallethrin 0.09%</t>
  </si>
  <si>
    <t>Good Night Multi Insect Killer</t>
  </si>
  <si>
    <t>PHP-494</t>
  </si>
  <si>
    <t>2.5 gm/33m3; 3 gm (15 x 15 cm)</t>
  </si>
  <si>
    <t>Mosquito | 2.5 gm/33m3
Cockroach | 3 gm (15 x 15 cm)</t>
  </si>
  <si>
    <t>Imiprothrin 0.07%+Cypermethrin 0.20%</t>
  </si>
  <si>
    <t>Hit Aerosol Crawling Insect Killer Aerosol</t>
  </si>
  <si>
    <t>PHP-501</t>
  </si>
  <si>
    <t>3 gm (15 x 15 cm)</t>
  </si>
  <si>
    <t>Cockroach | 3 gm (15 x 15 cm)</t>
  </si>
  <si>
    <t>D-trans allethrin + flumenthrin</t>
  </si>
  <si>
    <t>Suning Black Mosquito Coil</t>
  </si>
  <si>
    <t>PHP-533</t>
  </si>
  <si>
    <t>Abnoroni Enterprise</t>
  </si>
  <si>
    <t>Trans-tetamethrin+Cyfluthrin</t>
  </si>
  <si>
    <t>Benga Tiger Aerosol</t>
  </si>
  <si>
    <t>PHP-579</t>
  </si>
  <si>
    <t>10 Sec/1000 m3</t>
  </si>
  <si>
    <t>Mosquito | 10 Sec/1000 m3</t>
  </si>
  <si>
    <t>Beta Cyfluthrin</t>
  </si>
  <si>
    <t>Responser 2.45SC</t>
  </si>
  <si>
    <t>PHP-680</t>
  </si>
  <si>
    <t>1 ml + 50ml water/m2</t>
  </si>
  <si>
    <t>Mosquito | 1 ml + 50ml water/m2</t>
  </si>
  <si>
    <t>Magic Cockroach Gel</t>
  </si>
  <si>
    <t>PHP-573</t>
  </si>
  <si>
    <t>4 drops gel/m3</t>
  </si>
  <si>
    <t>Cockroach | 4 drops gel/m3</t>
  </si>
  <si>
    <t>Deltamehtrin + Lambda Cyhalothrin</t>
  </si>
  <si>
    <t>Liquid Adulticide</t>
  </si>
  <si>
    <t>PHP-699</t>
  </si>
  <si>
    <t>Mosquito &amp; Cockroach</t>
  </si>
  <si>
    <t>Mosquito &amp; Cockroach | 500 ml/ha</t>
  </si>
  <si>
    <t>Imidacloprid + Lambda Cyhalothrin</t>
  </si>
  <si>
    <t>Traffic 4EC Liquid Insecticdes</t>
  </si>
  <si>
    <t>PHP-630</t>
  </si>
  <si>
    <t>50mg/m2</t>
  </si>
  <si>
    <t>Mosquito/Cockroach | 50mg/m2</t>
  </si>
  <si>
    <t>Teflumethrin (0.08%)</t>
  </si>
  <si>
    <t>Daniel Night Qeen Mosquito Coil</t>
  </si>
  <si>
    <t>PHP-860</t>
  </si>
  <si>
    <t>Cosmo Marshal Mosquito Coil</t>
  </si>
  <si>
    <t>PHP-822</t>
  </si>
  <si>
    <t>Consmo Consumer Products Ltd.</t>
  </si>
  <si>
    <t>Pyriproxyfen 1%</t>
  </si>
  <si>
    <t>Zero Moz 1%</t>
  </si>
  <si>
    <t>PHP-861</t>
  </si>
  <si>
    <t>Ghas Fooring (BD) Limited</t>
  </si>
  <si>
    <t>25 g/15 L of water</t>
  </si>
  <si>
    <t>Mosquito | 25 g/15 L of water</t>
  </si>
  <si>
    <t>Tetramethrin (0.2%)</t>
  </si>
  <si>
    <t>Night Protection Mosquito Killer</t>
  </si>
  <si>
    <t>PHP-864</t>
  </si>
  <si>
    <t>33 m2</t>
  </si>
  <si>
    <t>Mosquito | 33 m2</t>
  </si>
  <si>
    <t>Permethrin 0.2%</t>
  </si>
  <si>
    <t>Save Liqud Spray</t>
  </si>
  <si>
    <t>PHP-1077</t>
  </si>
  <si>
    <t>Tareque Traders</t>
  </si>
  <si>
    <t>6 m/100m2</t>
  </si>
  <si>
    <t>Adult Mosquito | 6 m/100m2</t>
  </si>
  <si>
    <t>Odomus Oil 12%</t>
  </si>
  <si>
    <t>Odomus Mosquito Repellent Lotion</t>
  </si>
  <si>
    <t>PHP-825</t>
  </si>
  <si>
    <t>Asian Consumer Care Pvt. Ltd.</t>
  </si>
  <si>
    <t>6 Hours</t>
  </si>
  <si>
    <t>Mosquito | 6 Hours</t>
  </si>
  <si>
    <t>N N Diethyl Benzamide 12% 14% 12%</t>
  </si>
  <si>
    <t>Odomus Mosquito Repellent Cream</t>
  </si>
  <si>
    <t>PHP-826</t>
  </si>
  <si>
    <t>Mosqutio</t>
  </si>
  <si>
    <t>Mosqutio | 6 Hours</t>
  </si>
  <si>
    <t>ACI Anti Bite Gel</t>
  </si>
  <si>
    <t>PHP-945</t>
  </si>
  <si>
    <t>Odomos Natural No-Sticky Repellant Cream</t>
  </si>
  <si>
    <t>PHP-1074</t>
  </si>
  <si>
    <t>Adult Mosqutio</t>
  </si>
  <si>
    <t>Adult Mosqutio | 6 Hours</t>
  </si>
  <si>
    <t>N N Diethyl Toluamide 15%</t>
  </si>
  <si>
    <t>ACI All Out Insect Repellent Lotion</t>
  </si>
  <si>
    <t>PHP-1063</t>
  </si>
  <si>
    <t>Permethrin (.2%) + Transfluthrin (.20%</t>
  </si>
  <si>
    <t>Gangway</t>
  </si>
  <si>
    <t>PHP-1051</t>
  </si>
  <si>
    <t>Mosquito, Cockroach, Housefly</t>
  </si>
  <si>
    <t>5 ml/1002</t>
  </si>
  <si>
    <t>Mosquito, Cockroach, Housefly | 5 ml/1002</t>
  </si>
  <si>
    <t>Bendiocarb 80%</t>
  </si>
  <si>
    <t>Ficam 80WP</t>
  </si>
  <si>
    <t>PHP-1050</t>
  </si>
  <si>
    <t>125 g/10 Litre water in 250m2</t>
  </si>
  <si>
    <t>Mosquito | 125 g/10 Litre water in 250m2</t>
  </si>
  <si>
    <t>Heptafluthrin 0.05%</t>
  </si>
  <si>
    <t>Jumbo Ultra Mosquito Coil</t>
  </si>
  <si>
    <t>PHP-963</t>
  </si>
  <si>
    <t>63 X 63 X 73 cm3</t>
  </si>
  <si>
    <t>Mosquito | 63 X 63 X 73 cm3</t>
  </si>
  <si>
    <t>PHP-1047</t>
  </si>
  <si>
    <t>7 Tara Mosquito Coil</t>
  </si>
  <si>
    <t>PHP-1057</t>
  </si>
  <si>
    <t>M D Consumer Products</t>
  </si>
  <si>
    <t>Cyfenothrin 0.05%</t>
  </si>
  <si>
    <t>PHP-1004</t>
  </si>
  <si>
    <t>DEET 15%</t>
  </si>
  <si>
    <t>Off Insect Repellent Lotion</t>
  </si>
  <si>
    <t>PHP-944</t>
  </si>
  <si>
    <t>J C Johnson Private Limited</t>
  </si>
  <si>
    <t>Ethyl Butyl Acetyl Aminopropinate</t>
  </si>
  <si>
    <t>Nomos Cream</t>
  </si>
  <si>
    <t>PHP-1092</t>
  </si>
  <si>
    <t>Beximco Pharmaceuticals Ltd.</t>
  </si>
  <si>
    <t>upto 6 hours</t>
  </si>
  <si>
    <t>Adult Mosquito | upto 6 hours</t>
  </si>
  <si>
    <t>Novaluron (0.12%)</t>
  </si>
  <si>
    <t>Mosquiron 0.12 P</t>
  </si>
  <si>
    <t>PHP-1071</t>
  </si>
  <si>
    <t>16 p/100 sqFt</t>
  </si>
  <si>
    <t>Mosquito Larva | 16 p/100 sqFt</t>
  </si>
  <si>
    <t>Metofluthrin+Imiprothin+Permethrin</t>
  </si>
  <si>
    <t>Cannon Brand Aerosol</t>
  </si>
  <si>
    <t>PHP-769</t>
  </si>
  <si>
    <t>Mosquit</t>
  </si>
  <si>
    <t>18 Sce SP/100m</t>
  </si>
  <si>
    <t>Mosquit | 18 Sce SP/100m</t>
  </si>
  <si>
    <t>Spinosad (7.48%)</t>
  </si>
  <si>
    <t>Natulat TM DT</t>
  </si>
  <si>
    <t>PHP-1076</t>
  </si>
  <si>
    <t>1 Tablet/200 Litre water</t>
  </si>
  <si>
    <t>Mosquito Larva | 1 Tablet/200 Litre water</t>
  </si>
  <si>
    <t>D transflothrin (1.%) + Permethrin (0.5%) + Prallethrin (0.1%)</t>
  </si>
  <si>
    <t>Killer Mosquit Insecticides</t>
  </si>
  <si>
    <t>PHP-1123</t>
  </si>
  <si>
    <t>40 Litre/100 Litre of water</t>
  </si>
  <si>
    <t>Mosquito | 40 Litre/100 Litre of water</t>
  </si>
  <si>
    <t>Review — Extraction Integrity Checks</t>
  </si>
  <si>
    <t>Check</t>
  </si>
  <si>
    <t>Expected (from parse)</t>
  </si>
  <si>
    <t>Actual (live formulas)</t>
  </si>
  <si>
    <t>Status</t>
  </si>
  <si>
    <t>Total registered products</t>
  </si>
  <si>
    <t>Miticide — products</t>
  </si>
  <si>
    <t>Fungicide — products</t>
  </si>
  <si>
    <t>Insecticide — products</t>
  </si>
  <si>
    <t>Herbicide — products</t>
  </si>
  <si>
    <t>Store Grain Insecticide — products</t>
  </si>
  <si>
    <t>Rodenticide — products</t>
  </si>
  <si>
    <t>Bio Pesticide — products</t>
  </si>
  <si>
    <t>Public Health — products</t>
  </si>
  <si>
    <t>Total recommendations</t>
  </si>
  <si>
    <t>Unique common names</t>
  </si>
  <si>
    <t>Expected values are counted from the parsed records; actual values are live COUNTA/SUM formulas over the data sheets. All rows must show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</si>
</sst>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"/>
    </font>
    <font>
      <sz val="16"/>
      <color rgb="FF1B2A4A"/>
      <name val="Noto Sans CJK SC"/>
      <charset val="1"/>
    </font>
    <font>
      <sz val="9"/>
      <color rgb="FF8C8A84"/>
      <name val="Noto Sans CJK SC"/>
      <charset val="1"/>
    </font>
    <font>
      <sz val="22"/>
      <color rgb="FF1B2A4A"/>
      <name val="Noto Sans CJK SC"/>
      <charset val="1"/>
    </font>
    <font>
      <sz val="11"/>
      <color rgb="FF1B2A4A"/>
      <name val="Noto Sans CJK SC"/>
      <charset val="1"/>
    </font>
    <font>
      <sz val="11"/>
      <color rgb="FFFFFFFF"/>
      <name val="Noto Sans CJK SC"/>
      <charset val="1"/>
    </font>
    <font>
      <sz val="11"/>
      <color rgb="FF37352F"/>
      <name val="Noto Sans CJK SC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 style="medium">
        <color rgb="FFE9E9E8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/>
    </xf>
    <xf numFmtId="3" fontId="3" fillId="0" borderId="0" xfId="0" applyNumberFormat="1" applyFont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top" wrapText="1"/>
    </xf>
    <xf numFmtId="3" fontId="6" fillId="3" borderId="0" xfId="0" applyNumberFormat="1" applyFont="1" applyFill="1" applyAlignment="1">
      <alignment horizontal="right" vertical="top"/>
    </xf>
    <xf numFmtId="0" fontId="6" fillId="4" borderId="0" xfId="0" applyFont="1" applyFill="1" applyAlignment="1">
      <alignment horizontal="left" vertical="top" wrapText="1"/>
    </xf>
    <xf numFmtId="3" fontId="6" fillId="4" borderId="0" xfId="0" applyNumberFormat="1" applyFont="1" applyFill="1" applyAlignment="1">
      <alignment horizontal="right" vertical="top"/>
    </xf>
    <xf numFmtId="0" fontId="4" fillId="5" borderId="2" xfId="0" applyFont="1" applyFill="1" applyBorder="1" applyAlignment="1">
      <alignment horizontal="left" vertical="top" wrapText="1"/>
    </xf>
    <xf numFmtId="3" fontId="4" fillId="5" borderId="2" xfId="0" applyNumberFormat="1" applyFont="1" applyFill="1" applyBorder="1" applyAlignment="1">
      <alignment horizontal="right" vertical="top"/>
    </xf>
    <xf numFmtId="0" fontId="6" fillId="3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/>
    </xf>
    <xf numFmtId="0" fontId="2" fillId="0" borderId="0" xfId="0" applyFont="1"/>
    <xf numFmtId="0" fontId="4" fillId="3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5" borderId="2" xfId="0" applyFont="1" applyFill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5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A84"/>
      <rgbColor rgb="FF1B2A4A"/>
      <rgbColor rgb="FF339966"/>
      <rgbColor rgb="FF003300"/>
      <rgbColor rgb="FF333300"/>
      <rgbColor rgb="FF993300"/>
      <rgbColor rgb="FF993366"/>
      <rgbColor rgb="FF333399"/>
      <rgbColor rgb="FF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0" u="none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Registered Products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Summary!$D$8</c:f>
              <c:strCache>
                <c:ptCount val="1"/>
                <c:pt idx="0">
                  <c:v>Registered Products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1B2A4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US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Summary!$B$9:$B$16</c:f>
              <c:strCache>
                <c:ptCount val="8"/>
                <c:pt idx="0">
                  <c:v>Miticide</c:v>
                </c:pt>
                <c:pt idx="1">
                  <c:v>Fungicide</c:v>
                </c:pt>
                <c:pt idx="2">
                  <c:v>Insecticide</c:v>
                </c:pt>
                <c:pt idx="3">
                  <c:v>Herbicide</c:v>
                </c:pt>
                <c:pt idx="4">
                  <c:v>Store Grain Insecticide</c:v>
                </c:pt>
                <c:pt idx="5">
                  <c:v>Rodenticide</c:v>
                </c:pt>
                <c:pt idx="6">
                  <c:v>Bio Pesticide</c:v>
                </c:pt>
                <c:pt idx="7">
                  <c:v>Public Health</c:v>
                </c:pt>
              </c:strCache>
            </c:strRef>
          </c:cat>
          <c:val>
            <c:numRef>
              <c:f>Summary!$D$9:$D$16</c:f>
              <c:numCache>
                <c:formatCode>#,##0</c:formatCode>
                <c:ptCount val="8"/>
                <c:pt idx="0">
                  <c:v>205</c:v>
                </c:pt>
                <c:pt idx="1">
                  <c:v>1052</c:v>
                </c:pt>
                <c:pt idx="2">
                  <c:v>2500</c:v>
                </c:pt>
                <c:pt idx="3">
                  <c:v>892</c:v>
                </c:pt>
                <c:pt idx="4">
                  <c:v>88</c:v>
                </c:pt>
                <c:pt idx="5">
                  <c:v>15</c:v>
                </c:pt>
                <c:pt idx="6">
                  <c:v>35</c:v>
                </c:pt>
                <c:pt idx="7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B-B143-8C7E-5FB231026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66672787"/>
        <c:axId val="38314413"/>
      </c:barChart>
      <c:catAx>
        <c:axId val="6667278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8314413"/>
        <c:crosses val="autoZero"/>
        <c:auto val="1"/>
        <c:lblAlgn val="ctr"/>
        <c:lblOffset val="100"/>
        <c:noMultiLvlLbl val="0"/>
      </c:catAx>
      <c:valAx>
        <c:axId val="383144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6672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7</xdr:row>
      <xdr:rowOff>0</xdr:rowOff>
    </xdr:from>
    <xdr:to>
      <xdr:col>11</xdr:col>
      <xdr:colOff>339120</xdr:colOff>
      <xdr:row>21</xdr:row>
      <xdr:rowOff>64440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9"/>
  <sheetViews>
    <sheetView showGridLines="0" tabSelected="1" topLeftCell="B9" zoomScale="90" zoomScaleNormal="90" workbookViewId="0">
      <selection activeCell="D18" sqref="D18"/>
    </sheetView>
  </sheetViews>
  <sheetFormatPr defaultColWidth="8.7421875" defaultRowHeight="15" customHeight="1" x14ac:dyDescent="0.2"/>
  <cols>
    <col min="1" max="1" width="2.95703125" customWidth="1"/>
    <col min="2" max="3" width="25.9609375" customWidth="1"/>
    <col min="4" max="5" width="16.0078125" customWidth="1"/>
    <col min="6" max="6" width="2.015625" customWidth="1"/>
    <col min="7" max="7" width="23.9453125" customWidth="1"/>
    <col min="8" max="8" width="16.0078125" customWidth="1"/>
    <col min="9" max="12" width="13.98828125" customWidth="1"/>
  </cols>
  <sheetData>
    <row r="2" spans="2:11" ht="31.5" customHeight="1" x14ac:dyDescent="0.2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</row>
    <row r="3" spans="2:11" ht="7.5" customHeight="1" x14ac:dyDescent="0.2"/>
    <row r="4" spans="2:11" ht="13.5" customHeight="1" x14ac:dyDescent="0.25">
      <c r="B4" s="1" t="s">
        <v>1</v>
      </c>
      <c r="D4" s="1" t="s">
        <v>2</v>
      </c>
      <c r="G4" s="1" t="s">
        <v>3</v>
      </c>
      <c r="I4" s="1" t="s">
        <v>4</v>
      </c>
    </row>
    <row r="5" spans="2:11" ht="30" customHeight="1" x14ac:dyDescent="0.2">
      <c r="B5" s="2">
        <v>5452</v>
      </c>
      <c r="D5" s="2">
        <v>7250</v>
      </c>
      <c r="G5" s="2">
        <v>441</v>
      </c>
      <c r="I5" s="2">
        <v>879</v>
      </c>
    </row>
    <row r="7" spans="2:11" ht="19.5" customHeight="1" x14ac:dyDescent="0.35">
      <c r="B7" s="3" t="s">
        <v>5</v>
      </c>
    </row>
    <row r="8" spans="2:11" ht="27.75" customHeight="1" x14ac:dyDescent="0.35">
      <c r="B8" s="4" t="s">
        <v>6</v>
      </c>
      <c r="C8" s="4" t="s">
        <v>7</v>
      </c>
      <c r="D8" s="4" t="s">
        <v>8</v>
      </c>
      <c r="E8" s="4" t="s">
        <v>9</v>
      </c>
    </row>
    <row r="9" spans="2:11" ht="21.75" customHeight="1" x14ac:dyDescent="0.2">
      <c r="B9" s="5" t="s">
        <v>10</v>
      </c>
      <c r="C9" s="6">
        <v>8</v>
      </c>
      <c r="D9" s="6">
        <f>COUNTA(Miticide!E5:E209)</f>
        <v>205</v>
      </c>
      <c r="E9" s="6">
        <f>SUM(Miticide!L5:L209)</f>
        <v>314</v>
      </c>
    </row>
    <row r="10" spans="2:11" ht="21.75" customHeight="1" x14ac:dyDescent="0.2">
      <c r="B10" s="7" t="s">
        <v>11</v>
      </c>
      <c r="C10" s="8">
        <v>103</v>
      </c>
      <c r="D10" s="8">
        <f>COUNTA(Fungicide!E5:E1056)</f>
        <v>1052</v>
      </c>
      <c r="E10" s="8">
        <f>SUM(Fungicide!L5:L1056)</f>
        <v>1543</v>
      </c>
    </row>
    <row r="11" spans="2:11" ht="21.75" customHeight="1" x14ac:dyDescent="0.2">
      <c r="B11" s="5" t="s">
        <v>12</v>
      </c>
      <c r="C11" s="6">
        <v>160</v>
      </c>
      <c r="D11" s="6">
        <f>COUNTA(Insecticide!E5:E2504)</f>
        <v>2500</v>
      </c>
      <c r="E11" s="6">
        <f>SUM(Insecticide!L5:L2504)</f>
        <v>3589</v>
      </c>
    </row>
    <row r="12" spans="2:11" ht="21.75" customHeight="1" x14ac:dyDescent="0.2">
      <c r="B12" s="7" t="s">
        <v>13</v>
      </c>
      <c r="C12" s="8">
        <v>68</v>
      </c>
      <c r="D12" s="8">
        <f>COUNTA(Herbicide!E5:E896)</f>
        <v>892</v>
      </c>
      <c r="E12" s="8">
        <f>SUM(Herbicide!L5:L896)</f>
        <v>984</v>
      </c>
    </row>
    <row r="13" spans="2:11" ht="21.75" customHeight="1" x14ac:dyDescent="0.2">
      <c r="B13" s="5" t="s">
        <v>14</v>
      </c>
      <c r="C13" s="6">
        <v>3</v>
      </c>
      <c r="D13" s="6">
        <f>COUNTA('Store Grain Insecticide'!E5:E92)</f>
        <v>88</v>
      </c>
      <c r="E13" s="6">
        <f>SUM('Store Grain Insecticide'!L5:L92)</f>
        <v>91</v>
      </c>
    </row>
    <row r="14" spans="2:11" ht="21.75" customHeight="1" x14ac:dyDescent="0.2">
      <c r="B14" s="7" t="s">
        <v>15</v>
      </c>
      <c r="C14" s="8">
        <v>2</v>
      </c>
      <c r="D14" s="8">
        <f>COUNTA(Rodenticide!E5:E19)</f>
        <v>15</v>
      </c>
      <c r="E14" s="8">
        <f>SUM(Rodenticide!L5:L19)</f>
        <v>15</v>
      </c>
    </row>
    <row r="15" spans="2:11" ht="21.75" customHeight="1" x14ac:dyDescent="0.2">
      <c r="B15" s="5" t="s">
        <v>16</v>
      </c>
      <c r="C15" s="6">
        <v>20</v>
      </c>
      <c r="D15" s="6">
        <f>COUNTA('Bio Pesticide'!E5:E39)</f>
        <v>35</v>
      </c>
      <c r="E15" s="6">
        <f>SUM('Bio Pesticide'!L5:L39)</f>
        <v>42</v>
      </c>
    </row>
    <row r="16" spans="2:11" ht="21.75" customHeight="1" x14ac:dyDescent="0.2">
      <c r="B16" s="7" t="s">
        <v>17</v>
      </c>
      <c r="C16" s="8">
        <v>77</v>
      </c>
      <c r="D16" s="8">
        <f>COUNTA('Public Health'!E5:E669)</f>
        <v>665</v>
      </c>
      <c r="E16" s="8">
        <f>SUM('Public Health'!K5:K669)</f>
        <v>672</v>
      </c>
    </row>
    <row r="17" spans="2:5" ht="25.5" customHeight="1" x14ac:dyDescent="0.2">
      <c r="B17" s="9" t="s">
        <v>18</v>
      </c>
      <c r="C17" s="10">
        <f>SUM(C9:C16)</f>
        <v>441</v>
      </c>
      <c r="D17" s="10">
        <f>SUM(D9:D16)</f>
        <v>5452</v>
      </c>
      <c r="E17" s="10">
        <f>SUM(E9:E16)</f>
        <v>7250</v>
      </c>
    </row>
    <row r="18" spans="2:5" ht="15" customHeight="1" x14ac:dyDescent="0.2">
      <c r="D18" s="21">
        <f>D17-D16</f>
        <v>4787</v>
      </c>
    </row>
    <row r="20" spans="2:5" ht="19.5" customHeight="1" x14ac:dyDescent="0.35">
      <c r="B20" s="3" t="s">
        <v>19</v>
      </c>
    </row>
    <row r="21" spans="2:5" ht="15.75" customHeight="1" x14ac:dyDescent="0.2">
      <c r="B21" s="19" t="s">
        <v>20</v>
      </c>
      <c r="C21" s="19"/>
      <c r="D21" s="19"/>
    </row>
    <row r="22" spans="2:5" ht="27.75" customHeight="1" x14ac:dyDescent="0.2">
      <c r="B22" s="4" t="s">
        <v>21</v>
      </c>
      <c r="C22" s="4" t="s">
        <v>22</v>
      </c>
      <c r="D22" s="4" t="s">
        <v>23</v>
      </c>
    </row>
    <row r="23" spans="2:5" ht="37.5" customHeight="1" x14ac:dyDescent="0.2">
      <c r="B23" s="11">
        <v>1</v>
      </c>
      <c r="C23" s="5" t="s">
        <v>24</v>
      </c>
      <c r="D23" s="6">
        <v>115</v>
      </c>
    </row>
    <row r="24" spans="2:5" ht="37.5" customHeight="1" x14ac:dyDescent="0.35">
      <c r="B24" s="12">
        <v>2</v>
      </c>
      <c r="C24" s="7" t="s">
        <v>25</v>
      </c>
      <c r="D24" s="8">
        <v>101</v>
      </c>
    </row>
    <row r="25" spans="2:5" ht="21.75" customHeight="1" x14ac:dyDescent="0.2">
      <c r="B25" s="11">
        <v>3</v>
      </c>
      <c r="C25" s="5" t="s">
        <v>26</v>
      </c>
      <c r="D25" s="6">
        <v>76</v>
      </c>
    </row>
    <row r="26" spans="2:5" ht="21.75" customHeight="1" x14ac:dyDescent="0.2">
      <c r="B26" s="12">
        <v>4</v>
      </c>
      <c r="C26" s="7" t="s">
        <v>27</v>
      </c>
      <c r="D26" s="8">
        <v>62</v>
      </c>
    </row>
    <row r="27" spans="2:5" ht="37.5" customHeight="1" x14ac:dyDescent="0.35">
      <c r="B27" s="11">
        <v>5</v>
      </c>
      <c r="C27" s="5" t="s">
        <v>28</v>
      </c>
      <c r="D27" s="6">
        <v>61</v>
      </c>
    </row>
    <row r="28" spans="2:5" ht="21.75" customHeight="1" x14ac:dyDescent="0.2">
      <c r="B28" s="12">
        <v>6</v>
      </c>
      <c r="C28" s="7" t="s">
        <v>29</v>
      </c>
      <c r="D28" s="8">
        <v>59</v>
      </c>
    </row>
    <row r="29" spans="2:5" ht="37.5" customHeight="1" x14ac:dyDescent="0.35">
      <c r="B29" s="11">
        <v>7</v>
      </c>
      <c r="C29" s="5" t="s">
        <v>30</v>
      </c>
      <c r="D29" s="6">
        <v>58</v>
      </c>
    </row>
    <row r="30" spans="2:5" ht="37.5" customHeight="1" x14ac:dyDescent="0.2">
      <c r="B30" s="12">
        <v>8</v>
      </c>
      <c r="C30" s="7" t="s">
        <v>31</v>
      </c>
      <c r="D30" s="8">
        <v>58</v>
      </c>
    </row>
    <row r="31" spans="2:5" ht="21.75" customHeight="1" x14ac:dyDescent="0.2">
      <c r="B31" s="11">
        <v>9</v>
      </c>
      <c r="C31" s="5" t="s">
        <v>32</v>
      </c>
      <c r="D31" s="6">
        <v>56</v>
      </c>
    </row>
    <row r="32" spans="2:5" ht="37.5" customHeight="1" x14ac:dyDescent="0.35">
      <c r="B32" s="12">
        <v>10</v>
      </c>
      <c r="C32" s="7" t="s">
        <v>33</v>
      </c>
      <c r="D32" s="8">
        <v>53</v>
      </c>
    </row>
    <row r="34" spans="2:4" ht="19.5" customHeight="1" x14ac:dyDescent="0.35">
      <c r="B34" s="3" t="s">
        <v>34</v>
      </c>
    </row>
    <row r="35" spans="2:4" ht="15.75" customHeight="1" x14ac:dyDescent="0.2">
      <c r="B35" s="19" t="s">
        <v>35</v>
      </c>
      <c r="C35" s="19"/>
      <c r="D35" s="19"/>
    </row>
    <row r="36" spans="2:4" ht="27.75" customHeight="1" x14ac:dyDescent="0.2">
      <c r="B36" s="4" t="s">
        <v>21</v>
      </c>
      <c r="C36" s="4" t="s">
        <v>22</v>
      </c>
      <c r="D36" s="4" t="s">
        <v>23</v>
      </c>
    </row>
    <row r="37" spans="2:4" ht="21.75" customHeight="1" x14ac:dyDescent="0.2">
      <c r="B37" s="11">
        <v>1</v>
      </c>
      <c r="C37" s="5" t="s">
        <v>36</v>
      </c>
      <c r="D37" s="6">
        <v>1659</v>
      </c>
    </row>
    <row r="38" spans="2:4" ht="21.75" customHeight="1" x14ac:dyDescent="0.2">
      <c r="B38" s="12">
        <v>2</v>
      </c>
      <c r="C38" s="7" t="s">
        <v>37</v>
      </c>
      <c r="D38" s="8">
        <v>1598</v>
      </c>
    </row>
    <row r="39" spans="2:4" ht="21.75" customHeight="1" x14ac:dyDescent="0.2">
      <c r="B39" s="11">
        <v>3</v>
      </c>
      <c r="C39" s="5" t="s">
        <v>38</v>
      </c>
      <c r="D39" s="6">
        <v>473</v>
      </c>
    </row>
    <row r="40" spans="2:4" ht="21.75" customHeight="1" x14ac:dyDescent="0.2">
      <c r="B40" s="12">
        <v>4</v>
      </c>
      <c r="C40" s="7" t="s">
        <v>39</v>
      </c>
      <c r="D40" s="8">
        <v>420</v>
      </c>
    </row>
    <row r="41" spans="2:4" ht="21.75" customHeight="1" x14ac:dyDescent="0.2">
      <c r="B41" s="11">
        <v>5</v>
      </c>
      <c r="C41" s="5" t="s">
        <v>40</v>
      </c>
      <c r="D41" s="6">
        <v>391</v>
      </c>
    </row>
    <row r="42" spans="2:4" ht="21.75" customHeight="1" x14ac:dyDescent="0.2">
      <c r="B42" s="12">
        <v>6</v>
      </c>
      <c r="C42" s="7" t="s">
        <v>41</v>
      </c>
      <c r="D42" s="8">
        <v>281</v>
      </c>
    </row>
    <row r="43" spans="2:4" ht="21.75" customHeight="1" x14ac:dyDescent="0.2">
      <c r="B43" s="11">
        <v>7</v>
      </c>
      <c r="C43" s="5" t="s">
        <v>42</v>
      </c>
      <c r="D43" s="6">
        <v>226</v>
      </c>
    </row>
    <row r="44" spans="2:4" ht="21.75" customHeight="1" x14ac:dyDescent="0.2">
      <c r="B44" s="12">
        <v>8</v>
      </c>
      <c r="C44" s="7" t="s">
        <v>43</v>
      </c>
      <c r="D44" s="8">
        <v>204</v>
      </c>
    </row>
    <row r="45" spans="2:4" ht="21.75" customHeight="1" x14ac:dyDescent="0.2">
      <c r="B45" s="11">
        <v>9</v>
      </c>
      <c r="C45" s="5" t="s">
        <v>44</v>
      </c>
      <c r="D45" s="6">
        <v>153</v>
      </c>
    </row>
    <row r="46" spans="2:4" ht="21.75" customHeight="1" x14ac:dyDescent="0.2">
      <c r="B46" s="12">
        <v>10</v>
      </c>
      <c r="C46" s="7" t="s">
        <v>45</v>
      </c>
      <c r="D46" s="8">
        <v>148</v>
      </c>
    </row>
    <row r="48" spans="2:4" ht="19.5" customHeight="1" x14ac:dyDescent="0.35">
      <c r="B48" s="3" t="s">
        <v>46</v>
      </c>
    </row>
    <row r="49" spans="2:4" ht="15.75" customHeight="1" x14ac:dyDescent="0.2">
      <c r="B49" s="19" t="s">
        <v>47</v>
      </c>
      <c r="C49" s="19"/>
      <c r="D49" s="19"/>
    </row>
    <row r="50" spans="2:4" ht="27.75" customHeight="1" x14ac:dyDescent="0.2">
      <c r="B50" s="4" t="s">
        <v>21</v>
      </c>
      <c r="C50" s="4" t="s">
        <v>22</v>
      </c>
      <c r="D50" s="4" t="s">
        <v>23</v>
      </c>
    </row>
    <row r="51" spans="2:4" ht="21.75" customHeight="1" x14ac:dyDescent="0.2">
      <c r="B51" s="11">
        <v>1</v>
      </c>
      <c r="C51" s="5" t="s">
        <v>48</v>
      </c>
      <c r="D51" s="6">
        <v>820</v>
      </c>
    </row>
    <row r="52" spans="2:4" ht="21.75" customHeight="1" x14ac:dyDescent="0.2">
      <c r="B52" s="12">
        <v>2</v>
      </c>
      <c r="C52" s="7" t="s">
        <v>49</v>
      </c>
      <c r="D52" s="8">
        <v>459</v>
      </c>
    </row>
    <row r="53" spans="2:4" ht="21.75" customHeight="1" x14ac:dyDescent="0.2">
      <c r="B53" s="11">
        <v>3</v>
      </c>
      <c r="C53" s="5" t="s">
        <v>50</v>
      </c>
      <c r="D53" s="6">
        <v>405</v>
      </c>
    </row>
    <row r="54" spans="2:4" ht="21.75" customHeight="1" x14ac:dyDescent="0.2">
      <c r="B54" s="12">
        <v>4</v>
      </c>
      <c r="C54" s="7" t="s">
        <v>51</v>
      </c>
      <c r="D54" s="8">
        <v>310</v>
      </c>
    </row>
    <row r="55" spans="2:4" ht="21.75" customHeight="1" x14ac:dyDescent="0.2">
      <c r="B55" s="11">
        <v>5</v>
      </c>
      <c r="C55" s="5" t="s">
        <v>52</v>
      </c>
      <c r="D55" s="6">
        <v>289</v>
      </c>
    </row>
    <row r="56" spans="2:4" ht="21.75" customHeight="1" x14ac:dyDescent="0.2">
      <c r="B56" s="12">
        <v>6</v>
      </c>
      <c r="C56" s="7" t="s">
        <v>53</v>
      </c>
      <c r="D56" s="8">
        <v>267</v>
      </c>
    </row>
    <row r="57" spans="2:4" ht="21.75" customHeight="1" x14ac:dyDescent="0.2">
      <c r="B57" s="11">
        <v>7</v>
      </c>
      <c r="C57" s="5" t="s">
        <v>54</v>
      </c>
      <c r="D57" s="6">
        <v>247</v>
      </c>
    </row>
    <row r="58" spans="2:4" ht="21.75" customHeight="1" x14ac:dyDescent="0.2">
      <c r="B58" s="12">
        <v>8</v>
      </c>
      <c r="C58" s="7" t="s">
        <v>55</v>
      </c>
      <c r="D58" s="8">
        <v>240</v>
      </c>
    </row>
    <row r="59" spans="2:4" ht="21.75" customHeight="1" x14ac:dyDescent="0.2">
      <c r="B59" s="11">
        <v>9</v>
      </c>
      <c r="C59" s="5" t="s">
        <v>56</v>
      </c>
      <c r="D59" s="6">
        <v>154</v>
      </c>
    </row>
    <row r="60" spans="2:4" ht="21.75" customHeight="1" x14ac:dyDescent="0.2">
      <c r="B60" s="12">
        <v>10</v>
      </c>
      <c r="C60" s="7" t="s">
        <v>57</v>
      </c>
      <c r="D60" s="8">
        <v>152</v>
      </c>
    </row>
    <row r="62" spans="2:4" ht="19.5" customHeight="1" x14ac:dyDescent="0.35">
      <c r="B62" s="3" t="s">
        <v>58</v>
      </c>
    </row>
    <row r="63" spans="2:4" ht="27.75" customHeight="1" x14ac:dyDescent="0.2">
      <c r="B63" s="4" t="s">
        <v>59</v>
      </c>
      <c r="C63" s="4" t="s">
        <v>60</v>
      </c>
      <c r="D63" s="4" t="s">
        <v>23</v>
      </c>
    </row>
    <row r="64" spans="2:4" ht="37.5" customHeight="1" x14ac:dyDescent="0.35">
      <c r="B64" s="5" t="s">
        <v>61</v>
      </c>
      <c r="C64" s="5" t="s">
        <v>62</v>
      </c>
      <c r="D64" s="6">
        <v>4752</v>
      </c>
    </row>
    <row r="65" spans="2:4" ht="37.5" customHeight="1" x14ac:dyDescent="0.35">
      <c r="B65" s="7" t="s">
        <v>63</v>
      </c>
      <c r="C65" s="7" t="s">
        <v>64</v>
      </c>
      <c r="D65" s="8">
        <v>35</v>
      </c>
    </row>
    <row r="66" spans="2:4" ht="37.5" customHeight="1" x14ac:dyDescent="0.35">
      <c r="B66" s="5" t="s">
        <v>65</v>
      </c>
      <c r="C66" s="5" t="s">
        <v>66</v>
      </c>
      <c r="D66" s="6">
        <v>664</v>
      </c>
    </row>
    <row r="67" spans="2:4" ht="37.5" customHeight="1" x14ac:dyDescent="0.35">
      <c r="B67" s="7" t="s">
        <v>67</v>
      </c>
      <c r="C67" s="7" t="s">
        <v>68</v>
      </c>
      <c r="D67" s="8">
        <v>1</v>
      </c>
    </row>
    <row r="69" spans="2:4" ht="15.75" x14ac:dyDescent="0.25">
      <c r="B69" s="13" t="s">
        <v>69</v>
      </c>
    </row>
  </sheetData>
  <mergeCells count="4">
    <mergeCell ref="B2:K2"/>
    <mergeCell ref="B21:D21"/>
    <mergeCell ref="B35:D35"/>
    <mergeCell ref="B49:D4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49"/>
  <sheetViews>
    <sheetView showGridLines="0" zoomScaleNormal="100" workbookViewId="0"/>
  </sheetViews>
  <sheetFormatPr defaultColWidth="8.7421875" defaultRowHeight="15" customHeight="1" x14ac:dyDescent="0.2"/>
  <cols>
    <col min="1" max="1" width="2.95703125" customWidth="1"/>
    <col min="2" max="2" width="34.03125" customWidth="1"/>
    <col min="3" max="3" width="96.046875" customWidth="1"/>
  </cols>
  <sheetData>
    <row r="2" spans="2:3" ht="31.5" customHeight="1" x14ac:dyDescent="0.2">
      <c r="B2" s="18" t="s">
        <v>70</v>
      </c>
      <c r="C2" s="18"/>
    </row>
    <row r="3" spans="2:3" ht="7.5" customHeight="1" x14ac:dyDescent="0.2"/>
    <row r="4" spans="2:3" ht="24" customHeight="1" x14ac:dyDescent="0.2">
      <c r="B4" s="20" t="s">
        <v>71</v>
      </c>
      <c r="C4" s="20"/>
    </row>
    <row r="5" spans="2:3" ht="37.5" customHeight="1" x14ac:dyDescent="0.35">
      <c r="B5" s="14" t="s">
        <v>72</v>
      </c>
      <c r="C5" s="5" t="s">
        <v>73</v>
      </c>
    </row>
    <row r="6" spans="2:3" ht="37.5" customHeight="1" x14ac:dyDescent="0.35">
      <c r="B6" s="15" t="s">
        <v>74</v>
      </c>
      <c r="C6" s="7" t="s">
        <v>75</v>
      </c>
    </row>
    <row r="7" spans="2:3" ht="37.5" customHeight="1" x14ac:dyDescent="0.35">
      <c r="B7" s="14" t="s">
        <v>76</v>
      </c>
      <c r="C7" s="5" t="s">
        <v>77</v>
      </c>
    </row>
    <row r="8" spans="2:3" ht="37.5" customHeight="1" x14ac:dyDescent="0.35">
      <c r="B8" s="15" t="s">
        <v>78</v>
      </c>
      <c r="C8" s="7" t="s">
        <v>79</v>
      </c>
    </row>
    <row r="9" spans="2:3" ht="22.5" customHeight="1" x14ac:dyDescent="0.2">
      <c r="B9" s="14" t="s">
        <v>80</v>
      </c>
      <c r="C9" s="5" t="s">
        <v>81</v>
      </c>
    </row>
    <row r="10" spans="2:3" ht="37.5" customHeight="1" x14ac:dyDescent="0.35">
      <c r="B10" s="15" t="s">
        <v>82</v>
      </c>
      <c r="C10" s="7" t="s">
        <v>83</v>
      </c>
    </row>
    <row r="12" spans="2:3" ht="24" customHeight="1" x14ac:dyDescent="0.2">
      <c r="B12" s="20" t="s">
        <v>84</v>
      </c>
      <c r="C12" s="20"/>
    </row>
    <row r="13" spans="2:3" ht="37.5" customHeight="1" x14ac:dyDescent="0.35">
      <c r="B13" s="14" t="s">
        <v>85</v>
      </c>
      <c r="C13" s="5" t="s">
        <v>86</v>
      </c>
    </row>
    <row r="14" spans="2:3" ht="67.5" customHeight="1" x14ac:dyDescent="0.35">
      <c r="B14" s="15" t="s">
        <v>87</v>
      </c>
      <c r="C14" s="7" t="s">
        <v>88</v>
      </c>
    </row>
    <row r="15" spans="2:3" ht="37.5" customHeight="1" x14ac:dyDescent="0.35">
      <c r="B15" s="14" t="s">
        <v>17</v>
      </c>
      <c r="C15" s="5" t="s">
        <v>89</v>
      </c>
    </row>
    <row r="16" spans="2:3" ht="37.5" customHeight="1" x14ac:dyDescent="0.35">
      <c r="B16" s="15" t="s">
        <v>90</v>
      </c>
      <c r="C16" s="7" t="s">
        <v>91</v>
      </c>
    </row>
    <row r="18" spans="2:3" ht="24" customHeight="1" x14ac:dyDescent="0.2">
      <c r="B18" s="20" t="s">
        <v>92</v>
      </c>
      <c r="C18" s="20"/>
    </row>
    <row r="19" spans="2:3" ht="22.5" customHeight="1" x14ac:dyDescent="0.2">
      <c r="B19" s="14" t="s">
        <v>93</v>
      </c>
      <c r="C19" s="5" t="s">
        <v>94</v>
      </c>
    </row>
    <row r="20" spans="2:3" ht="37.5" customHeight="1" x14ac:dyDescent="0.35">
      <c r="B20" s="15" t="s">
        <v>95</v>
      </c>
      <c r="C20" s="7" t="s">
        <v>96</v>
      </c>
    </row>
    <row r="21" spans="2:3" ht="22.5" customHeight="1" x14ac:dyDescent="0.2">
      <c r="B21" s="14" t="s">
        <v>97</v>
      </c>
      <c r="C21" s="5" t="s">
        <v>98</v>
      </c>
    </row>
    <row r="22" spans="2:3" ht="22.5" customHeight="1" x14ac:dyDescent="0.2">
      <c r="B22" s="15" t="s">
        <v>99</v>
      </c>
      <c r="C22" s="7" t="s">
        <v>100</v>
      </c>
    </row>
    <row r="23" spans="2:3" ht="37.5" customHeight="1" x14ac:dyDescent="0.35">
      <c r="B23" s="14" t="s">
        <v>101</v>
      </c>
      <c r="C23" s="5" t="s">
        <v>102</v>
      </c>
    </row>
    <row r="24" spans="2:3" ht="22.5" customHeight="1" x14ac:dyDescent="0.2">
      <c r="B24" s="15" t="s">
        <v>103</v>
      </c>
      <c r="C24" s="7" t="s">
        <v>104</v>
      </c>
    </row>
    <row r="25" spans="2:3" ht="37.5" customHeight="1" x14ac:dyDescent="0.35">
      <c r="B25" s="14" t="s">
        <v>105</v>
      </c>
      <c r="C25" s="5" t="s">
        <v>106</v>
      </c>
    </row>
    <row r="26" spans="2:3" ht="22.5" customHeight="1" x14ac:dyDescent="0.2">
      <c r="B26" s="15" t="s">
        <v>107</v>
      </c>
      <c r="C26" s="7" t="s">
        <v>108</v>
      </c>
    </row>
    <row r="27" spans="2:3" ht="37.5" customHeight="1" x14ac:dyDescent="0.35">
      <c r="B27" s="14" t="s">
        <v>109</v>
      </c>
      <c r="C27" s="5" t="s">
        <v>110</v>
      </c>
    </row>
    <row r="28" spans="2:3" ht="37.5" customHeight="1" x14ac:dyDescent="0.35">
      <c r="B28" s="15" t="s">
        <v>111</v>
      </c>
      <c r="C28" s="7" t="s">
        <v>112</v>
      </c>
    </row>
    <row r="29" spans="2:3" ht="22.5" customHeight="1" x14ac:dyDescent="0.2">
      <c r="B29" s="14" t="s">
        <v>113</v>
      </c>
      <c r="C29" s="5" t="s">
        <v>114</v>
      </c>
    </row>
    <row r="31" spans="2:3" ht="24" customHeight="1" x14ac:dyDescent="0.2">
      <c r="B31" s="20" t="s">
        <v>115</v>
      </c>
      <c r="C31" s="20"/>
    </row>
    <row r="32" spans="2:3" ht="37.5" customHeight="1" x14ac:dyDescent="0.35">
      <c r="B32" s="14" t="s">
        <v>116</v>
      </c>
      <c r="C32" s="5" t="s">
        <v>117</v>
      </c>
    </row>
    <row r="33" spans="2:3" ht="37.5" customHeight="1" x14ac:dyDescent="0.35">
      <c r="B33" s="15" t="s">
        <v>118</v>
      </c>
      <c r="C33" s="7" t="s">
        <v>119</v>
      </c>
    </row>
    <row r="34" spans="2:3" ht="52.5" customHeight="1" x14ac:dyDescent="0.35">
      <c r="B34" s="14" t="s">
        <v>120</v>
      </c>
      <c r="C34" s="5" t="s">
        <v>121</v>
      </c>
    </row>
    <row r="35" spans="2:3" ht="37.5" customHeight="1" x14ac:dyDescent="0.35">
      <c r="B35" s="15" t="s">
        <v>122</v>
      </c>
      <c r="C35" s="7" t="s">
        <v>123</v>
      </c>
    </row>
    <row r="36" spans="2:3" ht="37.5" customHeight="1" x14ac:dyDescent="0.35">
      <c r="B36" s="14" t="s">
        <v>124</v>
      </c>
      <c r="C36" s="5" t="s">
        <v>125</v>
      </c>
    </row>
    <row r="38" spans="2:3" ht="24" customHeight="1" x14ac:dyDescent="0.2">
      <c r="B38" s="20" t="s">
        <v>126</v>
      </c>
      <c r="C38" s="20"/>
    </row>
    <row r="39" spans="2:3" ht="52.5" customHeight="1" x14ac:dyDescent="0.35">
      <c r="B39" s="14" t="s">
        <v>127</v>
      </c>
      <c r="C39" s="5" t="s">
        <v>128</v>
      </c>
    </row>
    <row r="40" spans="2:3" ht="37.5" customHeight="1" x14ac:dyDescent="0.35">
      <c r="B40" s="15" t="s">
        <v>129</v>
      </c>
      <c r="C40" s="7" t="s">
        <v>130</v>
      </c>
    </row>
    <row r="41" spans="2:3" ht="37.5" customHeight="1" x14ac:dyDescent="0.35">
      <c r="B41" s="14" t="s">
        <v>131</v>
      </c>
      <c r="C41" s="5" t="s">
        <v>132</v>
      </c>
    </row>
    <row r="42" spans="2:3" ht="37.5" customHeight="1" x14ac:dyDescent="0.35">
      <c r="B42" s="15" t="s">
        <v>133</v>
      </c>
      <c r="C42" s="7" t="s">
        <v>134</v>
      </c>
    </row>
    <row r="43" spans="2:3" ht="37.5" customHeight="1" x14ac:dyDescent="0.35">
      <c r="B43" s="14" t="s">
        <v>135</v>
      </c>
      <c r="C43" s="5" t="s">
        <v>136</v>
      </c>
    </row>
    <row r="44" spans="2:3" ht="52.5" customHeight="1" x14ac:dyDescent="0.35">
      <c r="B44" s="15" t="s">
        <v>137</v>
      </c>
      <c r="C44" s="7" t="s">
        <v>138</v>
      </c>
    </row>
    <row r="45" spans="2:3" ht="22.5" customHeight="1" x14ac:dyDescent="0.2">
      <c r="B45" s="14" t="s">
        <v>139</v>
      </c>
      <c r="C45" s="5" t="s">
        <v>140</v>
      </c>
    </row>
    <row r="47" spans="2:3" ht="24" customHeight="1" x14ac:dyDescent="0.2">
      <c r="B47" s="20" t="s">
        <v>141</v>
      </c>
      <c r="C47" s="20"/>
    </row>
    <row r="48" spans="2:3" ht="37.5" customHeight="1" x14ac:dyDescent="0.35">
      <c r="B48" s="14" t="s">
        <v>142</v>
      </c>
      <c r="C48" s="5" t="s">
        <v>143</v>
      </c>
    </row>
    <row r="49" spans="2:3" ht="37.5" customHeight="1" x14ac:dyDescent="0.35">
      <c r="B49" s="15" t="s">
        <v>144</v>
      </c>
      <c r="C49" s="7" t="s">
        <v>145</v>
      </c>
    </row>
  </sheetData>
  <mergeCells count="7">
    <mergeCell ref="B38:C38"/>
    <mergeCell ref="B47:C47"/>
    <mergeCell ref="B2:C2"/>
    <mergeCell ref="B4:C4"/>
    <mergeCell ref="B12:C12"/>
    <mergeCell ref="B18:C18"/>
    <mergeCell ref="B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212"/>
  <sheetViews>
    <sheetView showGridLines="0" zoomScale="90" zoomScaleNormal="90" workbookViewId="0">
      <pane xSplit="1" ySplit="4" topLeftCell="B5" activePane="bottomRight" state="frozen"/>
      <selection pane="bottomLeft" activeCell="A5" sqref="A5"/>
      <selection pane="topRight" activeCell="B1" sqref="B1"/>
      <selection pane="bottomRight"/>
    </sheetView>
  </sheetViews>
  <sheetFormatPr defaultColWidth="8.7421875" defaultRowHeight="15" customHeight="1" x14ac:dyDescent="0.2"/>
  <cols>
    <col min="1" max="1" width="2.95703125" customWidth="1"/>
    <col min="2" max="2" width="9.953125" customWidth="1"/>
    <col min="3" max="3" width="25.9609375" customWidth="1"/>
    <col min="4" max="4" width="9.953125" customWidth="1"/>
    <col min="5" max="5" width="23.9453125" customWidth="1"/>
    <col min="6" max="6" width="13.98828125" customWidth="1"/>
    <col min="7" max="7" width="25.9609375" customWidth="1"/>
    <col min="8" max="8" width="20.04296875" customWidth="1"/>
    <col min="9" max="9" width="23.9453125" customWidth="1"/>
    <col min="10" max="10" width="20.04296875" customWidth="1"/>
    <col min="11" max="11" width="46.00390625" customWidth="1"/>
    <col min="12" max="12" width="9.953125" customWidth="1"/>
    <col min="13" max="13" width="11.97265625" customWidth="1"/>
  </cols>
  <sheetData>
    <row r="2" spans="2:13" ht="31.5" customHeight="1" x14ac:dyDescent="0.2">
      <c r="B2" s="18" t="s">
        <v>146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ht="7.5" customHeight="1" x14ac:dyDescent="0.2"/>
    <row r="4" spans="2:13" ht="27.75" customHeight="1" x14ac:dyDescent="0.35">
      <c r="B4" s="4" t="s">
        <v>93</v>
      </c>
      <c r="C4" s="4" t="s">
        <v>95</v>
      </c>
      <c r="D4" s="4" t="s">
        <v>97</v>
      </c>
      <c r="E4" s="4" t="s">
        <v>99</v>
      </c>
      <c r="F4" s="4" t="s">
        <v>101</v>
      </c>
      <c r="G4" s="4" t="s">
        <v>103</v>
      </c>
      <c r="H4" s="4" t="s">
        <v>105</v>
      </c>
      <c r="I4" s="4" t="s">
        <v>107</v>
      </c>
      <c r="J4" s="4" t="s">
        <v>109</v>
      </c>
      <c r="K4" s="4" t="s">
        <v>111</v>
      </c>
      <c r="L4" s="4" t="s">
        <v>113</v>
      </c>
      <c r="M4" s="4" t="s">
        <v>147</v>
      </c>
    </row>
    <row r="5" spans="2:13" ht="21.75" customHeight="1" x14ac:dyDescent="0.35">
      <c r="B5" s="11">
        <v>1</v>
      </c>
      <c r="C5" s="5" t="s">
        <v>148</v>
      </c>
      <c r="D5" s="11">
        <v>1</v>
      </c>
      <c r="E5" s="5" t="s">
        <v>149</v>
      </c>
      <c r="F5" s="5" t="s">
        <v>150</v>
      </c>
      <c r="G5" s="5" t="s">
        <v>151</v>
      </c>
      <c r="H5" s="5" t="s">
        <v>152</v>
      </c>
      <c r="I5" s="5" t="s">
        <v>153</v>
      </c>
      <c r="J5" s="5" t="s">
        <v>154</v>
      </c>
      <c r="K5" s="5" t="s">
        <v>155</v>
      </c>
      <c r="L5" s="11">
        <v>1</v>
      </c>
      <c r="M5" s="5" t="s">
        <v>156</v>
      </c>
    </row>
    <row r="6" spans="2:13" ht="52.5" customHeight="1" x14ac:dyDescent="0.35">
      <c r="B6" s="12">
        <v>2</v>
      </c>
      <c r="C6" s="7" t="s">
        <v>157</v>
      </c>
      <c r="D6" s="12">
        <v>1</v>
      </c>
      <c r="E6" s="7" t="s">
        <v>158</v>
      </c>
      <c r="F6" s="7" t="s">
        <v>159</v>
      </c>
      <c r="G6" s="7" t="s">
        <v>160</v>
      </c>
      <c r="H6" s="7" t="s">
        <v>161</v>
      </c>
      <c r="I6" s="7" t="s">
        <v>162</v>
      </c>
      <c r="J6" s="7" t="s">
        <v>163</v>
      </c>
      <c r="K6" s="7" t="s">
        <v>164</v>
      </c>
      <c r="L6" s="12">
        <v>3</v>
      </c>
      <c r="M6" s="7" t="s">
        <v>156</v>
      </c>
    </row>
    <row r="7" spans="2:13" ht="37.5" customHeight="1" x14ac:dyDescent="0.35">
      <c r="B7" s="11">
        <v>3</v>
      </c>
      <c r="C7" s="5" t="s">
        <v>165</v>
      </c>
      <c r="D7" s="11">
        <v>1</v>
      </c>
      <c r="E7" s="5" t="s">
        <v>166</v>
      </c>
      <c r="F7" s="5" t="s">
        <v>167</v>
      </c>
      <c r="G7" s="5" t="s">
        <v>168</v>
      </c>
      <c r="H7" s="5" t="s">
        <v>169</v>
      </c>
      <c r="I7" s="5" t="s">
        <v>170</v>
      </c>
      <c r="J7" s="5" t="s">
        <v>171</v>
      </c>
      <c r="K7" s="5" t="s">
        <v>172</v>
      </c>
      <c r="L7" s="11">
        <v>2</v>
      </c>
      <c r="M7" s="5" t="s">
        <v>173</v>
      </c>
    </row>
    <row r="8" spans="2:13" ht="37.5" customHeight="1" x14ac:dyDescent="0.35">
      <c r="B8" s="12">
        <v>3</v>
      </c>
      <c r="C8" s="7" t="s">
        <v>165</v>
      </c>
      <c r="D8" s="12">
        <v>2</v>
      </c>
      <c r="E8" s="7" t="s">
        <v>174</v>
      </c>
      <c r="F8" s="7" t="s">
        <v>175</v>
      </c>
      <c r="G8" s="7" t="s">
        <v>176</v>
      </c>
      <c r="H8" s="7" t="s">
        <v>37</v>
      </c>
      <c r="I8" s="7" t="s">
        <v>170</v>
      </c>
      <c r="J8" s="7" t="s">
        <v>177</v>
      </c>
      <c r="K8" s="7" t="s">
        <v>178</v>
      </c>
      <c r="L8" s="12">
        <v>1</v>
      </c>
      <c r="M8" s="7" t="s">
        <v>173</v>
      </c>
    </row>
    <row r="9" spans="2:13" ht="37.5" customHeight="1" x14ac:dyDescent="0.35">
      <c r="B9" s="11">
        <v>3</v>
      </c>
      <c r="C9" s="5" t="s">
        <v>165</v>
      </c>
      <c r="D9" s="11">
        <v>3</v>
      </c>
      <c r="E9" s="5" t="s">
        <v>179</v>
      </c>
      <c r="F9" s="5" t="s">
        <v>180</v>
      </c>
      <c r="G9" s="5" t="s">
        <v>28</v>
      </c>
      <c r="H9" s="5" t="s">
        <v>37</v>
      </c>
      <c r="I9" s="5" t="s">
        <v>181</v>
      </c>
      <c r="J9" s="5" t="s">
        <v>177</v>
      </c>
      <c r="K9" s="5" t="s">
        <v>182</v>
      </c>
      <c r="L9" s="11">
        <v>1</v>
      </c>
      <c r="M9" s="5" t="s">
        <v>173</v>
      </c>
    </row>
    <row r="10" spans="2:13" ht="37.5" customHeight="1" x14ac:dyDescent="0.35">
      <c r="B10" s="12">
        <v>3</v>
      </c>
      <c r="C10" s="7" t="s">
        <v>165</v>
      </c>
      <c r="D10" s="12">
        <v>4</v>
      </c>
      <c r="E10" s="7" t="s">
        <v>183</v>
      </c>
      <c r="F10" s="7" t="s">
        <v>184</v>
      </c>
      <c r="G10" s="7" t="s">
        <v>185</v>
      </c>
      <c r="H10" s="7" t="s">
        <v>37</v>
      </c>
      <c r="I10" s="7" t="s">
        <v>170</v>
      </c>
      <c r="J10" s="7" t="s">
        <v>177</v>
      </c>
      <c r="K10" s="7" t="s">
        <v>178</v>
      </c>
      <c r="L10" s="12">
        <v>1</v>
      </c>
      <c r="M10" s="7" t="s">
        <v>173</v>
      </c>
    </row>
    <row r="11" spans="2:13" ht="21.75" customHeight="1" x14ac:dyDescent="0.35">
      <c r="B11" s="11">
        <v>3</v>
      </c>
      <c r="C11" s="5" t="s">
        <v>165</v>
      </c>
      <c r="D11" s="11">
        <v>5</v>
      </c>
      <c r="E11" s="5" t="s">
        <v>186</v>
      </c>
      <c r="F11" s="5" t="s">
        <v>187</v>
      </c>
      <c r="G11" s="5" t="s">
        <v>188</v>
      </c>
      <c r="H11" s="5" t="s">
        <v>152</v>
      </c>
      <c r="I11" s="5" t="s">
        <v>49</v>
      </c>
      <c r="J11" s="5" t="s">
        <v>154</v>
      </c>
      <c r="K11" s="5" t="s">
        <v>189</v>
      </c>
      <c r="L11" s="11">
        <v>1</v>
      </c>
      <c r="M11" s="5" t="s">
        <v>173</v>
      </c>
    </row>
    <row r="12" spans="2:13" ht="37.5" customHeight="1" x14ac:dyDescent="0.35">
      <c r="B12" s="12">
        <v>3</v>
      </c>
      <c r="C12" s="7" t="s">
        <v>165</v>
      </c>
      <c r="D12" s="12">
        <v>6</v>
      </c>
      <c r="E12" s="7" t="s">
        <v>190</v>
      </c>
      <c r="F12" s="7" t="s">
        <v>191</v>
      </c>
      <c r="G12" s="7" t="s">
        <v>192</v>
      </c>
      <c r="H12" s="7" t="s">
        <v>37</v>
      </c>
      <c r="I12" s="7" t="s">
        <v>193</v>
      </c>
      <c r="J12" s="7" t="s">
        <v>194</v>
      </c>
      <c r="K12" s="7" t="s">
        <v>195</v>
      </c>
      <c r="L12" s="12">
        <v>1</v>
      </c>
      <c r="M12" s="7" t="s">
        <v>173</v>
      </c>
    </row>
    <row r="13" spans="2:13" ht="21.75" customHeight="1" x14ac:dyDescent="0.35">
      <c r="B13" s="11">
        <v>3</v>
      </c>
      <c r="C13" s="5" t="s">
        <v>165</v>
      </c>
      <c r="D13" s="11">
        <v>7</v>
      </c>
      <c r="E13" s="5" t="s">
        <v>196</v>
      </c>
      <c r="F13" s="5" t="s">
        <v>197</v>
      </c>
      <c r="G13" s="5" t="s">
        <v>198</v>
      </c>
      <c r="H13" s="5" t="s">
        <v>37</v>
      </c>
      <c r="I13" s="5" t="s">
        <v>193</v>
      </c>
      <c r="J13" s="5" t="s">
        <v>177</v>
      </c>
      <c r="K13" s="5" t="s">
        <v>199</v>
      </c>
      <c r="L13" s="11">
        <v>1</v>
      </c>
      <c r="M13" s="5" t="s">
        <v>173</v>
      </c>
    </row>
    <row r="14" spans="2:13" ht="37.5" customHeight="1" x14ac:dyDescent="0.35">
      <c r="B14" s="12">
        <v>3</v>
      </c>
      <c r="C14" s="7" t="s">
        <v>165</v>
      </c>
      <c r="D14" s="12">
        <v>8</v>
      </c>
      <c r="E14" s="7" t="s">
        <v>200</v>
      </c>
      <c r="F14" s="7" t="s">
        <v>201</v>
      </c>
      <c r="G14" s="7" t="s">
        <v>202</v>
      </c>
      <c r="H14" s="7" t="s">
        <v>37</v>
      </c>
      <c r="I14" s="7" t="s">
        <v>170</v>
      </c>
      <c r="J14" s="7" t="s">
        <v>177</v>
      </c>
      <c r="K14" s="7" t="s">
        <v>178</v>
      </c>
      <c r="L14" s="12">
        <v>1</v>
      </c>
      <c r="M14" s="7" t="s">
        <v>173</v>
      </c>
    </row>
    <row r="15" spans="2:13" ht="37.5" customHeight="1" x14ac:dyDescent="0.35">
      <c r="B15" s="11">
        <v>4</v>
      </c>
      <c r="C15" s="5" t="s">
        <v>203</v>
      </c>
      <c r="D15" s="11">
        <v>1</v>
      </c>
      <c r="E15" s="5" t="s">
        <v>204</v>
      </c>
      <c r="F15" s="5" t="s">
        <v>205</v>
      </c>
      <c r="G15" s="5" t="s">
        <v>206</v>
      </c>
      <c r="H15" s="5" t="s">
        <v>37</v>
      </c>
      <c r="I15" s="5" t="s">
        <v>51</v>
      </c>
      <c r="J15" s="5" t="s">
        <v>207</v>
      </c>
      <c r="K15" s="5" t="s">
        <v>208</v>
      </c>
      <c r="L15" s="11">
        <v>1</v>
      </c>
      <c r="M15" s="5" t="s">
        <v>173</v>
      </c>
    </row>
    <row r="16" spans="2:13" ht="37.5" customHeight="1" x14ac:dyDescent="0.35">
      <c r="B16" s="12">
        <v>5</v>
      </c>
      <c r="C16" s="7" t="s">
        <v>209</v>
      </c>
      <c r="D16" s="12">
        <v>1</v>
      </c>
      <c r="E16" s="7" t="s">
        <v>210</v>
      </c>
      <c r="F16" s="7" t="s">
        <v>211</v>
      </c>
      <c r="G16" s="7" t="s">
        <v>212</v>
      </c>
      <c r="H16" s="7" t="s">
        <v>41</v>
      </c>
      <c r="I16" s="7" t="s">
        <v>49</v>
      </c>
      <c r="J16" s="7" t="s">
        <v>213</v>
      </c>
      <c r="K16" s="7" t="s">
        <v>214</v>
      </c>
      <c r="L16" s="12">
        <v>1</v>
      </c>
      <c r="M16" s="7"/>
    </row>
    <row r="17" spans="2:13" ht="37.5" customHeight="1" x14ac:dyDescent="0.35">
      <c r="B17" s="11">
        <v>5</v>
      </c>
      <c r="C17" s="5" t="s">
        <v>209</v>
      </c>
      <c r="D17" s="11">
        <v>2</v>
      </c>
      <c r="E17" s="5" t="s">
        <v>215</v>
      </c>
      <c r="F17" s="5" t="s">
        <v>216</v>
      </c>
      <c r="G17" s="5" t="s">
        <v>217</v>
      </c>
      <c r="H17" s="5" t="s">
        <v>218</v>
      </c>
      <c r="I17" s="5" t="s">
        <v>219</v>
      </c>
      <c r="J17" s="5" t="s">
        <v>220</v>
      </c>
      <c r="K17" s="5" t="s">
        <v>221</v>
      </c>
      <c r="L17" s="11">
        <v>2</v>
      </c>
      <c r="M17" s="5"/>
    </row>
    <row r="18" spans="2:13" ht="37.5" customHeight="1" x14ac:dyDescent="0.35">
      <c r="B18" s="12">
        <v>5</v>
      </c>
      <c r="C18" s="7" t="s">
        <v>209</v>
      </c>
      <c r="D18" s="12">
        <v>3</v>
      </c>
      <c r="E18" s="7" t="s">
        <v>222</v>
      </c>
      <c r="F18" s="7" t="s">
        <v>223</v>
      </c>
      <c r="G18" s="7" t="s">
        <v>224</v>
      </c>
      <c r="H18" s="7" t="s">
        <v>37</v>
      </c>
      <c r="I18" s="7" t="s">
        <v>193</v>
      </c>
      <c r="J18" s="7" t="s">
        <v>194</v>
      </c>
      <c r="K18" s="7" t="s">
        <v>195</v>
      </c>
      <c r="L18" s="12">
        <v>1</v>
      </c>
      <c r="M18" s="7"/>
    </row>
    <row r="19" spans="2:13" ht="37.5" customHeight="1" x14ac:dyDescent="0.35">
      <c r="B19" s="11">
        <v>5</v>
      </c>
      <c r="C19" s="5" t="s">
        <v>209</v>
      </c>
      <c r="D19" s="11">
        <v>4</v>
      </c>
      <c r="E19" s="5" t="s">
        <v>225</v>
      </c>
      <c r="F19" s="5" t="s">
        <v>226</v>
      </c>
      <c r="G19" s="5" t="s">
        <v>27</v>
      </c>
      <c r="H19" s="5" t="s">
        <v>39</v>
      </c>
      <c r="I19" s="5" t="s">
        <v>227</v>
      </c>
      <c r="J19" s="5" t="s">
        <v>228</v>
      </c>
      <c r="K19" s="5" t="s">
        <v>229</v>
      </c>
      <c r="L19" s="11">
        <v>1</v>
      </c>
      <c r="M19" s="5"/>
    </row>
    <row r="20" spans="2:13" ht="37.5" customHeight="1" x14ac:dyDescent="0.35">
      <c r="B20" s="12">
        <v>5</v>
      </c>
      <c r="C20" s="7" t="s">
        <v>209</v>
      </c>
      <c r="D20" s="12">
        <v>5</v>
      </c>
      <c r="E20" s="7" t="s">
        <v>230</v>
      </c>
      <c r="F20" s="7" t="s">
        <v>231</v>
      </c>
      <c r="G20" s="7" t="s">
        <v>232</v>
      </c>
      <c r="H20" s="7" t="s">
        <v>41</v>
      </c>
      <c r="I20" s="7" t="s">
        <v>193</v>
      </c>
      <c r="J20" s="7" t="s">
        <v>233</v>
      </c>
      <c r="K20" s="7" t="s">
        <v>234</v>
      </c>
      <c r="L20" s="12">
        <v>1</v>
      </c>
      <c r="M20" s="7"/>
    </row>
    <row r="21" spans="2:13" ht="37.5" customHeight="1" x14ac:dyDescent="0.35">
      <c r="B21" s="11">
        <v>5</v>
      </c>
      <c r="C21" s="5" t="s">
        <v>209</v>
      </c>
      <c r="D21" s="11">
        <v>6</v>
      </c>
      <c r="E21" s="5" t="s">
        <v>235</v>
      </c>
      <c r="F21" s="5" t="s">
        <v>236</v>
      </c>
      <c r="G21" s="5" t="s">
        <v>237</v>
      </c>
      <c r="H21" s="5" t="s">
        <v>238</v>
      </c>
      <c r="I21" s="5" t="s">
        <v>239</v>
      </c>
      <c r="J21" s="5" t="s">
        <v>240</v>
      </c>
      <c r="K21" s="5" t="s">
        <v>241</v>
      </c>
      <c r="L21" s="11">
        <v>2</v>
      </c>
      <c r="M21" s="5"/>
    </row>
    <row r="22" spans="2:13" ht="37.5" customHeight="1" x14ac:dyDescent="0.35">
      <c r="B22" s="12">
        <v>5</v>
      </c>
      <c r="C22" s="7" t="s">
        <v>209</v>
      </c>
      <c r="D22" s="12">
        <v>7</v>
      </c>
      <c r="E22" s="7" t="s">
        <v>242</v>
      </c>
      <c r="F22" s="7" t="s">
        <v>243</v>
      </c>
      <c r="G22" s="7" t="s">
        <v>244</v>
      </c>
      <c r="H22" s="7" t="s">
        <v>42</v>
      </c>
      <c r="I22" s="7" t="s">
        <v>245</v>
      </c>
      <c r="J22" s="7" t="s">
        <v>207</v>
      </c>
      <c r="K22" s="7" t="s">
        <v>246</v>
      </c>
      <c r="L22" s="12">
        <v>1</v>
      </c>
      <c r="M22" s="7"/>
    </row>
    <row r="23" spans="2:13" ht="37.5" customHeight="1" x14ac:dyDescent="0.35">
      <c r="B23" s="11">
        <v>5</v>
      </c>
      <c r="C23" s="5" t="s">
        <v>209</v>
      </c>
      <c r="D23" s="11">
        <v>8</v>
      </c>
      <c r="E23" s="5" t="s">
        <v>247</v>
      </c>
      <c r="F23" s="5" t="s">
        <v>248</v>
      </c>
      <c r="G23" s="5" t="s">
        <v>249</v>
      </c>
      <c r="H23" s="5" t="s">
        <v>39</v>
      </c>
      <c r="I23" s="5" t="s">
        <v>227</v>
      </c>
      <c r="J23" s="5" t="s">
        <v>194</v>
      </c>
      <c r="K23" s="5" t="s">
        <v>250</v>
      </c>
      <c r="L23" s="11">
        <v>1</v>
      </c>
      <c r="M23" s="5"/>
    </row>
    <row r="24" spans="2:13" ht="37.5" customHeight="1" x14ac:dyDescent="0.35">
      <c r="B24" s="12">
        <v>5</v>
      </c>
      <c r="C24" s="7" t="s">
        <v>209</v>
      </c>
      <c r="D24" s="12">
        <v>9</v>
      </c>
      <c r="E24" s="7" t="s">
        <v>251</v>
      </c>
      <c r="F24" s="7" t="s">
        <v>252</v>
      </c>
      <c r="G24" s="7" t="s">
        <v>253</v>
      </c>
      <c r="H24" s="7" t="s">
        <v>40</v>
      </c>
      <c r="I24" s="7" t="s">
        <v>54</v>
      </c>
      <c r="J24" s="7" t="s">
        <v>213</v>
      </c>
      <c r="K24" s="7" t="s">
        <v>254</v>
      </c>
      <c r="L24" s="12">
        <v>1</v>
      </c>
      <c r="M24" s="7"/>
    </row>
    <row r="25" spans="2:13" ht="37.5" customHeight="1" x14ac:dyDescent="0.35">
      <c r="B25" s="11">
        <v>5</v>
      </c>
      <c r="C25" s="5" t="s">
        <v>209</v>
      </c>
      <c r="D25" s="11">
        <v>10</v>
      </c>
      <c r="E25" s="5" t="s">
        <v>255</v>
      </c>
      <c r="F25" s="5" t="s">
        <v>256</v>
      </c>
      <c r="G25" s="5" t="s">
        <v>257</v>
      </c>
      <c r="H25" s="5" t="s">
        <v>39</v>
      </c>
      <c r="I25" s="5" t="s">
        <v>227</v>
      </c>
      <c r="J25" s="5" t="s">
        <v>258</v>
      </c>
      <c r="K25" s="5" t="s">
        <v>259</v>
      </c>
      <c r="L25" s="11">
        <v>1</v>
      </c>
      <c r="M25" s="5"/>
    </row>
    <row r="26" spans="2:13" ht="37.5" customHeight="1" x14ac:dyDescent="0.35">
      <c r="B26" s="12">
        <v>5</v>
      </c>
      <c r="C26" s="7" t="s">
        <v>209</v>
      </c>
      <c r="D26" s="12">
        <v>11</v>
      </c>
      <c r="E26" s="7" t="s">
        <v>260</v>
      </c>
      <c r="F26" s="7" t="s">
        <v>261</v>
      </c>
      <c r="G26" s="7" t="s">
        <v>262</v>
      </c>
      <c r="H26" s="7" t="s">
        <v>263</v>
      </c>
      <c r="I26" s="7" t="s">
        <v>264</v>
      </c>
      <c r="J26" s="7" t="s">
        <v>220</v>
      </c>
      <c r="K26" s="7" t="s">
        <v>265</v>
      </c>
      <c r="L26" s="12">
        <v>2</v>
      </c>
      <c r="M26" s="7"/>
    </row>
    <row r="27" spans="2:13" ht="37.5" customHeight="1" x14ac:dyDescent="0.35">
      <c r="B27" s="11">
        <v>5</v>
      </c>
      <c r="C27" s="5" t="s">
        <v>209</v>
      </c>
      <c r="D27" s="11">
        <v>12</v>
      </c>
      <c r="E27" s="5" t="s">
        <v>266</v>
      </c>
      <c r="F27" s="5" t="s">
        <v>267</v>
      </c>
      <c r="G27" s="5" t="s">
        <v>32</v>
      </c>
      <c r="H27" s="5" t="s">
        <v>38</v>
      </c>
      <c r="I27" s="5" t="s">
        <v>268</v>
      </c>
      <c r="J27" s="5" t="s">
        <v>269</v>
      </c>
      <c r="K27" s="5" t="s">
        <v>270</v>
      </c>
      <c r="L27" s="11">
        <v>1</v>
      </c>
      <c r="M27" s="5"/>
    </row>
    <row r="28" spans="2:13" ht="37.5" customHeight="1" x14ac:dyDescent="0.35">
      <c r="B28" s="12">
        <v>5</v>
      </c>
      <c r="C28" s="7" t="s">
        <v>209</v>
      </c>
      <c r="D28" s="12">
        <v>13</v>
      </c>
      <c r="E28" s="7" t="s">
        <v>271</v>
      </c>
      <c r="F28" s="7" t="s">
        <v>272</v>
      </c>
      <c r="G28" s="7" t="s">
        <v>273</v>
      </c>
      <c r="H28" s="7" t="s">
        <v>41</v>
      </c>
      <c r="I28" s="7" t="s">
        <v>274</v>
      </c>
      <c r="J28" s="7" t="s">
        <v>275</v>
      </c>
      <c r="K28" s="7" t="s">
        <v>276</v>
      </c>
      <c r="L28" s="12">
        <v>1</v>
      </c>
      <c r="M28" s="7"/>
    </row>
    <row r="29" spans="2:13" ht="37.5" customHeight="1" x14ac:dyDescent="0.35">
      <c r="B29" s="11">
        <v>5</v>
      </c>
      <c r="C29" s="5" t="s">
        <v>209</v>
      </c>
      <c r="D29" s="11">
        <v>14</v>
      </c>
      <c r="E29" s="5" t="s">
        <v>277</v>
      </c>
      <c r="F29" s="5" t="s">
        <v>278</v>
      </c>
      <c r="G29" s="5" t="s">
        <v>279</v>
      </c>
      <c r="H29" s="5" t="s">
        <v>41</v>
      </c>
      <c r="I29" s="5" t="s">
        <v>274</v>
      </c>
      <c r="J29" s="5" t="s">
        <v>275</v>
      </c>
      <c r="K29" s="5" t="s">
        <v>276</v>
      </c>
      <c r="L29" s="11">
        <v>1</v>
      </c>
      <c r="M29" s="5"/>
    </row>
    <row r="30" spans="2:13" ht="37.5" customHeight="1" x14ac:dyDescent="0.35">
      <c r="B30" s="12">
        <v>5</v>
      </c>
      <c r="C30" s="7" t="s">
        <v>209</v>
      </c>
      <c r="D30" s="12">
        <v>15</v>
      </c>
      <c r="E30" s="7" t="s">
        <v>280</v>
      </c>
      <c r="F30" s="7" t="s">
        <v>281</v>
      </c>
      <c r="G30" s="7" t="s">
        <v>282</v>
      </c>
      <c r="H30" s="7" t="s">
        <v>41</v>
      </c>
      <c r="I30" s="7" t="s">
        <v>274</v>
      </c>
      <c r="J30" s="7" t="s">
        <v>275</v>
      </c>
      <c r="K30" s="7" t="s">
        <v>276</v>
      </c>
      <c r="L30" s="12">
        <v>1</v>
      </c>
      <c r="M30" s="7"/>
    </row>
    <row r="31" spans="2:13" ht="37.5" customHeight="1" x14ac:dyDescent="0.35">
      <c r="B31" s="11">
        <v>5</v>
      </c>
      <c r="C31" s="5" t="s">
        <v>209</v>
      </c>
      <c r="D31" s="11">
        <v>16</v>
      </c>
      <c r="E31" s="5" t="s">
        <v>283</v>
      </c>
      <c r="F31" s="5" t="s">
        <v>284</v>
      </c>
      <c r="G31" s="5" t="s">
        <v>285</v>
      </c>
      <c r="H31" s="5" t="s">
        <v>37</v>
      </c>
      <c r="I31" s="5" t="s">
        <v>170</v>
      </c>
      <c r="J31" s="5" t="s">
        <v>194</v>
      </c>
      <c r="K31" s="5" t="s">
        <v>286</v>
      </c>
      <c r="L31" s="11">
        <v>1</v>
      </c>
      <c r="M31" s="5"/>
    </row>
    <row r="32" spans="2:13" ht="37.5" customHeight="1" x14ac:dyDescent="0.35">
      <c r="B32" s="12">
        <v>6</v>
      </c>
      <c r="C32" s="7" t="s">
        <v>287</v>
      </c>
      <c r="D32" s="12">
        <v>1</v>
      </c>
      <c r="E32" s="7" t="s">
        <v>288</v>
      </c>
      <c r="F32" s="7" t="s">
        <v>289</v>
      </c>
      <c r="G32" s="7" t="s">
        <v>206</v>
      </c>
      <c r="H32" s="7" t="s">
        <v>37</v>
      </c>
      <c r="I32" s="7" t="s">
        <v>170</v>
      </c>
      <c r="J32" s="7" t="s">
        <v>194</v>
      </c>
      <c r="K32" s="7" t="s">
        <v>286</v>
      </c>
      <c r="L32" s="12">
        <v>1</v>
      </c>
      <c r="M32" s="7" t="s">
        <v>290</v>
      </c>
    </row>
    <row r="33" spans="2:13" ht="37.5" customHeight="1" x14ac:dyDescent="0.35">
      <c r="B33" s="11">
        <v>6</v>
      </c>
      <c r="C33" s="5" t="s">
        <v>287</v>
      </c>
      <c r="D33" s="11">
        <v>2</v>
      </c>
      <c r="E33" s="5" t="s">
        <v>291</v>
      </c>
      <c r="F33" s="5" t="s">
        <v>292</v>
      </c>
      <c r="G33" s="5" t="s">
        <v>293</v>
      </c>
      <c r="H33" s="5" t="s">
        <v>294</v>
      </c>
      <c r="I33" s="5" t="s">
        <v>295</v>
      </c>
      <c r="J33" s="5" t="s">
        <v>296</v>
      </c>
      <c r="K33" s="5" t="s">
        <v>297</v>
      </c>
      <c r="L33" s="11">
        <v>2</v>
      </c>
      <c r="M33" s="5" t="s">
        <v>290</v>
      </c>
    </row>
    <row r="34" spans="2:13" ht="37.5" customHeight="1" x14ac:dyDescent="0.35">
      <c r="B34" s="12">
        <v>6</v>
      </c>
      <c r="C34" s="7" t="s">
        <v>287</v>
      </c>
      <c r="D34" s="12">
        <v>3</v>
      </c>
      <c r="E34" s="7" t="s">
        <v>298</v>
      </c>
      <c r="F34" s="7" t="s">
        <v>299</v>
      </c>
      <c r="G34" s="7" t="s">
        <v>300</v>
      </c>
      <c r="H34" s="7" t="s">
        <v>301</v>
      </c>
      <c r="I34" s="7" t="s">
        <v>302</v>
      </c>
      <c r="J34" s="7" t="s">
        <v>194</v>
      </c>
      <c r="K34" s="7" t="s">
        <v>303</v>
      </c>
      <c r="L34" s="12">
        <v>2</v>
      </c>
      <c r="M34" s="7" t="s">
        <v>290</v>
      </c>
    </row>
    <row r="35" spans="2:13" ht="37.5" customHeight="1" x14ac:dyDescent="0.35">
      <c r="B35" s="11">
        <v>6</v>
      </c>
      <c r="C35" s="5" t="s">
        <v>287</v>
      </c>
      <c r="D35" s="11">
        <v>4</v>
      </c>
      <c r="E35" s="5" t="s">
        <v>304</v>
      </c>
      <c r="F35" s="5" t="s">
        <v>305</v>
      </c>
      <c r="G35" s="5" t="s">
        <v>224</v>
      </c>
      <c r="H35" s="5" t="s">
        <v>306</v>
      </c>
      <c r="I35" s="5" t="s">
        <v>307</v>
      </c>
      <c r="J35" s="5" t="s">
        <v>308</v>
      </c>
      <c r="K35" s="5" t="s">
        <v>309</v>
      </c>
      <c r="L35" s="11">
        <v>2</v>
      </c>
      <c r="M35" s="5" t="s">
        <v>290</v>
      </c>
    </row>
    <row r="36" spans="2:13" ht="37.5" customHeight="1" x14ac:dyDescent="0.35">
      <c r="B36" s="12">
        <v>6</v>
      </c>
      <c r="C36" s="7" t="s">
        <v>287</v>
      </c>
      <c r="D36" s="12">
        <v>5</v>
      </c>
      <c r="E36" s="7" t="s">
        <v>310</v>
      </c>
      <c r="F36" s="7" t="s">
        <v>311</v>
      </c>
      <c r="G36" s="7" t="s">
        <v>217</v>
      </c>
      <c r="H36" s="7" t="s">
        <v>306</v>
      </c>
      <c r="I36" s="7" t="s">
        <v>307</v>
      </c>
      <c r="J36" s="7" t="s">
        <v>308</v>
      </c>
      <c r="K36" s="7" t="s">
        <v>309</v>
      </c>
      <c r="L36" s="12">
        <v>2</v>
      </c>
      <c r="M36" s="7" t="s">
        <v>290</v>
      </c>
    </row>
    <row r="37" spans="2:13" ht="37.5" customHeight="1" x14ac:dyDescent="0.35">
      <c r="B37" s="11">
        <v>6</v>
      </c>
      <c r="C37" s="5" t="s">
        <v>287</v>
      </c>
      <c r="D37" s="11">
        <v>6</v>
      </c>
      <c r="E37" s="5" t="s">
        <v>312</v>
      </c>
      <c r="F37" s="5" t="s">
        <v>313</v>
      </c>
      <c r="G37" s="5" t="s">
        <v>24</v>
      </c>
      <c r="H37" s="5" t="s">
        <v>314</v>
      </c>
      <c r="I37" s="5" t="s">
        <v>315</v>
      </c>
      <c r="J37" s="5" t="s">
        <v>220</v>
      </c>
      <c r="K37" s="5" t="s">
        <v>316</v>
      </c>
      <c r="L37" s="11">
        <v>2</v>
      </c>
      <c r="M37" s="5" t="s">
        <v>290</v>
      </c>
    </row>
    <row r="38" spans="2:13" ht="37.5" customHeight="1" x14ac:dyDescent="0.35">
      <c r="B38" s="12">
        <v>6</v>
      </c>
      <c r="C38" s="7" t="s">
        <v>287</v>
      </c>
      <c r="D38" s="12">
        <v>7</v>
      </c>
      <c r="E38" s="7" t="s">
        <v>317</v>
      </c>
      <c r="F38" s="7" t="s">
        <v>318</v>
      </c>
      <c r="G38" s="7" t="s">
        <v>319</v>
      </c>
      <c r="H38" s="7" t="s">
        <v>301</v>
      </c>
      <c r="I38" s="7" t="s">
        <v>320</v>
      </c>
      <c r="J38" s="7" t="s">
        <v>321</v>
      </c>
      <c r="K38" s="7" t="s">
        <v>322</v>
      </c>
      <c r="L38" s="12">
        <v>2</v>
      </c>
      <c r="M38" s="7" t="s">
        <v>290</v>
      </c>
    </row>
    <row r="39" spans="2:13" ht="21.75" customHeight="1" x14ac:dyDescent="0.35">
      <c r="B39" s="11">
        <v>6</v>
      </c>
      <c r="C39" s="5" t="s">
        <v>287</v>
      </c>
      <c r="D39" s="11">
        <v>8</v>
      </c>
      <c r="E39" s="5" t="s">
        <v>323</v>
      </c>
      <c r="F39" s="5" t="s">
        <v>324</v>
      </c>
      <c r="G39" s="5" t="s">
        <v>26</v>
      </c>
      <c r="H39" s="5" t="s">
        <v>37</v>
      </c>
      <c r="I39" s="5" t="s">
        <v>193</v>
      </c>
      <c r="J39" s="5" t="s">
        <v>194</v>
      </c>
      <c r="K39" s="5" t="s">
        <v>195</v>
      </c>
      <c r="L39" s="11">
        <v>1</v>
      </c>
      <c r="M39" s="5" t="s">
        <v>290</v>
      </c>
    </row>
    <row r="40" spans="2:13" ht="37.5" customHeight="1" x14ac:dyDescent="0.35">
      <c r="B40" s="12">
        <v>6</v>
      </c>
      <c r="C40" s="7" t="s">
        <v>287</v>
      </c>
      <c r="D40" s="12">
        <v>9</v>
      </c>
      <c r="E40" s="7" t="s">
        <v>325</v>
      </c>
      <c r="F40" s="7" t="s">
        <v>326</v>
      </c>
      <c r="G40" s="7" t="s">
        <v>293</v>
      </c>
      <c r="H40" s="7" t="s">
        <v>37</v>
      </c>
      <c r="I40" s="7" t="s">
        <v>193</v>
      </c>
      <c r="J40" s="7" t="s">
        <v>194</v>
      </c>
      <c r="K40" s="7" t="s">
        <v>195</v>
      </c>
      <c r="L40" s="12">
        <v>1</v>
      </c>
      <c r="M40" s="7" t="s">
        <v>290</v>
      </c>
    </row>
    <row r="41" spans="2:13" ht="37.5" customHeight="1" x14ac:dyDescent="0.35">
      <c r="B41" s="11">
        <v>7</v>
      </c>
      <c r="C41" s="5" t="s">
        <v>327</v>
      </c>
      <c r="D41" s="11">
        <v>1</v>
      </c>
      <c r="E41" s="5" t="s">
        <v>328</v>
      </c>
      <c r="F41" s="5" t="s">
        <v>329</v>
      </c>
      <c r="G41" s="5" t="s">
        <v>168</v>
      </c>
      <c r="H41" s="5" t="s">
        <v>294</v>
      </c>
      <c r="I41" s="5" t="s">
        <v>330</v>
      </c>
      <c r="J41" s="5" t="s">
        <v>331</v>
      </c>
      <c r="K41" s="5" t="s">
        <v>332</v>
      </c>
      <c r="L41" s="11">
        <v>2</v>
      </c>
      <c r="M41" s="5" t="s">
        <v>333</v>
      </c>
    </row>
    <row r="42" spans="2:13" ht="37.5" customHeight="1" x14ac:dyDescent="0.35">
      <c r="B42" s="12">
        <v>7</v>
      </c>
      <c r="C42" s="7" t="s">
        <v>327</v>
      </c>
      <c r="D42" s="12">
        <v>2</v>
      </c>
      <c r="E42" s="7" t="s">
        <v>334</v>
      </c>
      <c r="F42" s="7" t="s">
        <v>335</v>
      </c>
      <c r="G42" s="7" t="s">
        <v>30</v>
      </c>
      <c r="H42" s="7" t="s">
        <v>37</v>
      </c>
      <c r="I42" s="7" t="s">
        <v>274</v>
      </c>
      <c r="J42" s="7" t="s">
        <v>331</v>
      </c>
      <c r="K42" s="7" t="s">
        <v>336</v>
      </c>
      <c r="L42" s="12">
        <v>1</v>
      </c>
      <c r="M42" s="7" t="s">
        <v>333</v>
      </c>
    </row>
    <row r="43" spans="2:13" ht="37.5" customHeight="1" x14ac:dyDescent="0.35">
      <c r="B43" s="11">
        <v>7</v>
      </c>
      <c r="C43" s="5" t="s">
        <v>327</v>
      </c>
      <c r="D43" s="11">
        <v>3</v>
      </c>
      <c r="E43" s="5" t="s">
        <v>337</v>
      </c>
      <c r="F43" s="5" t="s">
        <v>338</v>
      </c>
      <c r="G43" s="5" t="s">
        <v>206</v>
      </c>
      <c r="H43" s="5" t="s">
        <v>37</v>
      </c>
      <c r="I43" s="5" t="s">
        <v>339</v>
      </c>
      <c r="J43" s="5" t="s">
        <v>331</v>
      </c>
      <c r="K43" s="5" t="s">
        <v>340</v>
      </c>
      <c r="L43" s="11">
        <v>1</v>
      </c>
      <c r="M43" s="5" t="s">
        <v>333</v>
      </c>
    </row>
    <row r="44" spans="2:13" ht="21.75" customHeight="1" x14ac:dyDescent="0.35">
      <c r="B44" s="12">
        <v>7</v>
      </c>
      <c r="C44" s="7" t="s">
        <v>327</v>
      </c>
      <c r="D44" s="12">
        <v>4</v>
      </c>
      <c r="E44" s="7" t="s">
        <v>341</v>
      </c>
      <c r="F44" s="7" t="s">
        <v>342</v>
      </c>
      <c r="G44" s="7" t="s">
        <v>26</v>
      </c>
      <c r="H44" s="7" t="s">
        <v>37</v>
      </c>
      <c r="I44" s="7" t="s">
        <v>339</v>
      </c>
      <c r="J44" s="7" t="s">
        <v>331</v>
      </c>
      <c r="K44" s="7" t="s">
        <v>340</v>
      </c>
      <c r="L44" s="12">
        <v>1</v>
      </c>
      <c r="M44" s="7" t="s">
        <v>333</v>
      </c>
    </row>
    <row r="45" spans="2:13" ht="37.5" customHeight="1" x14ac:dyDescent="0.35">
      <c r="B45" s="11">
        <v>7</v>
      </c>
      <c r="C45" s="5" t="s">
        <v>327</v>
      </c>
      <c r="D45" s="11">
        <v>5</v>
      </c>
      <c r="E45" s="5" t="s">
        <v>343</v>
      </c>
      <c r="F45" s="5" t="s">
        <v>344</v>
      </c>
      <c r="G45" s="5" t="s">
        <v>345</v>
      </c>
      <c r="H45" s="5" t="s">
        <v>294</v>
      </c>
      <c r="I45" s="5" t="s">
        <v>330</v>
      </c>
      <c r="J45" s="5" t="s">
        <v>346</v>
      </c>
      <c r="K45" s="5" t="s">
        <v>347</v>
      </c>
      <c r="L45" s="11">
        <v>2</v>
      </c>
      <c r="M45" s="5" t="s">
        <v>333</v>
      </c>
    </row>
    <row r="46" spans="2:13" ht="37.5" customHeight="1" x14ac:dyDescent="0.35">
      <c r="B46" s="12">
        <v>7</v>
      </c>
      <c r="C46" s="7" t="s">
        <v>327</v>
      </c>
      <c r="D46" s="12">
        <v>6</v>
      </c>
      <c r="E46" s="7" t="s">
        <v>348</v>
      </c>
      <c r="F46" s="7" t="s">
        <v>349</v>
      </c>
      <c r="G46" s="7" t="s">
        <v>350</v>
      </c>
      <c r="H46" s="7" t="s">
        <v>294</v>
      </c>
      <c r="I46" s="7" t="s">
        <v>351</v>
      </c>
      <c r="J46" s="7" t="s">
        <v>346</v>
      </c>
      <c r="K46" s="7" t="s">
        <v>352</v>
      </c>
      <c r="L46" s="12">
        <v>2</v>
      </c>
      <c r="M46" s="7" t="s">
        <v>333</v>
      </c>
    </row>
    <row r="47" spans="2:13" ht="37.5" customHeight="1" x14ac:dyDescent="0.35">
      <c r="B47" s="11">
        <v>7</v>
      </c>
      <c r="C47" s="5" t="s">
        <v>327</v>
      </c>
      <c r="D47" s="11">
        <v>7</v>
      </c>
      <c r="E47" s="5" t="s">
        <v>353</v>
      </c>
      <c r="F47" s="5" t="s">
        <v>354</v>
      </c>
      <c r="G47" s="5" t="s">
        <v>185</v>
      </c>
      <c r="H47" s="5" t="s">
        <v>294</v>
      </c>
      <c r="I47" s="5" t="s">
        <v>330</v>
      </c>
      <c r="J47" s="5" t="s">
        <v>346</v>
      </c>
      <c r="K47" s="5" t="s">
        <v>347</v>
      </c>
      <c r="L47" s="11">
        <v>2</v>
      </c>
      <c r="M47" s="5" t="s">
        <v>333</v>
      </c>
    </row>
    <row r="48" spans="2:13" ht="37.5" customHeight="1" x14ac:dyDescent="0.35">
      <c r="B48" s="12">
        <v>8</v>
      </c>
      <c r="C48" s="7" t="s">
        <v>355</v>
      </c>
      <c r="D48" s="12">
        <v>1</v>
      </c>
      <c r="E48" s="7" t="s">
        <v>356</v>
      </c>
      <c r="F48" s="7" t="s">
        <v>357</v>
      </c>
      <c r="G48" s="7" t="s">
        <v>358</v>
      </c>
      <c r="H48" s="7" t="s">
        <v>359</v>
      </c>
      <c r="I48" s="7" t="s">
        <v>360</v>
      </c>
      <c r="J48" s="7" t="s">
        <v>361</v>
      </c>
      <c r="K48" s="7" t="s">
        <v>362</v>
      </c>
      <c r="L48" s="12">
        <v>2</v>
      </c>
      <c r="M48" s="7"/>
    </row>
    <row r="49" spans="2:13" ht="52.5" customHeight="1" x14ac:dyDescent="0.35">
      <c r="B49" s="11">
        <v>8</v>
      </c>
      <c r="C49" s="5" t="s">
        <v>355</v>
      </c>
      <c r="D49" s="11">
        <v>2</v>
      </c>
      <c r="E49" s="5" t="s">
        <v>363</v>
      </c>
      <c r="F49" s="5" t="s">
        <v>364</v>
      </c>
      <c r="G49" s="5" t="s">
        <v>365</v>
      </c>
      <c r="H49" s="5" t="s">
        <v>366</v>
      </c>
      <c r="I49" s="5" t="s">
        <v>367</v>
      </c>
      <c r="J49" s="5" t="s">
        <v>368</v>
      </c>
      <c r="K49" s="5" t="s">
        <v>369</v>
      </c>
      <c r="L49" s="11">
        <v>3</v>
      </c>
      <c r="M49" s="5"/>
    </row>
    <row r="50" spans="2:13" ht="67.5" customHeight="1" x14ac:dyDescent="0.35">
      <c r="B50" s="12">
        <v>8</v>
      </c>
      <c r="C50" s="7" t="s">
        <v>355</v>
      </c>
      <c r="D50" s="12">
        <v>3</v>
      </c>
      <c r="E50" s="7" t="s">
        <v>370</v>
      </c>
      <c r="F50" s="7" t="s">
        <v>371</v>
      </c>
      <c r="G50" s="7" t="s">
        <v>372</v>
      </c>
      <c r="H50" s="7" t="s">
        <v>366</v>
      </c>
      <c r="I50" s="7" t="s">
        <v>373</v>
      </c>
      <c r="J50" s="7" t="s">
        <v>374</v>
      </c>
      <c r="K50" s="7" t="s">
        <v>375</v>
      </c>
      <c r="L50" s="12">
        <v>3</v>
      </c>
      <c r="M50" s="7"/>
    </row>
    <row r="51" spans="2:13" ht="82.5" customHeight="1" x14ac:dyDescent="0.35">
      <c r="B51" s="11">
        <v>8</v>
      </c>
      <c r="C51" s="5" t="s">
        <v>355</v>
      </c>
      <c r="D51" s="11">
        <v>4</v>
      </c>
      <c r="E51" s="5" t="s">
        <v>376</v>
      </c>
      <c r="F51" s="5" t="s">
        <v>377</v>
      </c>
      <c r="G51" s="5" t="s">
        <v>188</v>
      </c>
      <c r="H51" s="5" t="s">
        <v>378</v>
      </c>
      <c r="I51" s="5" t="s">
        <v>379</v>
      </c>
      <c r="J51" s="5" t="s">
        <v>380</v>
      </c>
      <c r="K51" s="5" t="s">
        <v>381</v>
      </c>
      <c r="L51" s="11">
        <v>4</v>
      </c>
      <c r="M51" s="5"/>
    </row>
    <row r="52" spans="2:13" ht="21.75" customHeight="1" x14ac:dyDescent="0.35">
      <c r="B52" s="12">
        <v>8</v>
      </c>
      <c r="C52" s="7" t="s">
        <v>355</v>
      </c>
      <c r="D52" s="12">
        <v>5</v>
      </c>
      <c r="E52" s="7" t="s">
        <v>382</v>
      </c>
      <c r="F52" s="7" t="s">
        <v>383</v>
      </c>
      <c r="G52" s="7" t="s">
        <v>384</v>
      </c>
      <c r="H52" s="7" t="s">
        <v>37</v>
      </c>
      <c r="I52" s="7" t="s">
        <v>274</v>
      </c>
      <c r="J52" s="7" t="s">
        <v>385</v>
      </c>
      <c r="K52" s="7" t="s">
        <v>386</v>
      </c>
      <c r="L52" s="12">
        <v>1</v>
      </c>
      <c r="M52" s="7"/>
    </row>
    <row r="53" spans="2:13" ht="67.5" customHeight="1" x14ac:dyDescent="0.35">
      <c r="B53" s="11">
        <v>8</v>
      </c>
      <c r="C53" s="5" t="s">
        <v>355</v>
      </c>
      <c r="D53" s="11">
        <v>6</v>
      </c>
      <c r="E53" s="5" t="s">
        <v>387</v>
      </c>
      <c r="F53" s="5" t="s">
        <v>388</v>
      </c>
      <c r="G53" s="5" t="s">
        <v>25</v>
      </c>
      <c r="H53" s="5" t="s">
        <v>389</v>
      </c>
      <c r="I53" s="5" t="s">
        <v>390</v>
      </c>
      <c r="J53" s="5" t="s">
        <v>391</v>
      </c>
      <c r="K53" s="5" t="s">
        <v>392</v>
      </c>
      <c r="L53" s="11">
        <v>4</v>
      </c>
      <c r="M53" s="5"/>
    </row>
    <row r="54" spans="2:13" ht="37.5" customHeight="1" x14ac:dyDescent="0.35">
      <c r="B54" s="12">
        <v>8</v>
      </c>
      <c r="C54" s="7" t="s">
        <v>355</v>
      </c>
      <c r="D54" s="12">
        <v>7</v>
      </c>
      <c r="E54" s="7" t="s">
        <v>393</v>
      </c>
      <c r="F54" s="7" t="s">
        <v>394</v>
      </c>
      <c r="G54" s="7" t="s">
        <v>395</v>
      </c>
      <c r="H54" s="7" t="s">
        <v>396</v>
      </c>
      <c r="I54" s="7" t="s">
        <v>397</v>
      </c>
      <c r="J54" s="7" t="s">
        <v>398</v>
      </c>
      <c r="K54" s="7" t="s">
        <v>399</v>
      </c>
      <c r="L54" s="12">
        <v>2</v>
      </c>
      <c r="M54" s="7"/>
    </row>
    <row r="55" spans="2:13" ht="21.75" customHeight="1" x14ac:dyDescent="0.35">
      <c r="B55" s="11">
        <v>8</v>
      </c>
      <c r="C55" s="5" t="s">
        <v>355</v>
      </c>
      <c r="D55" s="11">
        <v>8</v>
      </c>
      <c r="E55" s="5" t="s">
        <v>400</v>
      </c>
      <c r="F55" s="5" t="s">
        <v>401</v>
      </c>
      <c r="G55" s="5" t="s">
        <v>402</v>
      </c>
      <c r="H55" s="5" t="s">
        <v>403</v>
      </c>
      <c r="I55" s="5" t="s">
        <v>52</v>
      </c>
      <c r="J55" s="5" t="s">
        <v>404</v>
      </c>
      <c r="K55" s="5" t="s">
        <v>405</v>
      </c>
      <c r="L55" s="11">
        <v>1</v>
      </c>
      <c r="M55" s="5"/>
    </row>
    <row r="56" spans="2:13" ht="52.5" customHeight="1" x14ac:dyDescent="0.35">
      <c r="B56" s="12">
        <v>8</v>
      </c>
      <c r="C56" s="7" t="s">
        <v>355</v>
      </c>
      <c r="D56" s="12">
        <v>9</v>
      </c>
      <c r="E56" s="7" t="s">
        <v>406</v>
      </c>
      <c r="F56" s="7" t="s">
        <v>407</v>
      </c>
      <c r="G56" s="7" t="s">
        <v>25</v>
      </c>
      <c r="H56" s="7" t="s">
        <v>408</v>
      </c>
      <c r="I56" s="7" t="s">
        <v>409</v>
      </c>
      <c r="J56" s="7" t="s">
        <v>410</v>
      </c>
      <c r="K56" s="7" t="s">
        <v>411</v>
      </c>
      <c r="L56" s="12">
        <v>3</v>
      </c>
      <c r="M56" s="7"/>
    </row>
    <row r="57" spans="2:13" ht="232.5" customHeight="1" x14ac:dyDescent="0.35">
      <c r="B57" s="11">
        <v>8</v>
      </c>
      <c r="C57" s="5" t="s">
        <v>355</v>
      </c>
      <c r="D57" s="11">
        <v>10</v>
      </c>
      <c r="E57" s="5" t="s">
        <v>412</v>
      </c>
      <c r="F57" s="5" t="s">
        <v>413</v>
      </c>
      <c r="G57" s="5" t="s">
        <v>414</v>
      </c>
      <c r="H57" s="5" t="s">
        <v>415</v>
      </c>
      <c r="I57" s="5" t="s">
        <v>416</v>
      </c>
      <c r="J57" s="5" t="s">
        <v>417</v>
      </c>
      <c r="K57" s="5" t="s">
        <v>418</v>
      </c>
      <c r="L57" s="11">
        <v>8</v>
      </c>
      <c r="M57" s="5"/>
    </row>
    <row r="58" spans="2:13" ht="232.5" customHeight="1" x14ac:dyDescent="0.35">
      <c r="B58" s="12">
        <v>8</v>
      </c>
      <c r="C58" s="7" t="s">
        <v>355</v>
      </c>
      <c r="D58" s="12">
        <v>11</v>
      </c>
      <c r="E58" s="7" t="s">
        <v>419</v>
      </c>
      <c r="F58" s="7" t="s">
        <v>420</v>
      </c>
      <c r="G58" s="7" t="s">
        <v>421</v>
      </c>
      <c r="H58" s="7" t="s">
        <v>422</v>
      </c>
      <c r="I58" s="7" t="s">
        <v>423</v>
      </c>
      <c r="J58" s="7" t="s">
        <v>424</v>
      </c>
      <c r="K58" s="7" t="s">
        <v>425</v>
      </c>
      <c r="L58" s="12">
        <v>10</v>
      </c>
      <c r="M58" s="7"/>
    </row>
    <row r="59" spans="2:13" ht="37.5" customHeight="1" x14ac:dyDescent="0.35">
      <c r="B59" s="11">
        <v>8</v>
      </c>
      <c r="C59" s="5" t="s">
        <v>355</v>
      </c>
      <c r="D59" s="11">
        <v>12</v>
      </c>
      <c r="E59" s="5" t="s">
        <v>426</v>
      </c>
      <c r="F59" s="5" t="s">
        <v>427</v>
      </c>
      <c r="G59" s="5" t="s">
        <v>428</v>
      </c>
      <c r="H59" s="5" t="s">
        <v>37</v>
      </c>
      <c r="I59" s="5" t="s">
        <v>274</v>
      </c>
      <c r="J59" s="5" t="s">
        <v>429</v>
      </c>
      <c r="K59" s="5" t="s">
        <v>430</v>
      </c>
      <c r="L59" s="11">
        <v>1</v>
      </c>
      <c r="M59" s="5"/>
    </row>
    <row r="60" spans="2:13" ht="37.5" customHeight="1" x14ac:dyDescent="0.35">
      <c r="B60" s="12">
        <v>8</v>
      </c>
      <c r="C60" s="7" t="s">
        <v>355</v>
      </c>
      <c r="D60" s="12">
        <v>13</v>
      </c>
      <c r="E60" s="7" t="s">
        <v>431</v>
      </c>
      <c r="F60" s="7" t="s">
        <v>432</v>
      </c>
      <c r="G60" s="7" t="s">
        <v>282</v>
      </c>
      <c r="H60" s="7" t="s">
        <v>433</v>
      </c>
      <c r="I60" s="7" t="s">
        <v>434</v>
      </c>
      <c r="J60" s="7" t="s">
        <v>435</v>
      </c>
      <c r="K60" s="7" t="s">
        <v>436</v>
      </c>
      <c r="L60" s="12">
        <v>2</v>
      </c>
      <c r="M60" s="7"/>
    </row>
    <row r="61" spans="2:13" ht="37.5" customHeight="1" x14ac:dyDescent="0.35">
      <c r="B61" s="11">
        <v>8</v>
      </c>
      <c r="C61" s="5" t="s">
        <v>355</v>
      </c>
      <c r="D61" s="11">
        <v>14</v>
      </c>
      <c r="E61" s="5" t="s">
        <v>437</v>
      </c>
      <c r="F61" s="5" t="s">
        <v>438</v>
      </c>
      <c r="G61" s="5" t="s">
        <v>439</v>
      </c>
      <c r="H61" s="5" t="s">
        <v>37</v>
      </c>
      <c r="I61" s="5" t="s">
        <v>274</v>
      </c>
      <c r="J61" s="5" t="s">
        <v>429</v>
      </c>
      <c r="K61" s="5" t="s">
        <v>430</v>
      </c>
      <c r="L61" s="11">
        <v>1</v>
      </c>
      <c r="M61" s="5"/>
    </row>
    <row r="62" spans="2:13" ht="21.75" customHeight="1" x14ac:dyDescent="0.35">
      <c r="B62" s="12">
        <v>8</v>
      </c>
      <c r="C62" s="7" t="s">
        <v>355</v>
      </c>
      <c r="D62" s="12">
        <v>15</v>
      </c>
      <c r="E62" s="7" t="s">
        <v>440</v>
      </c>
      <c r="F62" s="7" t="s">
        <v>441</v>
      </c>
      <c r="G62" s="7" t="s">
        <v>442</v>
      </c>
      <c r="H62" s="7" t="s">
        <v>37</v>
      </c>
      <c r="I62" s="7" t="s">
        <v>274</v>
      </c>
      <c r="J62" s="7" t="s">
        <v>429</v>
      </c>
      <c r="K62" s="7" t="s">
        <v>430</v>
      </c>
      <c r="L62" s="12">
        <v>1</v>
      </c>
      <c r="M62" s="7"/>
    </row>
    <row r="63" spans="2:13" ht="21.75" customHeight="1" x14ac:dyDescent="0.35">
      <c r="B63" s="11">
        <v>8</v>
      </c>
      <c r="C63" s="5" t="s">
        <v>355</v>
      </c>
      <c r="D63" s="11">
        <v>16</v>
      </c>
      <c r="E63" s="5" t="s">
        <v>443</v>
      </c>
      <c r="F63" s="5" t="s">
        <v>444</v>
      </c>
      <c r="G63" s="5" t="s">
        <v>445</v>
      </c>
      <c r="H63" s="5" t="s">
        <v>37</v>
      </c>
      <c r="I63" s="5" t="s">
        <v>274</v>
      </c>
      <c r="J63" s="5" t="s">
        <v>429</v>
      </c>
      <c r="K63" s="5" t="s">
        <v>430</v>
      </c>
      <c r="L63" s="11">
        <v>1</v>
      </c>
      <c r="M63" s="5"/>
    </row>
    <row r="64" spans="2:13" ht="67.5" customHeight="1" x14ac:dyDescent="0.35">
      <c r="B64" s="12">
        <v>8</v>
      </c>
      <c r="C64" s="7" t="s">
        <v>355</v>
      </c>
      <c r="D64" s="12">
        <v>17</v>
      </c>
      <c r="E64" s="7" t="s">
        <v>446</v>
      </c>
      <c r="F64" s="7" t="s">
        <v>447</v>
      </c>
      <c r="G64" s="7" t="s">
        <v>25</v>
      </c>
      <c r="H64" s="7" t="s">
        <v>448</v>
      </c>
      <c r="I64" s="7" t="s">
        <v>449</v>
      </c>
      <c r="J64" s="7" t="s">
        <v>450</v>
      </c>
      <c r="K64" s="7" t="s">
        <v>451</v>
      </c>
      <c r="L64" s="12">
        <v>4</v>
      </c>
      <c r="M64" s="7"/>
    </row>
    <row r="65" spans="2:13" ht="37.5" customHeight="1" x14ac:dyDescent="0.35">
      <c r="B65" s="11">
        <v>8</v>
      </c>
      <c r="C65" s="5" t="s">
        <v>355</v>
      </c>
      <c r="D65" s="11">
        <v>18</v>
      </c>
      <c r="E65" s="5" t="s">
        <v>452</v>
      </c>
      <c r="F65" s="5" t="s">
        <v>453</v>
      </c>
      <c r="G65" s="5" t="s">
        <v>33</v>
      </c>
      <c r="H65" s="5" t="s">
        <v>37</v>
      </c>
      <c r="I65" s="5" t="s">
        <v>170</v>
      </c>
      <c r="J65" s="5" t="s">
        <v>429</v>
      </c>
      <c r="K65" s="5" t="s">
        <v>454</v>
      </c>
      <c r="L65" s="11">
        <v>1</v>
      </c>
      <c r="M65" s="5"/>
    </row>
    <row r="66" spans="2:13" ht="37.5" customHeight="1" x14ac:dyDescent="0.35">
      <c r="B66" s="12">
        <v>8</v>
      </c>
      <c r="C66" s="7" t="s">
        <v>355</v>
      </c>
      <c r="D66" s="12">
        <v>19</v>
      </c>
      <c r="E66" s="7" t="s">
        <v>455</v>
      </c>
      <c r="F66" s="7" t="s">
        <v>456</v>
      </c>
      <c r="G66" s="7" t="s">
        <v>457</v>
      </c>
      <c r="H66" s="7" t="s">
        <v>433</v>
      </c>
      <c r="I66" s="7" t="s">
        <v>458</v>
      </c>
      <c r="J66" s="7" t="s">
        <v>435</v>
      </c>
      <c r="K66" s="7" t="s">
        <v>459</v>
      </c>
      <c r="L66" s="12">
        <v>2</v>
      </c>
      <c r="M66" s="7"/>
    </row>
    <row r="67" spans="2:13" ht="52.5" customHeight="1" x14ac:dyDescent="0.35">
      <c r="B67" s="11">
        <v>8</v>
      </c>
      <c r="C67" s="5" t="s">
        <v>355</v>
      </c>
      <c r="D67" s="11">
        <v>20</v>
      </c>
      <c r="E67" s="5" t="s">
        <v>460</v>
      </c>
      <c r="F67" s="5" t="s">
        <v>461</v>
      </c>
      <c r="G67" s="5" t="s">
        <v>31</v>
      </c>
      <c r="H67" s="5" t="s">
        <v>462</v>
      </c>
      <c r="I67" s="5" t="s">
        <v>463</v>
      </c>
      <c r="J67" s="5" t="s">
        <v>464</v>
      </c>
      <c r="K67" s="5" t="s">
        <v>465</v>
      </c>
      <c r="L67" s="11">
        <v>3</v>
      </c>
      <c r="M67" s="5"/>
    </row>
    <row r="68" spans="2:13" ht="37.5" customHeight="1" x14ac:dyDescent="0.35">
      <c r="B68" s="12">
        <v>8</v>
      </c>
      <c r="C68" s="7" t="s">
        <v>355</v>
      </c>
      <c r="D68" s="12">
        <v>21</v>
      </c>
      <c r="E68" s="7" t="s">
        <v>466</v>
      </c>
      <c r="F68" s="7" t="s">
        <v>467</v>
      </c>
      <c r="G68" s="7" t="s">
        <v>300</v>
      </c>
      <c r="H68" s="7" t="s">
        <v>301</v>
      </c>
      <c r="I68" s="7" t="s">
        <v>302</v>
      </c>
      <c r="J68" s="7" t="s">
        <v>468</v>
      </c>
      <c r="K68" s="7" t="s">
        <v>469</v>
      </c>
      <c r="L68" s="12">
        <v>2</v>
      </c>
      <c r="M68" s="7"/>
    </row>
    <row r="69" spans="2:13" ht="37.5" customHeight="1" x14ac:dyDescent="0.35">
      <c r="B69" s="11">
        <v>8</v>
      </c>
      <c r="C69" s="5" t="s">
        <v>355</v>
      </c>
      <c r="D69" s="11">
        <v>22</v>
      </c>
      <c r="E69" s="5" t="s">
        <v>470</v>
      </c>
      <c r="F69" s="5" t="s">
        <v>471</v>
      </c>
      <c r="G69" s="5" t="s">
        <v>472</v>
      </c>
      <c r="H69" s="5" t="s">
        <v>473</v>
      </c>
      <c r="I69" s="5" t="s">
        <v>52</v>
      </c>
      <c r="J69" s="5" t="s">
        <v>404</v>
      </c>
      <c r="K69" s="5" t="s">
        <v>474</v>
      </c>
      <c r="L69" s="11">
        <v>1</v>
      </c>
      <c r="M69" s="5"/>
    </row>
    <row r="70" spans="2:13" ht="67.5" customHeight="1" x14ac:dyDescent="0.35">
      <c r="B70" s="12">
        <v>8</v>
      </c>
      <c r="C70" s="7" t="s">
        <v>355</v>
      </c>
      <c r="D70" s="12">
        <v>23</v>
      </c>
      <c r="E70" s="7" t="s">
        <v>475</v>
      </c>
      <c r="F70" s="7" t="s">
        <v>476</v>
      </c>
      <c r="G70" s="7" t="s">
        <v>28</v>
      </c>
      <c r="H70" s="7" t="s">
        <v>477</v>
      </c>
      <c r="I70" s="7" t="s">
        <v>478</v>
      </c>
      <c r="J70" s="7" t="s">
        <v>404</v>
      </c>
      <c r="K70" s="7" t="s">
        <v>479</v>
      </c>
      <c r="L70" s="12">
        <v>3</v>
      </c>
      <c r="M70" s="7"/>
    </row>
    <row r="71" spans="2:13" ht="37.5" customHeight="1" x14ac:dyDescent="0.35">
      <c r="B71" s="11">
        <v>8</v>
      </c>
      <c r="C71" s="5" t="s">
        <v>355</v>
      </c>
      <c r="D71" s="11">
        <v>24</v>
      </c>
      <c r="E71" s="5" t="s">
        <v>480</v>
      </c>
      <c r="F71" s="5" t="s">
        <v>481</v>
      </c>
      <c r="G71" s="5" t="s">
        <v>24</v>
      </c>
      <c r="H71" s="5" t="s">
        <v>39</v>
      </c>
      <c r="I71" s="5" t="s">
        <v>482</v>
      </c>
      <c r="J71" s="5" t="s">
        <v>385</v>
      </c>
      <c r="K71" s="5" t="s">
        <v>483</v>
      </c>
      <c r="L71" s="11">
        <v>1</v>
      </c>
      <c r="M71" s="5"/>
    </row>
    <row r="72" spans="2:13" ht="37.5" customHeight="1" x14ac:dyDescent="0.35">
      <c r="B72" s="12">
        <v>8</v>
      </c>
      <c r="C72" s="7" t="s">
        <v>355</v>
      </c>
      <c r="D72" s="12">
        <v>25</v>
      </c>
      <c r="E72" s="7" t="s">
        <v>484</v>
      </c>
      <c r="F72" s="7" t="s">
        <v>485</v>
      </c>
      <c r="G72" s="7" t="s">
        <v>185</v>
      </c>
      <c r="H72" s="7" t="s">
        <v>486</v>
      </c>
      <c r="I72" s="7" t="s">
        <v>487</v>
      </c>
      <c r="J72" s="7" t="s">
        <v>488</v>
      </c>
      <c r="K72" s="7" t="s">
        <v>489</v>
      </c>
      <c r="L72" s="12">
        <v>2</v>
      </c>
      <c r="M72" s="7"/>
    </row>
    <row r="73" spans="2:13" ht="37.5" customHeight="1" x14ac:dyDescent="0.35">
      <c r="B73" s="11">
        <v>8</v>
      </c>
      <c r="C73" s="5" t="s">
        <v>355</v>
      </c>
      <c r="D73" s="11">
        <v>26</v>
      </c>
      <c r="E73" s="5" t="s">
        <v>490</v>
      </c>
      <c r="F73" s="5" t="s">
        <v>491</v>
      </c>
      <c r="G73" s="5" t="s">
        <v>492</v>
      </c>
      <c r="H73" s="5" t="s">
        <v>218</v>
      </c>
      <c r="I73" s="5" t="s">
        <v>458</v>
      </c>
      <c r="J73" s="5" t="s">
        <v>493</v>
      </c>
      <c r="K73" s="5" t="s">
        <v>494</v>
      </c>
      <c r="L73" s="11">
        <v>2</v>
      </c>
      <c r="M73" s="5"/>
    </row>
    <row r="74" spans="2:13" ht="52.5" customHeight="1" x14ac:dyDescent="0.35">
      <c r="B74" s="12">
        <v>8</v>
      </c>
      <c r="C74" s="7" t="s">
        <v>355</v>
      </c>
      <c r="D74" s="12">
        <v>27</v>
      </c>
      <c r="E74" s="7" t="s">
        <v>495</v>
      </c>
      <c r="F74" s="7" t="s">
        <v>496</v>
      </c>
      <c r="G74" s="7" t="s">
        <v>497</v>
      </c>
      <c r="H74" s="7" t="s">
        <v>498</v>
      </c>
      <c r="I74" s="7" t="s">
        <v>499</v>
      </c>
      <c r="J74" s="7" t="s">
        <v>500</v>
      </c>
      <c r="K74" s="7" t="s">
        <v>501</v>
      </c>
      <c r="L74" s="12">
        <v>3</v>
      </c>
      <c r="M74" s="7"/>
    </row>
    <row r="75" spans="2:13" ht="37.5" customHeight="1" x14ac:dyDescent="0.35">
      <c r="B75" s="11">
        <v>8</v>
      </c>
      <c r="C75" s="5" t="s">
        <v>355</v>
      </c>
      <c r="D75" s="11">
        <v>28</v>
      </c>
      <c r="E75" s="5" t="s">
        <v>502</v>
      </c>
      <c r="F75" s="5" t="s">
        <v>503</v>
      </c>
      <c r="G75" s="5" t="s">
        <v>504</v>
      </c>
      <c r="H75" s="5" t="s">
        <v>505</v>
      </c>
      <c r="I75" s="5" t="s">
        <v>52</v>
      </c>
      <c r="J75" s="5" t="s">
        <v>404</v>
      </c>
      <c r="K75" s="5" t="s">
        <v>506</v>
      </c>
      <c r="L75" s="11">
        <v>1</v>
      </c>
      <c r="M75" s="5"/>
    </row>
    <row r="76" spans="2:13" ht="21.75" customHeight="1" x14ac:dyDescent="0.35">
      <c r="B76" s="12">
        <v>8</v>
      </c>
      <c r="C76" s="7" t="s">
        <v>355</v>
      </c>
      <c r="D76" s="12">
        <v>29</v>
      </c>
      <c r="E76" s="7" t="s">
        <v>507</v>
      </c>
      <c r="F76" s="7" t="s">
        <v>508</v>
      </c>
      <c r="G76" s="7" t="s">
        <v>457</v>
      </c>
      <c r="H76" s="7" t="s">
        <v>40</v>
      </c>
      <c r="I76" s="7" t="s">
        <v>52</v>
      </c>
      <c r="J76" s="7" t="s">
        <v>509</v>
      </c>
      <c r="K76" s="7" t="s">
        <v>510</v>
      </c>
      <c r="L76" s="12">
        <v>1</v>
      </c>
      <c r="M76" s="7"/>
    </row>
    <row r="77" spans="2:13" ht="37.5" customHeight="1" x14ac:dyDescent="0.35">
      <c r="B77" s="11">
        <v>8</v>
      </c>
      <c r="C77" s="5" t="s">
        <v>355</v>
      </c>
      <c r="D77" s="11">
        <v>30</v>
      </c>
      <c r="E77" s="5" t="s">
        <v>511</v>
      </c>
      <c r="F77" s="5" t="s">
        <v>512</v>
      </c>
      <c r="G77" s="5" t="s">
        <v>513</v>
      </c>
      <c r="H77" s="5" t="s">
        <v>37</v>
      </c>
      <c r="I77" s="5" t="s">
        <v>339</v>
      </c>
      <c r="J77" s="5" t="s">
        <v>429</v>
      </c>
      <c r="K77" s="5" t="s">
        <v>514</v>
      </c>
      <c r="L77" s="11">
        <v>1</v>
      </c>
      <c r="M77" s="5"/>
    </row>
    <row r="78" spans="2:13" ht="37.5" customHeight="1" x14ac:dyDescent="0.35">
      <c r="B78" s="12">
        <v>8</v>
      </c>
      <c r="C78" s="7" t="s">
        <v>355</v>
      </c>
      <c r="D78" s="12">
        <v>31</v>
      </c>
      <c r="E78" s="7" t="s">
        <v>515</v>
      </c>
      <c r="F78" s="7" t="s">
        <v>516</v>
      </c>
      <c r="G78" s="7" t="s">
        <v>517</v>
      </c>
      <c r="H78" s="7" t="s">
        <v>39</v>
      </c>
      <c r="I78" s="7" t="s">
        <v>52</v>
      </c>
      <c r="J78" s="7" t="s">
        <v>429</v>
      </c>
      <c r="K78" s="7" t="s">
        <v>518</v>
      </c>
      <c r="L78" s="12">
        <v>1</v>
      </c>
      <c r="M78" s="7"/>
    </row>
    <row r="79" spans="2:13" ht="37.5" customHeight="1" x14ac:dyDescent="0.35">
      <c r="B79" s="11">
        <v>8</v>
      </c>
      <c r="C79" s="5" t="s">
        <v>355</v>
      </c>
      <c r="D79" s="11">
        <v>32</v>
      </c>
      <c r="E79" s="5" t="s">
        <v>519</v>
      </c>
      <c r="F79" s="5" t="s">
        <v>520</v>
      </c>
      <c r="G79" s="5" t="s">
        <v>24</v>
      </c>
      <c r="H79" s="5" t="s">
        <v>505</v>
      </c>
      <c r="I79" s="5" t="s">
        <v>52</v>
      </c>
      <c r="J79" s="5" t="s">
        <v>404</v>
      </c>
      <c r="K79" s="5" t="s">
        <v>506</v>
      </c>
      <c r="L79" s="11">
        <v>1</v>
      </c>
      <c r="M79" s="5"/>
    </row>
    <row r="80" spans="2:13" ht="21.75" customHeight="1" x14ac:dyDescent="0.35">
      <c r="B80" s="12">
        <v>8</v>
      </c>
      <c r="C80" s="7" t="s">
        <v>355</v>
      </c>
      <c r="D80" s="12">
        <v>33</v>
      </c>
      <c r="E80" s="7" t="s">
        <v>521</v>
      </c>
      <c r="F80" s="7" t="s">
        <v>522</v>
      </c>
      <c r="G80" s="7" t="s">
        <v>442</v>
      </c>
      <c r="H80" s="7" t="s">
        <v>37</v>
      </c>
      <c r="I80" s="7" t="s">
        <v>170</v>
      </c>
      <c r="J80" s="7" t="s">
        <v>429</v>
      </c>
      <c r="K80" s="7" t="s">
        <v>454</v>
      </c>
      <c r="L80" s="12">
        <v>1</v>
      </c>
      <c r="M80" s="7"/>
    </row>
    <row r="81" spans="2:13" ht="37.5" customHeight="1" x14ac:dyDescent="0.35">
      <c r="B81" s="11">
        <v>8</v>
      </c>
      <c r="C81" s="5" t="s">
        <v>355</v>
      </c>
      <c r="D81" s="11">
        <v>34</v>
      </c>
      <c r="E81" s="5" t="s">
        <v>523</v>
      </c>
      <c r="F81" s="5" t="s">
        <v>524</v>
      </c>
      <c r="G81" s="5" t="s">
        <v>279</v>
      </c>
      <c r="H81" s="5" t="s">
        <v>525</v>
      </c>
      <c r="I81" s="5" t="s">
        <v>526</v>
      </c>
      <c r="J81" s="5" t="s">
        <v>527</v>
      </c>
      <c r="K81" s="5" t="s">
        <v>528</v>
      </c>
      <c r="L81" s="11">
        <v>2</v>
      </c>
      <c r="M81" s="5"/>
    </row>
    <row r="82" spans="2:13" ht="52.5" customHeight="1" x14ac:dyDescent="0.35">
      <c r="B82" s="12">
        <v>8</v>
      </c>
      <c r="C82" s="7" t="s">
        <v>355</v>
      </c>
      <c r="D82" s="12">
        <v>35</v>
      </c>
      <c r="E82" s="7" t="s">
        <v>529</v>
      </c>
      <c r="F82" s="7" t="s">
        <v>530</v>
      </c>
      <c r="G82" s="7" t="s">
        <v>531</v>
      </c>
      <c r="H82" s="7" t="s">
        <v>532</v>
      </c>
      <c r="I82" s="7" t="s">
        <v>458</v>
      </c>
      <c r="J82" s="7" t="s">
        <v>435</v>
      </c>
      <c r="K82" s="7" t="s">
        <v>533</v>
      </c>
      <c r="L82" s="12">
        <v>2</v>
      </c>
      <c r="M82" s="7"/>
    </row>
    <row r="83" spans="2:13" ht="37.5" customHeight="1" x14ac:dyDescent="0.35">
      <c r="B83" s="11">
        <v>8</v>
      </c>
      <c r="C83" s="5" t="s">
        <v>355</v>
      </c>
      <c r="D83" s="11">
        <v>36</v>
      </c>
      <c r="E83" s="5" t="s">
        <v>534</v>
      </c>
      <c r="F83" s="5" t="s">
        <v>535</v>
      </c>
      <c r="G83" s="5" t="s">
        <v>536</v>
      </c>
      <c r="H83" s="5" t="s">
        <v>301</v>
      </c>
      <c r="I83" s="5" t="s">
        <v>302</v>
      </c>
      <c r="J83" s="5" t="s">
        <v>537</v>
      </c>
      <c r="K83" s="5" t="s">
        <v>538</v>
      </c>
      <c r="L83" s="11">
        <v>2</v>
      </c>
      <c r="M83" s="5"/>
    </row>
    <row r="84" spans="2:13" ht="52.5" customHeight="1" x14ac:dyDescent="0.35">
      <c r="B84" s="12">
        <v>8</v>
      </c>
      <c r="C84" s="7" t="s">
        <v>355</v>
      </c>
      <c r="D84" s="12">
        <v>37</v>
      </c>
      <c r="E84" s="7" t="s">
        <v>539</v>
      </c>
      <c r="F84" s="7" t="s">
        <v>540</v>
      </c>
      <c r="G84" s="7" t="s">
        <v>541</v>
      </c>
      <c r="H84" s="7" t="s">
        <v>525</v>
      </c>
      <c r="I84" s="7" t="s">
        <v>542</v>
      </c>
      <c r="J84" s="7" t="s">
        <v>543</v>
      </c>
      <c r="K84" s="7" t="s">
        <v>544</v>
      </c>
      <c r="L84" s="12">
        <v>2</v>
      </c>
      <c r="M84" s="7"/>
    </row>
    <row r="85" spans="2:13" ht="37.5" customHeight="1" x14ac:dyDescent="0.35">
      <c r="B85" s="11">
        <v>8</v>
      </c>
      <c r="C85" s="5" t="s">
        <v>355</v>
      </c>
      <c r="D85" s="11">
        <v>38</v>
      </c>
      <c r="E85" s="5" t="s">
        <v>545</v>
      </c>
      <c r="F85" s="5" t="s">
        <v>546</v>
      </c>
      <c r="G85" s="5" t="s">
        <v>428</v>
      </c>
      <c r="H85" s="5" t="s">
        <v>505</v>
      </c>
      <c r="I85" s="5" t="s">
        <v>52</v>
      </c>
      <c r="J85" s="5" t="s">
        <v>404</v>
      </c>
      <c r="K85" s="5" t="s">
        <v>506</v>
      </c>
      <c r="L85" s="11">
        <v>1</v>
      </c>
      <c r="M85" s="5"/>
    </row>
    <row r="86" spans="2:13" ht="21.75" customHeight="1" x14ac:dyDescent="0.35">
      <c r="B86" s="12">
        <v>8</v>
      </c>
      <c r="C86" s="7" t="s">
        <v>355</v>
      </c>
      <c r="D86" s="12">
        <v>39</v>
      </c>
      <c r="E86" s="7" t="s">
        <v>547</v>
      </c>
      <c r="F86" s="7" t="s">
        <v>548</v>
      </c>
      <c r="G86" s="7" t="s">
        <v>549</v>
      </c>
      <c r="H86" s="7" t="s">
        <v>37</v>
      </c>
      <c r="I86" s="7" t="s">
        <v>339</v>
      </c>
      <c r="J86" s="7" t="s">
        <v>429</v>
      </c>
      <c r="K86" s="7" t="s">
        <v>514</v>
      </c>
      <c r="L86" s="12">
        <v>1</v>
      </c>
      <c r="M86" s="7"/>
    </row>
    <row r="87" spans="2:13" ht="37.5" customHeight="1" x14ac:dyDescent="0.35">
      <c r="B87" s="11">
        <v>8</v>
      </c>
      <c r="C87" s="5" t="s">
        <v>355</v>
      </c>
      <c r="D87" s="11">
        <v>40</v>
      </c>
      <c r="E87" s="5" t="s">
        <v>550</v>
      </c>
      <c r="F87" s="5" t="s">
        <v>551</v>
      </c>
      <c r="G87" s="5" t="s">
        <v>552</v>
      </c>
      <c r="H87" s="5" t="s">
        <v>433</v>
      </c>
      <c r="I87" s="5" t="s">
        <v>553</v>
      </c>
      <c r="J87" s="5" t="s">
        <v>435</v>
      </c>
      <c r="K87" s="5" t="s">
        <v>554</v>
      </c>
      <c r="L87" s="11">
        <v>2</v>
      </c>
      <c r="M87" s="5"/>
    </row>
    <row r="88" spans="2:13" ht="37.5" customHeight="1" x14ac:dyDescent="0.35">
      <c r="B88" s="12">
        <v>8</v>
      </c>
      <c r="C88" s="7" t="s">
        <v>355</v>
      </c>
      <c r="D88" s="12">
        <v>41</v>
      </c>
      <c r="E88" s="7" t="s">
        <v>555</v>
      </c>
      <c r="F88" s="7" t="s">
        <v>556</v>
      </c>
      <c r="G88" s="7" t="s">
        <v>557</v>
      </c>
      <c r="H88" s="7" t="s">
        <v>37</v>
      </c>
      <c r="I88" s="7" t="s">
        <v>339</v>
      </c>
      <c r="J88" s="7" t="s">
        <v>429</v>
      </c>
      <c r="K88" s="7" t="s">
        <v>514</v>
      </c>
      <c r="L88" s="12">
        <v>1</v>
      </c>
      <c r="M88" s="7"/>
    </row>
    <row r="89" spans="2:13" ht="37.5" customHeight="1" x14ac:dyDescent="0.35">
      <c r="B89" s="11">
        <v>8</v>
      </c>
      <c r="C89" s="5" t="s">
        <v>355</v>
      </c>
      <c r="D89" s="11">
        <v>42</v>
      </c>
      <c r="E89" s="5" t="s">
        <v>558</v>
      </c>
      <c r="F89" s="5" t="s">
        <v>559</v>
      </c>
      <c r="G89" s="5" t="s">
        <v>560</v>
      </c>
      <c r="H89" s="5" t="s">
        <v>301</v>
      </c>
      <c r="I89" s="5" t="s">
        <v>561</v>
      </c>
      <c r="J89" s="5" t="s">
        <v>562</v>
      </c>
      <c r="K89" s="5" t="s">
        <v>563</v>
      </c>
      <c r="L89" s="11">
        <v>2</v>
      </c>
      <c r="M89" s="5"/>
    </row>
    <row r="90" spans="2:13" ht="52.5" customHeight="1" x14ac:dyDescent="0.35">
      <c r="B90" s="12">
        <v>8</v>
      </c>
      <c r="C90" s="7" t="s">
        <v>355</v>
      </c>
      <c r="D90" s="12">
        <v>43</v>
      </c>
      <c r="E90" s="7" t="s">
        <v>564</v>
      </c>
      <c r="F90" s="7" t="s">
        <v>565</v>
      </c>
      <c r="G90" s="7" t="s">
        <v>566</v>
      </c>
      <c r="H90" s="7" t="s">
        <v>567</v>
      </c>
      <c r="I90" s="7" t="s">
        <v>568</v>
      </c>
      <c r="J90" s="7" t="s">
        <v>569</v>
      </c>
      <c r="K90" s="7" t="s">
        <v>570</v>
      </c>
      <c r="L90" s="12">
        <v>3</v>
      </c>
      <c r="M90" s="7"/>
    </row>
    <row r="91" spans="2:13" ht="37.5" customHeight="1" x14ac:dyDescent="0.35">
      <c r="B91" s="11">
        <v>8</v>
      </c>
      <c r="C91" s="5" t="s">
        <v>355</v>
      </c>
      <c r="D91" s="11">
        <v>44</v>
      </c>
      <c r="E91" s="5" t="s">
        <v>571</v>
      </c>
      <c r="F91" s="5" t="s">
        <v>572</v>
      </c>
      <c r="G91" s="5" t="s">
        <v>573</v>
      </c>
      <c r="H91" s="5" t="s">
        <v>301</v>
      </c>
      <c r="I91" s="5" t="s">
        <v>561</v>
      </c>
      <c r="J91" s="5" t="s">
        <v>562</v>
      </c>
      <c r="K91" s="5" t="s">
        <v>563</v>
      </c>
      <c r="L91" s="11">
        <v>2</v>
      </c>
      <c r="M91" s="5"/>
    </row>
    <row r="92" spans="2:13" ht="37.5" customHeight="1" x14ac:dyDescent="0.35">
      <c r="B92" s="12">
        <v>8</v>
      </c>
      <c r="C92" s="7" t="s">
        <v>355</v>
      </c>
      <c r="D92" s="12">
        <v>45</v>
      </c>
      <c r="E92" s="7" t="s">
        <v>574</v>
      </c>
      <c r="F92" s="7" t="s">
        <v>575</v>
      </c>
      <c r="G92" s="7" t="s">
        <v>576</v>
      </c>
      <c r="H92" s="7" t="s">
        <v>359</v>
      </c>
      <c r="I92" s="7" t="s">
        <v>577</v>
      </c>
      <c r="J92" s="7" t="s">
        <v>578</v>
      </c>
      <c r="K92" s="7" t="s">
        <v>579</v>
      </c>
      <c r="L92" s="12">
        <v>2</v>
      </c>
      <c r="M92" s="7"/>
    </row>
    <row r="93" spans="2:13" ht="37.5" customHeight="1" x14ac:dyDescent="0.35">
      <c r="B93" s="11">
        <v>8</v>
      </c>
      <c r="C93" s="5" t="s">
        <v>355</v>
      </c>
      <c r="D93" s="11">
        <v>46</v>
      </c>
      <c r="E93" s="5" t="s">
        <v>580</v>
      </c>
      <c r="F93" s="5" t="s">
        <v>581</v>
      </c>
      <c r="G93" s="5" t="s">
        <v>582</v>
      </c>
      <c r="H93" s="5" t="s">
        <v>473</v>
      </c>
      <c r="I93" s="5" t="s">
        <v>52</v>
      </c>
      <c r="J93" s="5" t="s">
        <v>404</v>
      </c>
      <c r="K93" s="5" t="s">
        <v>474</v>
      </c>
      <c r="L93" s="11">
        <v>1</v>
      </c>
      <c r="M93" s="5"/>
    </row>
    <row r="94" spans="2:13" ht="52.5" customHeight="1" x14ac:dyDescent="0.35">
      <c r="B94" s="12">
        <v>8</v>
      </c>
      <c r="C94" s="7" t="s">
        <v>355</v>
      </c>
      <c r="D94" s="12">
        <v>47</v>
      </c>
      <c r="E94" s="7" t="s">
        <v>583</v>
      </c>
      <c r="F94" s="7" t="s">
        <v>584</v>
      </c>
      <c r="G94" s="7" t="s">
        <v>585</v>
      </c>
      <c r="H94" s="7" t="s">
        <v>408</v>
      </c>
      <c r="I94" s="7" t="s">
        <v>586</v>
      </c>
      <c r="J94" s="7" t="s">
        <v>488</v>
      </c>
      <c r="K94" s="7" t="s">
        <v>587</v>
      </c>
      <c r="L94" s="12">
        <v>3</v>
      </c>
      <c r="M94" s="7"/>
    </row>
    <row r="95" spans="2:13" ht="37.5" customHeight="1" x14ac:dyDescent="0.35">
      <c r="B95" s="11">
        <v>8</v>
      </c>
      <c r="C95" s="5" t="s">
        <v>355</v>
      </c>
      <c r="D95" s="11">
        <v>49</v>
      </c>
      <c r="E95" s="5" t="s">
        <v>588</v>
      </c>
      <c r="F95" s="5" t="s">
        <v>589</v>
      </c>
      <c r="G95" s="5" t="s">
        <v>590</v>
      </c>
      <c r="H95" s="5" t="s">
        <v>591</v>
      </c>
      <c r="I95" s="5" t="s">
        <v>553</v>
      </c>
      <c r="J95" s="5" t="s">
        <v>488</v>
      </c>
      <c r="K95" s="5" t="s">
        <v>592</v>
      </c>
      <c r="L95" s="11">
        <v>2</v>
      </c>
      <c r="M95" s="5"/>
    </row>
    <row r="96" spans="2:13" ht="37.5" customHeight="1" x14ac:dyDescent="0.35">
      <c r="B96" s="12">
        <v>8</v>
      </c>
      <c r="C96" s="7" t="s">
        <v>355</v>
      </c>
      <c r="D96" s="12">
        <v>50</v>
      </c>
      <c r="E96" s="7" t="s">
        <v>593</v>
      </c>
      <c r="F96" s="7" t="s">
        <v>594</v>
      </c>
      <c r="G96" s="7" t="s">
        <v>595</v>
      </c>
      <c r="H96" s="7" t="s">
        <v>301</v>
      </c>
      <c r="I96" s="7" t="s">
        <v>596</v>
      </c>
      <c r="J96" s="7" t="s">
        <v>537</v>
      </c>
      <c r="K96" s="7" t="s">
        <v>597</v>
      </c>
      <c r="L96" s="12">
        <v>2</v>
      </c>
      <c r="M96" s="7"/>
    </row>
    <row r="97" spans="2:13" ht="37.5" customHeight="1" x14ac:dyDescent="0.35">
      <c r="B97" s="11">
        <v>8</v>
      </c>
      <c r="C97" s="5" t="s">
        <v>355</v>
      </c>
      <c r="D97" s="11">
        <v>51</v>
      </c>
      <c r="E97" s="5" t="s">
        <v>598</v>
      </c>
      <c r="F97" s="5" t="s">
        <v>599</v>
      </c>
      <c r="G97" s="5" t="s">
        <v>33</v>
      </c>
      <c r="H97" s="5" t="s">
        <v>37</v>
      </c>
      <c r="I97" s="5" t="s">
        <v>339</v>
      </c>
      <c r="J97" s="5" t="s">
        <v>429</v>
      </c>
      <c r="K97" s="5" t="s">
        <v>514</v>
      </c>
      <c r="L97" s="11">
        <v>1</v>
      </c>
      <c r="M97" s="5"/>
    </row>
    <row r="98" spans="2:13" ht="37.5" customHeight="1" x14ac:dyDescent="0.35">
      <c r="B98" s="12">
        <v>8</v>
      </c>
      <c r="C98" s="7" t="s">
        <v>355</v>
      </c>
      <c r="D98" s="12">
        <v>52</v>
      </c>
      <c r="E98" s="7" t="s">
        <v>600</v>
      </c>
      <c r="F98" s="7" t="s">
        <v>601</v>
      </c>
      <c r="G98" s="7" t="s">
        <v>232</v>
      </c>
      <c r="H98" s="7" t="s">
        <v>37</v>
      </c>
      <c r="I98" s="7" t="s">
        <v>339</v>
      </c>
      <c r="J98" s="7" t="s">
        <v>429</v>
      </c>
      <c r="K98" s="7" t="s">
        <v>514</v>
      </c>
      <c r="L98" s="12">
        <v>1</v>
      </c>
      <c r="M98" s="7"/>
    </row>
    <row r="99" spans="2:13" ht="37.5" customHeight="1" x14ac:dyDescent="0.35">
      <c r="B99" s="11">
        <v>8</v>
      </c>
      <c r="C99" s="5" t="s">
        <v>355</v>
      </c>
      <c r="D99" s="11">
        <v>53</v>
      </c>
      <c r="E99" s="5" t="s">
        <v>602</v>
      </c>
      <c r="F99" s="5" t="s">
        <v>603</v>
      </c>
      <c r="G99" s="5" t="s">
        <v>582</v>
      </c>
      <c r="H99" s="5" t="s">
        <v>37</v>
      </c>
      <c r="I99" s="5" t="s">
        <v>339</v>
      </c>
      <c r="J99" s="5" t="s">
        <v>429</v>
      </c>
      <c r="K99" s="5" t="s">
        <v>514</v>
      </c>
      <c r="L99" s="11">
        <v>1</v>
      </c>
      <c r="M99" s="5"/>
    </row>
    <row r="100" spans="2:13" ht="37.5" customHeight="1" x14ac:dyDescent="0.35">
      <c r="B100" s="12">
        <v>8</v>
      </c>
      <c r="C100" s="7" t="s">
        <v>355</v>
      </c>
      <c r="D100" s="12">
        <v>54</v>
      </c>
      <c r="E100" s="7" t="s">
        <v>604</v>
      </c>
      <c r="F100" s="7" t="s">
        <v>605</v>
      </c>
      <c r="G100" s="7" t="s">
        <v>244</v>
      </c>
      <c r="H100" s="7" t="s">
        <v>37</v>
      </c>
      <c r="I100" s="7" t="s">
        <v>339</v>
      </c>
      <c r="J100" s="7" t="s">
        <v>429</v>
      </c>
      <c r="K100" s="7" t="s">
        <v>514</v>
      </c>
      <c r="L100" s="12">
        <v>1</v>
      </c>
      <c r="M100" s="7"/>
    </row>
    <row r="101" spans="2:13" ht="52.5" customHeight="1" x14ac:dyDescent="0.35">
      <c r="B101" s="11">
        <v>8</v>
      </c>
      <c r="C101" s="5" t="s">
        <v>355</v>
      </c>
      <c r="D101" s="11">
        <v>55</v>
      </c>
      <c r="E101" s="5" t="s">
        <v>606</v>
      </c>
      <c r="F101" s="5" t="s">
        <v>607</v>
      </c>
      <c r="G101" s="5" t="s">
        <v>608</v>
      </c>
      <c r="H101" s="5" t="s">
        <v>366</v>
      </c>
      <c r="I101" s="5" t="s">
        <v>609</v>
      </c>
      <c r="J101" s="5" t="s">
        <v>435</v>
      </c>
      <c r="K101" s="5" t="s">
        <v>610</v>
      </c>
      <c r="L101" s="11">
        <v>3</v>
      </c>
      <c r="M101" s="5"/>
    </row>
    <row r="102" spans="2:13" ht="37.5" customHeight="1" x14ac:dyDescent="0.35">
      <c r="B102" s="12">
        <v>8</v>
      </c>
      <c r="C102" s="7" t="s">
        <v>355</v>
      </c>
      <c r="D102" s="12">
        <v>56</v>
      </c>
      <c r="E102" s="7" t="s">
        <v>611</v>
      </c>
      <c r="F102" s="7" t="s">
        <v>612</v>
      </c>
      <c r="G102" s="7" t="s">
        <v>212</v>
      </c>
      <c r="H102" s="7" t="s">
        <v>359</v>
      </c>
      <c r="I102" s="7" t="s">
        <v>577</v>
      </c>
      <c r="J102" s="7" t="s">
        <v>429</v>
      </c>
      <c r="K102" s="7" t="s">
        <v>613</v>
      </c>
      <c r="L102" s="12">
        <v>2</v>
      </c>
      <c r="M102" s="7"/>
    </row>
    <row r="103" spans="2:13" ht="37.5" customHeight="1" x14ac:dyDescent="0.35">
      <c r="B103" s="11">
        <v>8</v>
      </c>
      <c r="C103" s="5" t="s">
        <v>355</v>
      </c>
      <c r="D103" s="11">
        <v>57</v>
      </c>
      <c r="E103" s="5" t="s">
        <v>614</v>
      </c>
      <c r="F103" s="5" t="s">
        <v>615</v>
      </c>
      <c r="G103" s="5" t="s">
        <v>616</v>
      </c>
      <c r="H103" s="5" t="s">
        <v>39</v>
      </c>
      <c r="I103" s="5" t="s">
        <v>617</v>
      </c>
      <c r="J103" s="5" t="s">
        <v>429</v>
      </c>
      <c r="K103" s="5" t="s">
        <v>618</v>
      </c>
      <c r="L103" s="11">
        <v>1</v>
      </c>
      <c r="M103" s="5"/>
    </row>
    <row r="104" spans="2:13" ht="52.5" customHeight="1" x14ac:dyDescent="0.35">
      <c r="B104" s="12">
        <v>8</v>
      </c>
      <c r="C104" s="7" t="s">
        <v>355</v>
      </c>
      <c r="D104" s="12">
        <v>58</v>
      </c>
      <c r="E104" s="7" t="s">
        <v>619</v>
      </c>
      <c r="F104" s="7" t="s">
        <v>620</v>
      </c>
      <c r="G104" s="7" t="s">
        <v>27</v>
      </c>
      <c r="H104" s="7" t="s">
        <v>366</v>
      </c>
      <c r="I104" s="7" t="s">
        <v>609</v>
      </c>
      <c r="J104" s="7" t="s">
        <v>435</v>
      </c>
      <c r="K104" s="7" t="s">
        <v>610</v>
      </c>
      <c r="L104" s="12">
        <v>3</v>
      </c>
      <c r="M104" s="7"/>
    </row>
    <row r="105" spans="2:13" ht="37.5" customHeight="1" x14ac:dyDescent="0.35">
      <c r="B105" s="11">
        <v>8</v>
      </c>
      <c r="C105" s="5" t="s">
        <v>355</v>
      </c>
      <c r="D105" s="11">
        <v>59</v>
      </c>
      <c r="E105" s="5" t="s">
        <v>621</v>
      </c>
      <c r="F105" s="5" t="s">
        <v>622</v>
      </c>
      <c r="G105" s="5" t="s">
        <v>24</v>
      </c>
      <c r="H105" s="5" t="s">
        <v>359</v>
      </c>
      <c r="I105" s="5" t="s">
        <v>577</v>
      </c>
      <c r="J105" s="5" t="s">
        <v>578</v>
      </c>
      <c r="K105" s="5" t="s">
        <v>579</v>
      </c>
      <c r="L105" s="11">
        <v>2</v>
      </c>
      <c r="M105" s="5"/>
    </row>
    <row r="106" spans="2:13" ht="52.5" customHeight="1" x14ac:dyDescent="0.35">
      <c r="B106" s="12">
        <v>8</v>
      </c>
      <c r="C106" s="7" t="s">
        <v>355</v>
      </c>
      <c r="D106" s="12">
        <v>60</v>
      </c>
      <c r="E106" s="7" t="s">
        <v>623</v>
      </c>
      <c r="F106" s="7" t="s">
        <v>624</v>
      </c>
      <c r="G106" s="7" t="s">
        <v>625</v>
      </c>
      <c r="H106" s="7" t="s">
        <v>626</v>
      </c>
      <c r="I106" s="7" t="s">
        <v>627</v>
      </c>
      <c r="J106" s="7" t="s">
        <v>464</v>
      </c>
      <c r="K106" s="7" t="s">
        <v>628</v>
      </c>
      <c r="L106" s="12">
        <v>3</v>
      </c>
      <c r="M106" s="7"/>
    </row>
    <row r="107" spans="2:13" ht="37.5" customHeight="1" x14ac:dyDescent="0.35">
      <c r="B107" s="11">
        <v>8</v>
      </c>
      <c r="C107" s="5" t="s">
        <v>355</v>
      </c>
      <c r="D107" s="11">
        <v>61</v>
      </c>
      <c r="E107" s="5" t="s">
        <v>629</v>
      </c>
      <c r="F107" s="5" t="s">
        <v>630</v>
      </c>
      <c r="G107" s="5" t="s">
        <v>631</v>
      </c>
      <c r="H107" s="5" t="s">
        <v>238</v>
      </c>
      <c r="I107" s="5" t="s">
        <v>627</v>
      </c>
      <c r="J107" s="5" t="s">
        <v>464</v>
      </c>
      <c r="K107" s="5" t="s">
        <v>632</v>
      </c>
      <c r="L107" s="11">
        <v>2</v>
      </c>
      <c r="M107" s="5"/>
    </row>
    <row r="108" spans="2:13" ht="37.5" customHeight="1" x14ac:dyDescent="0.35">
      <c r="B108" s="12">
        <v>8</v>
      </c>
      <c r="C108" s="7" t="s">
        <v>355</v>
      </c>
      <c r="D108" s="12">
        <v>61</v>
      </c>
      <c r="E108" s="7" t="s">
        <v>633</v>
      </c>
      <c r="F108" s="7" t="s">
        <v>634</v>
      </c>
      <c r="G108" s="7" t="s">
        <v>635</v>
      </c>
      <c r="H108" s="7" t="s">
        <v>238</v>
      </c>
      <c r="I108" s="7" t="s">
        <v>627</v>
      </c>
      <c r="J108" s="7" t="s">
        <v>464</v>
      </c>
      <c r="K108" s="7" t="s">
        <v>632</v>
      </c>
      <c r="L108" s="12">
        <v>2</v>
      </c>
      <c r="M108" s="7"/>
    </row>
    <row r="109" spans="2:13" ht="52.5" customHeight="1" x14ac:dyDescent="0.35">
      <c r="B109" s="11">
        <v>8</v>
      </c>
      <c r="C109" s="5" t="s">
        <v>355</v>
      </c>
      <c r="D109" s="11">
        <v>62</v>
      </c>
      <c r="E109" s="5" t="s">
        <v>636</v>
      </c>
      <c r="F109" s="5" t="s">
        <v>637</v>
      </c>
      <c r="G109" s="5" t="s">
        <v>638</v>
      </c>
      <c r="H109" s="5" t="s">
        <v>639</v>
      </c>
      <c r="I109" s="5" t="s">
        <v>640</v>
      </c>
      <c r="J109" s="5" t="s">
        <v>641</v>
      </c>
      <c r="K109" s="5" t="s">
        <v>642</v>
      </c>
      <c r="L109" s="11">
        <v>3</v>
      </c>
      <c r="M109" s="5"/>
    </row>
    <row r="110" spans="2:13" ht="21.75" customHeight="1" x14ac:dyDescent="0.35">
      <c r="B110" s="12">
        <v>8</v>
      </c>
      <c r="C110" s="7" t="s">
        <v>355</v>
      </c>
      <c r="D110" s="12">
        <v>63</v>
      </c>
      <c r="E110" s="7" t="s">
        <v>643</v>
      </c>
      <c r="F110" s="7" t="s">
        <v>644</v>
      </c>
      <c r="G110" s="7" t="s">
        <v>645</v>
      </c>
      <c r="H110" s="7" t="s">
        <v>37</v>
      </c>
      <c r="I110" s="7" t="s">
        <v>339</v>
      </c>
      <c r="J110" s="7" t="s">
        <v>429</v>
      </c>
      <c r="K110" s="7" t="s">
        <v>514</v>
      </c>
      <c r="L110" s="12">
        <v>1</v>
      </c>
      <c r="M110" s="7"/>
    </row>
    <row r="111" spans="2:13" ht="37.5" customHeight="1" x14ac:dyDescent="0.35">
      <c r="B111" s="11">
        <v>8</v>
      </c>
      <c r="C111" s="5" t="s">
        <v>355</v>
      </c>
      <c r="D111" s="11">
        <v>64</v>
      </c>
      <c r="E111" s="5" t="s">
        <v>646</v>
      </c>
      <c r="F111" s="5" t="s">
        <v>647</v>
      </c>
      <c r="G111" s="5" t="s">
        <v>648</v>
      </c>
      <c r="H111" s="5" t="s">
        <v>301</v>
      </c>
      <c r="I111" s="5" t="s">
        <v>561</v>
      </c>
      <c r="J111" s="5" t="s">
        <v>649</v>
      </c>
      <c r="K111" s="5" t="s">
        <v>650</v>
      </c>
      <c r="L111" s="11">
        <v>2</v>
      </c>
      <c r="M111" s="5"/>
    </row>
    <row r="112" spans="2:13" ht="37.5" customHeight="1" x14ac:dyDescent="0.35">
      <c r="B112" s="12">
        <v>8</v>
      </c>
      <c r="C112" s="7" t="s">
        <v>355</v>
      </c>
      <c r="D112" s="12">
        <v>65</v>
      </c>
      <c r="E112" s="7" t="s">
        <v>651</v>
      </c>
      <c r="F112" s="7" t="s">
        <v>652</v>
      </c>
      <c r="G112" s="7" t="s">
        <v>653</v>
      </c>
      <c r="H112" s="7" t="s">
        <v>37</v>
      </c>
      <c r="I112" s="7" t="s">
        <v>339</v>
      </c>
      <c r="J112" s="7" t="s">
        <v>429</v>
      </c>
      <c r="K112" s="7" t="s">
        <v>514</v>
      </c>
      <c r="L112" s="12">
        <v>1</v>
      </c>
      <c r="M112" s="7"/>
    </row>
    <row r="113" spans="2:13" ht="37.5" customHeight="1" x14ac:dyDescent="0.35">
      <c r="B113" s="11">
        <v>8</v>
      </c>
      <c r="C113" s="5" t="s">
        <v>355</v>
      </c>
      <c r="D113" s="11">
        <v>66</v>
      </c>
      <c r="E113" s="5" t="s">
        <v>654</v>
      </c>
      <c r="F113" s="5" t="s">
        <v>655</v>
      </c>
      <c r="G113" s="5" t="s">
        <v>656</v>
      </c>
      <c r="H113" s="5" t="s">
        <v>359</v>
      </c>
      <c r="I113" s="5" t="s">
        <v>657</v>
      </c>
      <c r="J113" s="5" t="s">
        <v>658</v>
      </c>
      <c r="K113" s="5" t="s">
        <v>659</v>
      </c>
      <c r="L113" s="11">
        <v>2</v>
      </c>
      <c r="M113" s="5"/>
    </row>
    <row r="114" spans="2:13" ht="37.5" customHeight="1" x14ac:dyDescent="0.35">
      <c r="B114" s="12">
        <v>8</v>
      </c>
      <c r="C114" s="7" t="s">
        <v>355</v>
      </c>
      <c r="D114" s="12">
        <v>67</v>
      </c>
      <c r="E114" s="7" t="s">
        <v>660</v>
      </c>
      <c r="F114" s="7" t="s">
        <v>661</v>
      </c>
      <c r="G114" s="7" t="s">
        <v>662</v>
      </c>
      <c r="H114" s="7" t="s">
        <v>39</v>
      </c>
      <c r="I114" s="7" t="s">
        <v>617</v>
      </c>
      <c r="J114" s="7" t="s">
        <v>663</v>
      </c>
      <c r="K114" s="7" t="s">
        <v>664</v>
      </c>
      <c r="L114" s="12">
        <v>1</v>
      </c>
      <c r="M114" s="7"/>
    </row>
    <row r="115" spans="2:13" ht="37.5" customHeight="1" x14ac:dyDescent="0.35">
      <c r="B115" s="11">
        <v>8</v>
      </c>
      <c r="C115" s="5" t="s">
        <v>355</v>
      </c>
      <c r="D115" s="11">
        <v>68</v>
      </c>
      <c r="E115" s="5" t="s">
        <v>665</v>
      </c>
      <c r="F115" s="5" t="s">
        <v>666</v>
      </c>
      <c r="G115" s="5" t="s">
        <v>421</v>
      </c>
      <c r="H115" s="5" t="s">
        <v>473</v>
      </c>
      <c r="I115" s="5" t="s">
        <v>52</v>
      </c>
      <c r="J115" s="5" t="s">
        <v>429</v>
      </c>
      <c r="K115" s="5" t="s">
        <v>667</v>
      </c>
      <c r="L115" s="11">
        <v>1</v>
      </c>
      <c r="M115" s="5"/>
    </row>
    <row r="116" spans="2:13" ht="21.75" customHeight="1" x14ac:dyDescent="0.35">
      <c r="B116" s="12">
        <v>8</v>
      </c>
      <c r="C116" s="7" t="s">
        <v>355</v>
      </c>
      <c r="D116" s="12">
        <v>69</v>
      </c>
      <c r="E116" s="7" t="s">
        <v>668</v>
      </c>
      <c r="F116" s="7" t="s">
        <v>669</v>
      </c>
      <c r="G116" s="7" t="s">
        <v>670</v>
      </c>
      <c r="H116" s="7" t="s">
        <v>39</v>
      </c>
      <c r="I116" s="7" t="s">
        <v>617</v>
      </c>
      <c r="J116" s="7" t="s">
        <v>429</v>
      </c>
      <c r="K116" s="7" t="s">
        <v>618</v>
      </c>
      <c r="L116" s="12">
        <v>1</v>
      </c>
      <c r="M116" s="7"/>
    </row>
    <row r="117" spans="2:13" ht="37.5" customHeight="1" x14ac:dyDescent="0.35">
      <c r="B117" s="11">
        <v>8</v>
      </c>
      <c r="C117" s="5" t="s">
        <v>355</v>
      </c>
      <c r="D117" s="11">
        <v>70</v>
      </c>
      <c r="E117" s="5" t="s">
        <v>671</v>
      </c>
      <c r="F117" s="5" t="s">
        <v>672</v>
      </c>
      <c r="G117" s="5" t="s">
        <v>32</v>
      </c>
      <c r="H117" s="5" t="s">
        <v>673</v>
      </c>
      <c r="I117" s="5" t="s">
        <v>674</v>
      </c>
      <c r="J117" s="5" t="s">
        <v>435</v>
      </c>
      <c r="K117" s="5" t="s">
        <v>675</v>
      </c>
      <c r="L117" s="11">
        <v>2</v>
      </c>
      <c r="M117" s="5"/>
    </row>
    <row r="118" spans="2:13" ht="37.5" customHeight="1" x14ac:dyDescent="0.35">
      <c r="B118" s="12">
        <v>8</v>
      </c>
      <c r="C118" s="7" t="s">
        <v>355</v>
      </c>
      <c r="D118" s="12">
        <v>71</v>
      </c>
      <c r="E118" s="7" t="s">
        <v>676</v>
      </c>
      <c r="F118" s="7" t="s">
        <v>677</v>
      </c>
      <c r="G118" s="7" t="s">
        <v>678</v>
      </c>
      <c r="H118" s="7" t="s">
        <v>37</v>
      </c>
      <c r="I118" s="7" t="s">
        <v>679</v>
      </c>
      <c r="J118" s="7" t="s">
        <v>429</v>
      </c>
      <c r="K118" s="7" t="s">
        <v>680</v>
      </c>
      <c r="L118" s="12">
        <v>1</v>
      </c>
      <c r="M118" s="7"/>
    </row>
    <row r="119" spans="2:13" ht="37.5" customHeight="1" x14ac:dyDescent="0.35">
      <c r="B119" s="11">
        <v>8</v>
      </c>
      <c r="C119" s="5" t="s">
        <v>355</v>
      </c>
      <c r="D119" s="11">
        <v>72</v>
      </c>
      <c r="E119" s="5" t="s">
        <v>681</v>
      </c>
      <c r="F119" s="5" t="s">
        <v>682</v>
      </c>
      <c r="G119" s="5" t="s">
        <v>683</v>
      </c>
      <c r="H119" s="5" t="s">
        <v>473</v>
      </c>
      <c r="I119" s="5" t="s">
        <v>52</v>
      </c>
      <c r="J119" s="5" t="s">
        <v>404</v>
      </c>
      <c r="K119" s="5" t="s">
        <v>474</v>
      </c>
      <c r="L119" s="11">
        <v>1</v>
      </c>
      <c r="M119" s="5"/>
    </row>
    <row r="120" spans="2:13" ht="67.5" customHeight="1" x14ac:dyDescent="0.35">
      <c r="B120" s="12">
        <v>8</v>
      </c>
      <c r="C120" s="7" t="s">
        <v>355</v>
      </c>
      <c r="D120" s="12">
        <v>73</v>
      </c>
      <c r="E120" s="7" t="s">
        <v>684</v>
      </c>
      <c r="F120" s="7" t="s">
        <v>685</v>
      </c>
      <c r="G120" s="7" t="s">
        <v>686</v>
      </c>
      <c r="H120" s="7" t="s">
        <v>687</v>
      </c>
      <c r="I120" s="7" t="s">
        <v>688</v>
      </c>
      <c r="J120" s="7" t="s">
        <v>689</v>
      </c>
      <c r="K120" s="7" t="s">
        <v>690</v>
      </c>
      <c r="L120" s="12">
        <v>3</v>
      </c>
      <c r="M120" s="7"/>
    </row>
    <row r="121" spans="2:13" ht="37.5" customHeight="1" x14ac:dyDescent="0.35">
      <c r="B121" s="11">
        <v>8</v>
      </c>
      <c r="C121" s="5" t="s">
        <v>355</v>
      </c>
      <c r="D121" s="11">
        <v>74</v>
      </c>
      <c r="E121" s="5" t="s">
        <v>691</v>
      </c>
      <c r="F121" s="5" t="s">
        <v>692</v>
      </c>
      <c r="G121" s="5" t="s">
        <v>202</v>
      </c>
      <c r="H121" s="5" t="s">
        <v>37</v>
      </c>
      <c r="I121" s="5" t="s">
        <v>679</v>
      </c>
      <c r="J121" s="5" t="s">
        <v>429</v>
      </c>
      <c r="K121" s="5" t="s">
        <v>680</v>
      </c>
      <c r="L121" s="11">
        <v>1</v>
      </c>
      <c r="M121" s="5"/>
    </row>
    <row r="122" spans="2:13" ht="37.5" customHeight="1" x14ac:dyDescent="0.35">
      <c r="B122" s="12">
        <v>8</v>
      </c>
      <c r="C122" s="7" t="s">
        <v>355</v>
      </c>
      <c r="D122" s="12">
        <v>75</v>
      </c>
      <c r="E122" s="7" t="s">
        <v>693</v>
      </c>
      <c r="F122" s="7" t="s">
        <v>694</v>
      </c>
      <c r="G122" s="7" t="s">
        <v>695</v>
      </c>
      <c r="H122" s="7" t="s">
        <v>37</v>
      </c>
      <c r="I122" s="7" t="s">
        <v>679</v>
      </c>
      <c r="J122" s="7" t="s">
        <v>429</v>
      </c>
      <c r="K122" s="7" t="s">
        <v>680</v>
      </c>
      <c r="L122" s="12">
        <v>1</v>
      </c>
      <c r="M122" s="7"/>
    </row>
    <row r="123" spans="2:13" ht="37.5" customHeight="1" x14ac:dyDescent="0.35">
      <c r="B123" s="11">
        <v>8</v>
      </c>
      <c r="C123" s="5" t="s">
        <v>355</v>
      </c>
      <c r="D123" s="11">
        <v>76</v>
      </c>
      <c r="E123" s="5" t="s">
        <v>696</v>
      </c>
      <c r="F123" s="5" t="s">
        <v>697</v>
      </c>
      <c r="G123" s="5" t="s">
        <v>698</v>
      </c>
      <c r="H123" s="5" t="s">
        <v>473</v>
      </c>
      <c r="I123" s="5" t="s">
        <v>52</v>
      </c>
      <c r="J123" s="5" t="s">
        <v>404</v>
      </c>
      <c r="K123" s="5" t="s">
        <v>474</v>
      </c>
      <c r="L123" s="11">
        <v>1</v>
      </c>
      <c r="M123" s="5"/>
    </row>
    <row r="124" spans="2:13" ht="37.5" customHeight="1" x14ac:dyDescent="0.35">
      <c r="B124" s="12">
        <v>8</v>
      </c>
      <c r="C124" s="7" t="s">
        <v>355</v>
      </c>
      <c r="D124" s="12">
        <v>77</v>
      </c>
      <c r="E124" s="7" t="s">
        <v>699</v>
      </c>
      <c r="F124" s="7" t="s">
        <v>700</v>
      </c>
      <c r="G124" s="7" t="s">
        <v>701</v>
      </c>
      <c r="H124" s="7" t="s">
        <v>473</v>
      </c>
      <c r="I124" s="7" t="s">
        <v>52</v>
      </c>
      <c r="J124" s="7" t="s">
        <v>404</v>
      </c>
      <c r="K124" s="7" t="s">
        <v>474</v>
      </c>
      <c r="L124" s="12">
        <v>1</v>
      </c>
      <c r="M124" s="7"/>
    </row>
    <row r="125" spans="2:13" ht="37.5" customHeight="1" x14ac:dyDescent="0.35">
      <c r="B125" s="11">
        <v>8</v>
      </c>
      <c r="C125" s="5" t="s">
        <v>355</v>
      </c>
      <c r="D125" s="11">
        <v>78</v>
      </c>
      <c r="E125" s="5" t="s">
        <v>702</v>
      </c>
      <c r="F125" s="5" t="s">
        <v>703</v>
      </c>
      <c r="G125" s="5" t="s">
        <v>704</v>
      </c>
      <c r="H125" s="5" t="s">
        <v>705</v>
      </c>
      <c r="I125" s="5" t="s">
        <v>706</v>
      </c>
      <c r="J125" s="5" t="s">
        <v>464</v>
      </c>
      <c r="K125" s="5" t="s">
        <v>707</v>
      </c>
      <c r="L125" s="11">
        <v>2</v>
      </c>
      <c r="M125" s="5"/>
    </row>
    <row r="126" spans="2:13" ht="21.75" customHeight="1" x14ac:dyDescent="0.35">
      <c r="B126" s="12">
        <v>8</v>
      </c>
      <c r="C126" s="7" t="s">
        <v>355</v>
      </c>
      <c r="D126" s="12">
        <v>79</v>
      </c>
      <c r="E126" s="7" t="s">
        <v>708</v>
      </c>
      <c r="F126" s="7" t="s">
        <v>709</v>
      </c>
      <c r="G126" s="7" t="s">
        <v>285</v>
      </c>
      <c r="H126" s="7" t="s">
        <v>37</v>
      </c>
      <c r="I126" s="7" t="s">
        <v>193</v>
      </c>
      <c r="J126" s="7" t="s">
        <v>429</v>
      </c>
      <c r="K126" s="7" t="s">
        <v>710</v>
      </c>
      <c r="L126" s="12">
        <v>1</v>
      </c>
      <c r="M126" s="7"/>
    </row>
    <row r="127" spans="2:13" ht="21.75" customHeight="1" x14ac:dyDescent="0.35">
      <c r="B127" s="11">
        <v>8</v>
      </c>
      <c r="C127" s="5" t="s">
        <v>355</v>
      </c>
      <c r="D127" s="11">
        <v>80</v>
      </c>
      <c r="E127" s="5" t="s">
        <v>711</v>
      </c>
      <c r="F127" s="5" t="s">
        <v>712</v>
      </c>
      <c r="G127" s="5" t="s">
        <v>713</v>
      </c>
      <c r="H127" s="5" t="s">
        <v>39</v>
      </c>
      <c r="I127" s="5" t="s">
        <v>714</v>
      </c>
      <c r="J127" s="5" t="s">
        <v>429</v>
      </c>
      <c r="K127" s="5" t="s">
        <v>715</v>
      </c>
      <c r="L127" s="11">
        <v>1</v>
      </c>
      <c r="M127" s="5"/>
    </row>
    <row r="128" spans="2:13" ht="21.75" customHeight="1" x14ac:dyDescent="0.35">
      <c r="B128" s="12">
        <v>8</v>
      </c>
      <c r="C128" s="7" t="s">
        <v>355</v>
      </c>
      <c r="D128" s="12">
        <v>81</v>
      </c>
      <c r="E128" s="7" t="s">
        <v>716</v>
      </c>
      <c r="F128" s="7" t="s">
        <v>717</v>
      </c>
      <c r="G128" s="7" t="s">
        <v>26</v>
      </c>
      <c r="H128" s="7" t="s">
        <v>37</v>
      </c>
      <c r="I128" s="7" t="s">
        <v>193</v>
      </c>
      <c r="J128" s="7" t="s">
        <v>429</v>
      </c>
      <c r="K128" s="7" t="s">
        <v>710</v>
      </c>
      <c r="L128" s="12">
        <v>1</v>
      </c>
      <c r="M128" s="7"/>
    </row>
    <row r="129" spans="2:13" ht="37.5" customHeight="1" x14ac:dyDescent="0.35">
      <c r="B129" s="11">
        <v>8</v>
      </c>
      <c r="C129" s="5" t="s">
        <v>355</v>
      </c>
      <c r="D129" s="11">
        <v>82</v>
      </c>
      <c r="E129" s="5" t="s">
        <v>718</v>
      </c>
      <c r="F129" s="5" t="s">
        <v>719</v>
      </c>
      <c r="G129" s="5" t="s">
        <v>395</v>
      </c>
      <c r="H129" s="5" t="s">
        <v>37</v>
      </c>
      <c r="I129" s="5" t="s">
        <v>193</v>
      </c>
      <c r="J129" s="5" t="s">
        <v>429</v>
      </c>
      <c r="K129" s="5" t="s">
        <v>710</v>
      </c>
      <c r="L129" s="11">
        <v>1</v>
      </c>
      <c r="M129" s="5"/>
    </row>
    <row r="130" spans="2:13" ht="37.5" customHeight="1" x14ac:dyDescent="0.35">
      <c r="B130" s="12">
        <v>8</v>
      </c>
      <c r="C130" s="7" t="s">
        <v>355</v>
      </c>
      <c r="D130" s="12">
        <v>83</v>
      </c>
      <c r="E130" s="7" t="s">
        <v>720</v>
      </c>
      <c r="F130" s="7" t="s">
        <v>721</v>
      </c>
      <c r="G130" s="7" t="s">
        <v>722</v>
      </c>
      <c r="H130" s="7" t="s">
        <v>591</v>
      </c>
      <c r="I130" s="7" t="s">
        <v>723</v>
      </c>
      <c r="J130" s="7" t="s">
        <v>435</v>
      </c>
      <c r="K130" s="7" t="s">
        <v>724</v>
      </c>
      <c r="L130" s="12">
        <v>2</v>
      </c>
      <c r="M130" s="7"/>
    </row>
    <row r="131" spans="2:13" ht="21.75" customHeight="1" x14ac:dyDescent="0.35">
      <c r="B131" s="11">
        <v>8</v>
      </c>
      <c r="C131" s="5" t="s">
        <v>355</v>
      </c>
      <c r="D131" s="11">
        <v>84</v>
      </c>
      <c r="E131" s="5" t="s">
        <v>725</v>
      </c>
      <c r="F131" s="5" t="s">
        <v>726</v>
      </c>
      <c r="G131" s="5" t="s">
        <v>727</v>
      </c>
      <c r="H131" s="5" t="s">
        <v>37</v>
      </c>
      <c r="I131" s="5" t="s">
        <v>193</v>
      </c>
      <c r="J131" s="5" t="s">
        <v>429</v>
      </c>
      <c r="K131" s="5" t="s">
        <v>710</v>
      </c>
      <c r="L131" s="11">
        <v>1</v>
      </c>
      <c r="M131" s="5"/>
    </row>
    <row r="132" spans="2:13" ht="37.5" customHeight="1" x14ac:dyDescent="0.35">
      <c r="B132" s="12">
        <v>8</v>
      </c>
      <c r="C132" s="7" t="s">
        <v>355</v>
      </c>
      <c r="D132" s="12">
        <v>85</v>
      </c>
      <c r="E132" s="7" t="s">
        <v>728</v>
      </c>
      <c r="F132" s="7" t="s">
        <v>729</v>
      </c>
      <c r="G132" s="7" t="s">
        <v>730</v>
      </c>
      <c r="H132" s="7" t="s">
        <v>37</v>
      </c>
      <c r="I132" s="7" t="s">
        <v>193</v>
      </c>
      <c r="J132" s="7" t="s">
        <v>429</v>
      </c>
      <c r="K132" s="7" t="s">
        <v>710</v>
      </c>
      <c r="L132" s="12">
        <v>1</v>
      </c>
      <c r="M132" s="7"/>
    </row>
    <row r="133" spans="2:13" ht="37.5" customHeight="1" x14ac:dyDescent="0.35">
      <c r="B133" s="11">
        <v>8</v>
      </c>
      <c r="C133" s="5" t="s">
        <v>355</v>
      </c>
      <c r="D133" s="11">
        <v>86</v>
      </c>
      <c r="E133" s="5" t="s">
        <v>731</v>
      </c>
      <c r="F133" s="5" t="s">
        <v>732</v>
      </c>
      <c r="G133" s="5" t="s">
        <v>733</v>
      </c>
      <c r="H133" s="5" t="s">
        <v>37</v>
      </c>
      <c r="I133" s="5" t="s">
        <v>193</v>
      </c>
      <c r="J133" s="5" t="s">
        <v>429</v>
      </c>
      <c r="K133" s="5" t="s">
        <v>710</v>
      </c>
      <c r="L133" s="11">
        <v>1</v>
      </c>
      <c r="M133" s="5"/>
    </row>
    <row r="134" spans="2:13" ht="37.5" customHeight="1" x14ac:dyDescent="0.35">
      <c r="B134" s="12">
        <v>8</v>
      </c>
      <c r="C134" s="7" t="s">
        <v>355</v>
      </c>
      <c r="D134" s="12">
        <v>87</v>
      </c>
      <c r="E134" s="7" t="s">
        <v>734</v>
      </c>
      <c r="F134" s="7" t="s">
        <v>735</v>
      </c>
      <c r="G134" s="7" t="s">
        <v>736</v>
      </c>
      <c r="H134" s="7" t="s">
        <v>473</v>
      </c>
      <c r="I134" s="7" t="s">
        <v>52</v>
      </c>
      <c r="J134" s="7" t="s">
        <v>429</v>
      </c>
      <c r="K134" s="7" t="s">
        <v>667</v>
      </c>
      <c r="L134" s="12">
        <v>1</v>
      </c>
      <c r="M134" s="7"/>
    </row>
    <row r="135" spans="2:13" ht="37.5" customHeight="1" x14ac:dyDescent="0.35">
      <c r="B135" s="11">
        <v>8</v>
      </c>
      <c r="C135" s="5" t="s">
        <v>355</v>
      </c>
      <c r="D135" s="11">
        <v>88</v>
      </c>
      <c r="E135" s="5" t="s">
        <v>737</v>
      </c>
      <c r="F135" s="5" t="s">
        <v>738</v>
      </c>
      <c r="G135" s="5" t="s">
        <v>206</v>
      </c>
      <c r="H135" s="5" t="s">
        <v>301</v>
      </c>
      <c r="I135" s="5" t="s">
        <v>302</v>
      </c>
      <c r="J135" s="5" t="s">
        <v>429</v>
      </c>
      <c r="K135" s="5" t="s">
        <v>739</v>
      </c>
      <c r="L135" s="11">
        <v>2</v>
      </c>
      <c r="M135" s="5"/>
    </row>
    <row r="136" spans="2:13" ht="52.5" customHeight="1" x14ac:dyDescent="0.35">
      <c r="B136" s="12">
        <v>8</v>
      </c>
      <c r="C136" s="7" t="s">
        <v>355</v>
      </c>
      <c r="D136" s="12">
        <v>89</v>
      </c>
      <c r="E136" s="7" t="s">
        <v>740</v>
      </c>
      <c r="F136" s="7" t="s">
        <v>741</v>
      </c>
      <c r="G136" s="7" t="s">
        <v>742</v>
      </c>
      <c r="H136" s="7" t="s">
        <v>408</v>
      </c>
      <c r="I136" s="7" t="s">
        <v>743</v>
      </c>
      <c r="J136" s="7" t="s">
        <v>435</v>
      </c>
      <c r="K136" s="7" t="s">
        <v>744</v>
      </c>
      <c r="L136" s="12">
        <v>3</v>
      </c>
      <c r="M136" s="7"/>
    </row>
    <row r="137" spans="2:13" ht="37.5" customHeight="1" x14ac:dyDescent="0.35">
      <c r="B137" s="11">
        <v>8</v>
      </c>
      <c r="C137" s="5" t="s">
        <v>355</v>
      </c>
      <c r="D137" s="11">
        <v>90</v>
      </c>
      <c r="E137" s="5" t="s">
        <v>745</v>
      </c>
      <c r="F137" s="5" t="s">
        <v>746</v>
      </c>
      <c r="G137" s="5" t="s">
        <v>28</v>
      </c>
      <c r="H137" s="5" t="s">
        <v>403</v>
      </c>
      <c r="I137" s="5" t="s">
        <v>52</v>
      </c>
      <c r="J137" s="5" t="s">
        <v>404</v>
      </c>
      <c r="K137" s="5" t="s">
        <v>405</v>
      </c>
      <c r="L137" s="11">
        <v>1</v>
      </c>
      <c r="M137" s="5"/>
    </row>
    <row r="138" spans="2:13" ht="21.75" customHeight="1" x14ac:dyDescent="0.35">
      <c r="B138" s="12">
        <v>8</v>
      </c>
      <c r="C138" s="7" t="s">
        <v>355</v>
      </c>
      <c r="D138" s="12">
        <v>91</v>
      </c>
      <c r="E138" s="7" t="s">
        <v>747</v>
      </c>
      <c r="F138" s="7" t="s">
        <v>748</v>
      </c>
      <c r="G138" s="7" t="s">
        <v>749</v>
      </c>
      <c r="H138" s="7" t="s">
        <v>403</v>
      </c>
      <c r="I138" s="7" t="s">
        <v>52</v>
      </c>
      <c r="J138" s="7" t="s">
        <v>404</v>
      </c>
      <c r="K138" s="7" t="s">
        <v>405</v>
      </c>
      <c r="L138" s="12">
        <v>1</v>
      </c>
      <c r="M138" s="7"/>
    </row>
    <row r="139" spans="2:13" ht="37.5" customHeight="1" x14ac:dyDescent="0.35">
      <c r="B139" s="11">
        <v>8</v>
      </c>
      <c r="C139" s="5" t="s">
        <v>355</v>
      </c>
      <c r="D139" s="11">
        <v>92</v>
      </c>
      <c r="E139" s="5" t="s">
        <v>750</v>
      </c>
      <c r="F139" s="5" t="s">
        <v>751</v>
      </c>
      <c r="G139" s="5" t="s">
        <v>752</v>
      </c>
      <c r="H139" s="5" t="s">
        <v>403</v>
      </c>
      <c r="I139" s="5" t="s">
        <v>52</v>
      </c>
      <c r="J139" s="5" t="s">
        <v>404</v>
      </c>
      <c r="K139" s="5" t="s">
        <v>405</v>
      </c>
      <c r="L139" s="11">
        <v>1</v>
      </c>
      <c r="M139" s="5"/>
    </row>
    <row r="140" spans="2:13" ht="37.5" customHeight="1" x14ac:dyDescent="0.35">
      <c r="B140" s="12">
        <v>8</v>
      </c>
      <c r="C140" s="7" t="s">
        <v>355</v>
      </c>
      <c r="D140" s="12">
        <v>93</v>
      </c>
      <c r="E140" s="7" t="s">
        <v>753</v>
      </c>
      <c r="F140" s="7" t="s">
        <v>754</v>
      </c>
      <c r="G140" s="7" t="s">
        <v>755</v>
      </c>
      <c r="H140" s="7" t="s">
        <v>756</v>
      </c>
      <c r="I140" s="7" t="s">
        <v>757</v>
      </c>
      <c r="J140" s="7" t="s">
        <v>464</v>
      </c>
      <c r="K140" s="7" t="s">
        <v>758</v>
      </c>
      <c r="L140" s="12">
        <v>2</v>
      </c>
      <c r="M140" s="7"/>
    </row>
    <row r="141" spans="2:13" ht="37.5" customHeight="1" x14ac:dyDescent="0.35">
      <c r="B141" s="11">
        <v>8</v>
      </c>
      <c r="C141" s="5" t="s">
        <v>355</v>
      </c>
      <c r="D141" s="11">
        <v>94</v>
      </c>
      <c r="E141" s="5" t="s">
        <v>759</v>
      </c>
      <c r="F141" s="5" t="s">
        <v>760</v>
      </c>
      <c r="G141" s="5" t="s">
        <v>761</v>
      </c>
      <c r="H141" s="5" t="s">
        <v>403</v>
      </c>
      <c r="I141" s="5" t="s">
        <v>52</v>
      </c>
      <c r="J141" s="5" t="s">
        <v>404</v>
      </c>
      <c r="K141" s="5" t="s">
        <v>405</v>
      </c>
      <c r="L141" s="11">
        <v>1</v>
      </c>
      <c r="M141" s="5"/>
    </row>
    <row r="142" spans="2:13" ht="37.5" customHeight="1" x14ac:dyDescent="0.35">
      <c r="B142" s="12">
        <v>8</v>
      </c>
      <c r="C142" s="7" t="s">
        <v>355</v>
      </c>
      <c r="D142" s="12">
        <v>95</v>
      </c>
      <c r="E142" s="7" t="s">
        <v>762</v>
      </c>
      <c r="F142" s="7" t="s">
        <v>763</v>
      </c>
      <c r="G142" s="7" t="s">
        <v>30</v>
      </c>
      <c r="H142" s="7" t="s">
        <v>403</v>
      </c>
      <c r="I142" s="7" t="s">
        <v>52</v>
      </c>
      <c r="J142" s="7" t="s">
        <v>404</v>
      </c>
      <c r="K142" s="7" t="s">
        <v>405</v>
      </c>
      <c r="L142" s="12">
        <v>1</v>
      </c>
      <c r="M142" s="7"/>
    </row>
    <row r="143" spans="2:13" ht="37.5" customHeight="1" x14ac:dyDescent="0.35">
      <c r="B143" s="11">
        <v>8</v>
      </c>
      <c r="C143" s="5" t="s">
        <v>355</v>
      </c>
      <c r="D143" s="11">
        <v>96</v>
      </c>
      <c r="E143" s="5" t="s">
        <v>764</v>
      </c>
      <c r="F143" s="5" t="s">
        <v>765</v>
      </c>
      <c r="G143" s="5" t="s">
        <v>766</v>
      </c>
      <c r="H143" s="5" t="s">
        <v>403</v>
      </c>
      <c r="I143" s="5" t="s">
        <v>52</v>
      </c>
      <c r="J143" s="5" t="s">
        <v>404</v>
      </c>
      <c r="K143" s="5" t="s">
        <v>405</v>
      </c>
      <c r="L143" s="11">
        <v>1</v>
      </c>
      <c r="M143" s="5"/>
    </row>
    <row r="144" spans="2:13" ht="21.75" customHeight="1" x14ac:dyDescent="0.35">
      <c r="B144" s="12">
        <v>8</v>
      </c>
      <c r="C144" s="7" t="s">
        <v>355</v>
      </c>
      <c r="D144" s="12">
        <v>97</v>
      </c>
      <c r="E144" s="7" t="s">
        <v>767</v>
      </c>
      <c r="F144" s="7" t="s">
        <v>768</v>
      </c>
      <c r="G144" s="7" t="s">
        <v>497</v>
      </c>
      <c r="H144" s="7" t="s">
        <v>39</v>
      </c>
      <c r="I144" s="7" t="s">
        <v>482</v>
      </c>
      <c r="J144" s="7" t="s">
        <v>385</v>
      </c>
      <c r="K144" s="7" t="s">
        <v>483</v>
      </c>
      <c r="L144" s="12">
        <v>1</v>
      </c>
      <c r="M144" s="7"/>
    </row>
    <row r="145" spans="2:13" ht="52.5" customHeight="1" x14ac:dyDescent="0.35">
      <c r="B145" s="11">
        <v>8</v>
      </c>
      <c r="C145" s="5" t="s">
        <v>355</v>
      </c>
      <c r="D145" s="11">
        <v>98</v>
      </c>
      <c r="E145" s="5" t="s">
        <v>769</v>
      </c>
      <c r="F145" s="5" t="s">
        <v>770</v>
      </c>
      <c r="G145" s="5" t="s">
        <v>25</v>
      </c>
      <c r="H145" s="5" t="s">
        <v>567</v>
      </c>
      <c r="I145" s="5" t="s">
        <v>771</v>
      </c>
      <c r="J145" s="5" t="s">
        <v>772</v>
      </c>
      <c r="K145" s="5" t="s">
        <v>773</v>
      </c>
      <c r="L145" s="11">
        <v>3</v>
      </c>
      <c r="M145" s="5"/>
    </row>
    <row r="146" spans="2:13" ht="37.5" customHeight="1" x14ac:dyDescent="0.35">
      <c r="B146" s="12">
        <v>8</v>
      </c>
      <c r="C146" s="7" t="s">
        <v>355</v>
      </c>
      <c r="D146" s="12">
        <v>99</v>
      </c>
      <c r="E146" s="7" t="s">
        <v>774</v>
      </c>
      <c r="F146" s="7" t="s">
        <v>775</v>
      </c>
      <c r="G146" s="7" t="s">
        <v>176</v>
      </c>
      <c r="H146" s="7" t="s">
        <v>39</v>
      </c>
      <c r="I146" s="7" t="s">
        <v>482</v>
      </c>
      <c r="J146" s="7" t="s">
        <v>385</v>
      </c>
      <c r="K146" s="7" t="s">
        <v>483</v>
      </c>
      <c r="L146" s="12">
        <v>1</v>
      </c>
      <c r="M146" s="7"/>
    </row>
    <row r="147" spans="2:13" ht="37.5" customHeight="1" x14ac:dyDescent="0.35">
      <c r="B147" s="11">
        <v>8</v>
      </c>
      <c r="C147" s="5" t="s">
        <v>355</v>
      </c>
      <c r="D147" s="11">
        <v>100</v>
      </c>
      <c r="E147" s="5" t="s">
        <v>776</v>
      </c>
      <c r="F147" s="5" t="s">
        <v>777</v>
      </c>
      <c r="G147" s="5" t="s">
        <v>778</v>
      </c>
      <c r="H147" s="5" t="s">
        <v>359</v>
      </c>
      <c r="I147" s="5" t="s">
        <v>779</v>
      </c>
      <c r="J147" s="5" t="s">
        <v>429</v>
      </c>
      <c r="K147" s="5" t="s">
        <v>780</v>
      </c>
      <c r="L147" s="11">
        <v>2</v>
      </c>
      <c r="M147" s="5"/>
    </row>
    <row r="148" spans="2:13" ht="37.5" customHeight="1" x14ac:dyDescent="0.35">
      <c r="B148" s="12">
        <v>8</v>
      </c>
      <c r="C148" s="7" t="s">
        <v>355</v>
      </c>
      <c r="D148" s="12">
        <v>101</v>
      </c>
      <c r="E148" s="7" t="s">
        <v>781</v>
      </c>
      <c r="F148" s="7" t="s">
        <v>782</v>
      </c>
      <c r="G148" s="7" t="s">
        <v>372</v>
      </c>
      <c r="H148" s="7" t="s">
        <v>37</v>
      </c>
      <c r="I148" s="7" t="s">
        <v>193</v>
      </c>
      <c r="J148" s="7" t="s">
        <v>429</v>
      </c>
      <c r="K148" s="7" t="s">
        <v>710</v>
      </c>
      <c r="L148" s="12">
        <v>1</v>
      </c>
      <c r="M148" s="7"/>
    </row>
    <row r="149" spans="2:13" ht="21.75" customHeight="1" x14ac:dyDescent="0.35">
      <c r="B149" s="11">
        <v>8</v>
      </c>
      <c r="C149" s="5" t="s">
        <v>355</v>
      </c>
      <c r="D149" s="11">
        <v>102</v>
      </c>
      <c r="E149" s="5" t="s">
        <v>783</v>
      </c>
      <c r="F149" s="5" t="s">
        <v>784</v>
      </c>
      <c r="G149" s="5" t="s">
        <v>785</v>
      </c>
      <c r="H149" s="5" t="s">
        <v>37</v>
      </c>
      <c r="I149" s="5" t="s">
        <v>193</v>
      </c>
      <c r="J149" s="5" t="s">
        <v>429</v>
      </c>
      <c r="K149" s="5" t="s">
        <v>710</v>
      </c>
      <c r="L149" s="11">
        <v>1</v>
      </c>
      <c r="M149" s="5"/>
    </row>
    <row r="150" spans="2:13" ht="21.75" customHeight="1" x14ac:dyDescent="0.35">
      <c r="B150" s="12">
        <v>8</v>
      </c>
      <c r="C150" s="7" t="s">
        <v>355</v>
      </c>
      <c r="D150" s="12">
        <v>103</v>
      </c>
      <c r="E150" s="7" t="s">
        <v>786</v>
      </c>
      <c r="F150" s="7" t="s">
        <v>787</v>
      </c>
      <c r="G150" s="7" t="s">
        <v>788</v>
      </c>
      <c r="H150" s="7" t="s">
        <v>39</v>
      </c>
      <c r="I150" s="7" t="s">
        <v>714</v>
      </c>
      <c r="J150" s="7" t="s">
        <v>429</v>
      </c>
      <c r="K150" s="7" t="s">
        <v>715</v>
      </c>
      <c r="L150" s="12">
        <v>1</v>
      </c>
      <c r="M150" s="7"/>
    </row>
    <row r="151" spans="2:13" ht="21.75" customHeight="1" x14ac:dyDescent="0.35">
      <c r="B151" s="11">
        <v>8</v>
      </c>
      <c r="C151" s="5" t="s">
        <v>355</v>
      </c>
      <c r="D151" s="11">
        <v>104</v>
      </c>
      <c r="E151" s="5" t="s">
        <v>789</v>
      </c>
      <c r="F151" s="5" t="s">
        <v>790</v>
      </c>
      <c r="G151" s="5" t="s">
        <v>791</v>
      </c>
      <c r="H151" s="5" t="s">
        <v>39</v>
      </c>
      <c r="I151" s="5" t="s">
        <v>714</v>
      </c>
      <c r="J151" s="5" t="s">
        <v>429</v>
      </c>
      <c r="K151" s="5" t="s">
        <v>715</v>
      </c>
      <c r="L151" s="11">
        <v>1</v>
      </c>
      <c r="M151" s="5"/>
    </row>
    <row r="152" spans="2:13" ht="52.5" customHeight="1" x14ac:dyDescent="0.35">
      <c r="B152" s="12">
        <v>8</v>
      </c>
      <c r="C152" s="7" t="s">
        <v>355</v>
      </c>
      <c r="D152" s="12">
        <v>105</v>
      </c>
      <c r="E152" s="7" t="s">
        <v>792</v>
      </c>
      <c r="F152" s="7" t="s">
        <v>793</v>
      </c>
      <c r="G152" s="7" t="s">
        <v>794</v>
      </c>
      <c r="H152" s="7" t="s">
        <v>795</v>
      </c>
      <c r="I152" s="7" t="s">
        <v>796</v>
      </c>
      <c r="J152" s="7" t="s">
        <v>435</v>
      </c>
      <c r="K152" s="7" t="s">
        <v>797</v>
      </c>
      <c r="L152" s="12">
        <v>3</v>
      </c>
      <c r="M152" s="7"/>
    </row>
    <row r="153" spans="2:13" ht="37.5" customHeight="1" x14ac:dyDescent="0.35">
      <c r="B153" s="11">
        <v>8</v>
      </c>
      <c r="C153" s="5" t="s">
        <v>355</v>
      </c>
      <c r="D153" s="11">
        <v>106</v>
      </c>
      <c r="E153" s="5" t="s">
        <v>798</v>
      </c>
      <c r="F153" s="5" t="s">
        <v>799</v>
      </c>
      <c r="G153" s="5" t="s">
        <v>800</v>
      </c>
      <c r="H153" s="5" t="s">
        <v>359</v>
      </c>
      <c r="I153" s="5" t="s">
        <v>801</v>
      </c>
      <c r="J153" s="5" t="s">
        <v>429</v>
      </c>
      <c r="K153" s="5" t="s">
        <v>802</v>
      </c>
      <c r="L153" s="11">
        <v>2</v>
      </c>
      <c r="M153" s="5"/>
    </row>
    <row r="154" spans="2:13" ht="37.5" customHeight="1" x14ac:dyDescent="0.35">
      <c r="B154" s="12">
        <v>8</v>
      </c>
      <c r="C154" s="7" t="s">
        <v>355</v>
      </c>
      <c r="D154" s="12">
        <v>107</v>
      </c>
      <c r="E154" s="7" t="s">
        <v>803</v>
      </c>
      <c r="F154" s="7" t="s">
        <v>804</v>
      </c>
      <c r="G154" s="7" t="s">
        <v>805</v>
      </c>
      <c r="H154" s="7" t="s">
        <v>43</v>
      </c>
      <c r="I154" s="7" t="s">
        <v>806</v>
      </c>
      <c r="J154" s="7" t="s">
        <v>404</v>
      </c>
      <c r="K154" s="7" t="s">
        <v>807</v>
      </c>
      <c r="L154" s="12">
        <v>1</v>
      </c>
      <c r="M154" s="7"/>
    </row>
    <row r="155" spans="2:13" ht="21.75" customHeight="1" x14ac:dyDescent="0.35">
      <c r="B155" s="11">
        <v>8</v>
      </c>
      <c r="C155" s="5" t="s">
        <v>355</v>
      </c>
      <c r="D155" s="11">
        <v>108</v>
      </c>
      <c r="E155" s="5" t="s">
        <v>808</v>
      </c>
      <c r="F155" s="5" t="s">
        <v>809</v>
      </c>
      <c r="G155" s="5" t="s">
        <v>810</v>
      </c>
      <c r="H155" s="5" t="s">
        <v>37</v>
      </c>
      <c r="I155" s="5" t="s">
        <v>193</v>
      </c>
      <c r="J155" s="5" t="s">
        <v>429</v>
      </c>
      <c r="K155" s="5" t="s">
        <v>710</v>
      </c>
      <c r="L155" s="11">
        <v>1</v>
      </c>
      <c r="M155" s="5"/>
    </row>
    <row r="156" spans="2:13" ht="21.75" customHeight="1" x14ac:dyDescent="0.35">
      <c r="B156" s="12">
        <v>8</v>
      </c>
      <c r="C156" s="7" t="s">
        <v>355</v>
      </c>
      <c r="D156" s="12">
        <v>109</v>
      </c>
      <c r="E156" s="7" t="s">
        <v>811</v>
      </c>
      <c r="F156" s="7" t="s">
        <v>812</v>
      </c>
      <c r="G156" s="7" t="s">
        <v>813</v>
      </c>
      <c r="H156" s="7" t="s">
        <v>37</v>
      </c>
      <c r="I156" s="7" t="s">
        <v>193</v>
      </c>
      <c r="J156" s="7" t="s">
        <v>429</v>
      </c>
      <c r="K156" s="7" t="s">
        <v>710</v>
      </c>
      <c r="L156" s="12">
        <v>1</v>
      </c>
      <c r="M156" s="7"/>
    </row>
    <row r="157" spans="2:13" ht="37.5" customHeight="1" x14ac:dyDescent="0.35">
      <c r="B157" s="11">
        <v>8</v>
      </c>
      <c r="C157" s="5" t="s">
        <v>355</v>
      </c>
      <c r="D157" s="11">
        <v>110</v>
      </c>
      <c r="E157" s="5" t="s">
        <v>814</v>
      </c>
      <c r="F157" s="5" t="s">
        <v>815</v>
      </c>
      <c r="G157" s="5" t="s">
        <v>816</v>
      </c>
      <c r="H157" s="5" t="s">
        <v>817</v>
      </c>
      <c r="I157" s="5" t="s">
        <v>52</v>
      </c>
      <c r="J157" s="5" t="s">
        <v>404</v>
      </c>
      <c r="K157" s="5" t="s">
        <v>818</v>
      </c>
      <c r="L157" s="11">
        <v>1</v>
      </c>
      <c r="M157" s="5"/>
    </row>
    <row r="158" spans="2:13" ht="37.5" customHeight="1" x14ac:dyDescent="0.35">
      <c r="B158" s="12">
        <v>8</v>
      </c>
      <c r="C158" s="7" t="s">
        <v>355</v>
      </c>
      <c r="D158" s="12">
        <v>111</v>
      </c>
      <c r="E158" s="7" t="s">
        <v>819</v>
      </c>
      <c r="F158" s="7" t="s">
        <v>820</v>
      </c>
      <c r="G158" s="7" t="s">
        <v>282</v>
      </c>
      <c r="H158" s="7" t="s">
        <v>817</v>
      </c>
      <c r="I158" s="7" t="s">
        <v>52</v>
      </c>
      <c r="J158" s="7" t="s">
        <v>404</v>
      </c>
      <c r="K158" s="7" t="s">
        <v>818</v>
      </c>
      <c r="L158" s="12">
        <v>1</v>
      </c>
      <c r="M158" s="7"/>
    </row>
    <row r="159" spans="2:13" ht="37.5" customHeight="1" x14ac:dyDescent="0.35">
      <c r="B159" s="11">
        <v>8</v>
      </c>
      <c r="C159" s="5" t="s">
        <v>355</v>
      </c>
      <c r="D159" s="11">
        <v>112</v>
      </c>
      <c r="E159" s="5" t="s">
        <v>821</v>
      </c>
      <c r="F159" s="5" t="s">
        <v>822</v>
      </c>
      <c r="G159" s="5" t="s">
        <v>552</v>
      </c>
      <c r="H159" s="5" t="s">
        <v>817</v>
      </c>
      <c r="I159" s="5" t="s">
        <v>52</v>
      </c>
      <c r="J159" s="5" t="s">
        <v>404</v>
      </c>
      <c r="K159" s="5" t="s">
        <v>818</v>
      </c>
      <c r="L159" s="11">
        <v>1</v>
      </c>
      <c r="M159" s="5"/>
    </row>
    <row r="160" spans="2:13" ht="37.5" customHeight="1" x14ac:dyDescent="0.35">
      <c r="B160" s="12">
        <v>8</v>
      </c>
      <c r="C160" s="7" t="s">
        <v>355</v>
      </c>
      <c r="D160" s="12">
        <v>113</v>
      </c>
      <c r="E160" s="7" t="s">
        <v>823</v>
      </c>
      <c r="F160" s="7" t="s">
        <v>824</v>
      </c>
      <c r="G160" s="7" t="s">
        <v>825</v>
      </c>
      <c r="H160" s="7" t="s">
        <v>817</v>
      </c>
      <c r="I160" s="7" t="s">
        <v>52</v>
      </c>
      <c r="J160" s="7" t="s">
        <v>404</v>
      </c>
      <c r="K160" s="7" t="s">
        <v>818</v>
      </c>
      <c r="L160" s="12">
        <v>1</v>
      </c>
      <c r="M160" s="7"/>
    </row>
    <row r="161" spans="2:13" ht="21.75" customHeight="1" x14ac:dyDescent="0.35">
      <c r="B161" s="11">
        <v>8</v>
      </c>
      <c r="C161" s="5" t="s">
        <v>355</v>
      </c>
      <c r="D161" s="11">
        <v>114</v>
      </c>
      <c r="E161" s="5" t="s">
        <v>826</v>
      </c>
      <c r="F161" s="5" t="s">
        <v>827</v>
      </c>
      <c r="G161" s="5" t="s">
        <v>828</v>
      </c>
      <c r="H161" s="5" t="s">
        <v>817</v>
      </c>
      <c r="I161" s="5" t="s">
        <v>52</v>
      </c>
      <c r="J161" s="5" t="s">
        <v>404</v>
      </c>
      <c r="K161" s="5" t="s">
        <v>818</v>
      </c>
      <c r="L161" s="11">
        <v>1</v>
      </c>
      <c r="M161" s="5"/>
    </row>
    <row r="162" spans="2:13" ht="37.5" customHeight="1" x14ac:dyDescent="0.35">
      <c r="B162" s="12">
        <v>8</v>
      </c>
      <c r="C162" s="7" t="s">
        <v>355</v>
      </c>
      <c r="D162" s="12">
        <v>115</v>
      </c>
      <c r="E162" s="7" t="s">
        <v>829</v>
      </c>
      <c r="F162" s="7" t="s">
        <v>830</v>
      </c>
      <c r="G162" s="7" t="s">
        <v>831</v>
      </c>
      <c r="H162" s="7" t="s">
        <v>832</v>
      </c>
      <c r="I162" s="7" t="s">
        <v>833</v>
      </c>
      <c r="J162" s="7" t="s">
        <v>464</v>
      </c>
      <c r="K162" s="7" t="s">
        <v>834</v>
      </c>
      <c r="L162" s="12">
        <v>2</v>
      </c>
      <c r="M162" s="7"/>
    </row>
    <row r="163" spans="2:13" ht="37.5" customHeight="1" x14ac:dyDescent="0.35">
      <c r="B163" s="11">
        <v>8</v>
      </c>
      <c r="C163" s="5" t="s">
        <v>355</v>
      </c>
      <c r="D163" s="11">
        <v>116</v>
      </c>
      <c r="E163" s="5" t="s">
        <v>835</v>
      </c>
      <c r="F163" s="5" t="s">
        <v>836</v>
      </c>
      <c r="G163" s="5" t="s">
        <v>837</v>
      </c>
      <c r="H163" s="5" t="s">
        <v>838</v>
      </c>
      <c r="I163" s="5" t="s">
        <v>52</v>
      </c>
      <c r="J163" s="5" t="s">
        <v>404</v>
      </c>
      <c r="K163" s="5" t="s">
        <v>839</v>
      </c>
      <c r="L163" s="11">
        <v>1</v>
      </c>
      <c r="M163" s="5"/>
    </row>
    <row r="164" spans="2:13" ht="37.5" customHeight="1" x14ac:dyDescent="0.35">
      <c r="B164" s="12">
        <v>8</v>
      </c>
      <c r="C164" s="7" t="s">
        <v>355</v>
      </c>
      <c r="D164" s="12">
        <v>117</v>
      </c>
      <c r="E164" s="7" t="s">
        <v>840</v>
      </c>
      <c r="F164" s="7" t="s">
        <v>841</v>
      </c>
      <c r="G164" s="7" t="s">
        <v>842</v>
      </c>
      <c r="H164" s="7" t="s">
        <v>838</v>
      </c>
      <c r="I164" s="7" t="s">
        <v>52</v>
      </c>
      <c r="J164" s="7" t="s">
        <v>404</v>
      </c>
      <c r="K164" s="7" t="s">
        <v>839</v>
      </c>
      <c r="L164" s="12">
        <v>1</v>
      </c>
      <c r="M164" s="7"/>
    </row>
    <row r="165" spans="2:13" ht="37.5" customHeight="1" x14ac:dyDescent="0.35">
      <c r="B165" s="11">
        <v>8</v>
      </c>
      <c r="C165" s="5" t="s">
        <v>355</v>
      </c>
      <c r="D165" s="11">
        <v>118</v>
      </c>
      <c r="E165" s="5" t="s">
        <v>843</v>
      </c>
      <c r="F165" s="5" t="s">
        <v>844</v>
      </c>
      <c r="G165" s="5" t="s">
        <v>845</v>
      </c>
      <c r="H165" s="5" t="s">
        <v>838</v>
      </c>
      <c r="I165" s="5" t="s">
        <v>52</v>
      </c>
      <c r="J165" s="5" t="s">
        <v>404</v>
      </c>
      <c r="K165" s="5" t="s">
        <v>839</v>
      </c>
      <c r="L165" s="11">
        <v>1</v>
      </c>
      <c r="M165" s="5"/>
    </row>
    <row r="166" spans="2:13" ht="37.5" customHeight="1" x14ac:dyDescent="0.35">
      <c r="B166" s="12">
        <v>8</v>
      </c>
      <c r="C166" s="7" t="s">
        <v>355</v>
      </c>
      <c r="D166" s="12">
        <v>119</v>
      </c>
      <c r="E166" s="7" t="s">
        <v>846</v>
      </c>
      <c r="F166" s="7" t="s">
        <v>847</v>
      </c>
      <c r="G166" s="7" t="s">
        <v>848</v>
      </c>
      <c r="H166" s="7" t="s">
        <v>817</v>
      </c>
      <c r="I166" s="7" t="s">
        <v>52</v>
      </c>
      <c r="J166" s="7" t="s">
        <v>404</v>
      </c>
      <c r="K166" s="7" t="s">
        <v>818</v>
      </c>
      <c r="L166" s="12">
        <v>1</v>
      </c>
      <c r="M166" s="7"/>
    </row>
    <row r="167" spans="2:13" ht="37.5" customHeight="1" x14ac:dyDescent="0.35">
      <c r="B167" s="11">
        <v>8</v>
      </c>
      <c r="C167" s="5" t="s">
        <v>355</v>
      </c>
      <c r="D167" s="11">
        <v>120</v>
      </c>
      <c r="E167" s="5" t="s">
        <v>849</v>
      </c>
      <c r="F167" s="5" t="s">
        <v>850</v>
      </c>
      <c r="G167" s="5" t="s">
        <v>851</v>
      </c>
      <c r="H167" s="5" t="s">
        <v>817</v>
      </c>
      <c r="I167" s="5" t="s">
        <v>52</v>
      </c>
      <c r="J167" s="5" t="s">
        <v>404</v>
      </c>
      <c r="K167" s="5" t="s">
        <v>818</v>
      </c>
      <c r="L167" s="11">
        <v>1</v>
      </c>
      <c r="M167" s="5"/>
    </row>
    <row r="168" spans="2:13" ht="21.75" customHeight="1" x14ac:dyDescent="0.35">
      <c r="B168" s="12">
        <v>8</v>
      </c>
      <c r="C168" s="7" t="s">
        <v>355</v>
      </c>
      <c r="D168" s="12">
        <v>121</v>
      </c>
      <c r="E168" s="7" t="s">
        <v>852</v>
      </c>
      <c r="F168" s="7" t="s">
        <v>853</v>
      </c>
      <c r="G168" s="7" t="s">
        <v>414</v>
      </c>
      <c r="H168" s="7" t="s">
        <v>37</v>
      </c>
      <c r="I168" s="7" t="s">
        <v>339</v>
      </c>
      <c r="J168" s="7" t="s">
        <v>429</v>
      </c>
      <c r="K168" s="7" t="s">
        <v>514</v>
      </c>
      <c r="L168" s="12">
        <v>1</v>
      </c>
      <c r="M168" s="7"/>
    </row>
    <row r="169" spans="2:13" ht="21.75" customHeight="1" x14ac:dyDescent="0.35">
      <c r="B169" s="11">
        <v>8</v>
      </c>
      <c r="C169" s="5" t="s">
        <v>355</v>
      </c>
      <c r="D169" s="11">
        <v>122</v>
      </c>
      <c r="E169" s="5" t="s">
        <v>854</v>
      </c>
      <c r="F169" s="5" t="s">
        <v>855</v>
      </c>
      <c r="G169" s="5" t="s">
        <v>856</v>
      </c>
      <c r="H169" s="5" t="s">
        <v>37</v>
      </c>
      <c r="I169" s="5" t="s">
        <v>339</v>
      </c>
      <c r="J169" s="5" t="s">
        <v>429</v>
      </c>
      <c r="K169" s="5" t="s">
        <v>514</v>
      </c>
      <c r="L169" s="11">
        <v>1</v>
      </c>
      <c r="M169" s="5"/>
    </row>
    <row r="170" spans="2:13" ht="21.75" customHeight="1" x14ac:dyDescent="0.35">
      <c r="B170" s="12">
        <v>8</v>
      </c>
      <c r="C170" s="7" t="s">
        <v>355</v>
      </c>
      <c r="D170" s="12">
        <v>123</v>
      </c>
      <c r="E170" s="7" t="s">
        <v>857</v>
      </c>
      <c r="F170" s="7" t="s">
        <v>858</v>
      </c>
      <c r="G170" s="7" t="s">
        <v>859</v>
      </c>
      <c r="H170" s="7" t="s">
        <v>817</v>
      </c>
      <c r="I170" s="7" t="s">
        <v>52</v>
      </c>
      <c r="J170" s="7" t="s">
        <v>404</v>
      </c>
      <c r="K170" s="7" t="s">
        <v>818</v>
      </c>
      <c r="L170" s="12">
        <v>1</v>
      </c>
      <c r="M170" s="7"/>
    </row>
    <row r="171" spans="2:13" ht="21.75" customHeight="1" x14ac:dyDescent="0.35">
      <c r="B171" s="11">
        <v>8</v>
      </c>
      <c r="C171" s="5" t="s">
        <v>355</v>
      </c>
      <c r="D171" s="11">
        <v>124</v>
      </c>
      <c r="E171" s="5" t="s">
        <v>860</v>
      </c>
      <c r="F171" s="5" t="s">
        <v>861</v>
      </c>
      <c r="G171" s="5" t="s">
        <v>862</v>
      </c>
      <c r="H171" s="5" t="s">
        <v>817</v>
      </c>
      <c r="I171" s="5" t="s">
        <v>52</v>
      </c>
      <c r="J171" s="5" t="s">
        <v>404</v>
      </c>
      <c r="K171" s="5" t="s">
        <v>818</v>
      </c>
      <c r="L171" s="11">
        <v>1</v>
      </c>
      <c r="M171" s="5"/>
    </row>
    <row r="172" spans="2:13" ht="37.5" customHeight="1" x14ac:dyDescent="0.35">
      <c r="B172" s="12">
        <v>8</v>
      </c>
      <c r="C172" s="7" t="s">
        <v>355</v>
      </c>
      <c r="D172" s="12">
        <v>125</v>
      </c>
      <c r="E172" s="7" t="s">
        <v>863</v>
      </c>
      <c r="F172" s="7" t="s">
        <v>864</v>
      </c>
      <c r="G172" s="7" t="s">
        <v>865</v>
      </c>
      <c r="H172" s="7" t="s">
        <v>817</v>
      </c>
      <c r="I172" s="7" t="s">
        <v>52</v>
      </c>
      <c r="J172" s="7" t="s">
        <v>404</v>
      </c>
      <c r="K172" s="7" t="s">
        <v>818</v>
      </c>
      <c r="L172" s="12">
        <v>1</v>
      </c>
      <c r="M172" s="7"/>
    </row>
    <row r="173" spans="2:13" ht="37.5" customHeight="1" x14ac:dyDescent="0.35">
      <c r="B173" s="11">
        <v>8</v>
      </c>
      <c r="C173" s="5" t="s">
        <v>355</v>
      </c>
      <c r="D173" s="11">
        <v>126</v>
      </c>
      <c r="E173" s="5" t="s">
        <v>866</v>
      </c>
      <c r="F173" s="5" t="s">
        <v>867</v>
      </c>
      <c r="G173" s="5" t="s">
        <v>868</v>
      </c>
      <c r="H173" s="5" t="s">
        <v>838</v>
      </c>
      <c r="I173" s="5" t="s">
        <v>52</v>
      </c>
      <c r="J173" s="5" t="s">
        <v>404</v>
      </c>
      <c r="K173" s="5" t="s">
        <v>839</v>
      </c>
      <c r="L173" s="11">
        <v>1</v>
      </c>
      <c r="M173" s="5"/>
    </row>
    <row r="174" spans="2:13" ht="52.5" customHeight="1" x14ac:dyDescent="0.35">
      <c r="B174" s="12">
        <v>8</v>
      </c>
      <c r="C174" s="7" t="s">
        <v>355</v>
      </c>
      <c r="D174" s="12">
        <v>127</v>
      </c>
      <c r="E174" s="7" t="s">
        <v>869</v>
      </c>
      <c r="F174" s="7" t="s">
        <v>870</v>
      </c>
      <c r="G174" s="7" t="s">
        <v>871</v>
      </c>
      <c r="H174" s="7" t="s">
        <v>872</v>
      </c>
      <c r="I174" s="7" t="s">
        <v>873</v>
      </c>
      <c r="J174" s="7" t="s">
        <v>464</v>
      </c>
      <c r="K174" s="7" t="s">
        <v>874</v>
      </c>
      <c r="L174" s="12">
        <v>2</v>
      </c>
      <c r="M174" s="7"/>
    </row>
    <row r="175" spans="2:13" ht="37.5" customHeight="1" x14ac:dyDescent="0.35">
      <c r="B175" s="11">
        <v>8</v>
      </c>
      <c r="C175" s="5" t="s">
        <v>355</v>
      </c>
      <c r="D175" s="11">
        <v>128</v>
      </c>
      <c r="E175" s="5" t="s">
        <v>875</v>
      </c>
      <c r="F175" s="5" t="s">
        <v>876</v>
      </c>
      <c r="G175" s="5" t="s">
        <v>877</v>
      </c>
      <c r="H175" s="5" t="s">
        <v>838</v>
      </c>
      <c r="I175" s="5" t="s">
        <v>52</v>
      </c>
      <c r="J175" s="5" t="s">
        <v>404</v>
      </c>
      <c r="K175" s="5" t="s">
        <v>839</v>
      </c>
      <c r="L175" s="11">
        <v>1</v>
      </c>
      <c r="M175" s="5"/>
    </row>
    <row r="176" spans="2:13" ht="37.5" customHeight="1" x14ac:dyDescent="0.35">
      <c r="B176" s="12">
        <v>8</v>
      </c>
      <c r="C176" s="7" t="s">
        <v>355</v>
      </c>
      <c r="D176" s="12">
        <v>129</v>
      </c>
      <c r="E176" s="7" t="s">
        <v>878</v>
      </c>
      <c r="F176" s="7" t="s">
        <v>879</v>
      </c>
      <c r="G176" s="7" t="s">
        <v>880</v>
      </c>
      <c r="H176" s="7" t="s">
        <v>838</v>
      </c>
      <c r="I176" s="7" t="s">
        <v>52</v>
      </c>
      <c r="J176" s="7" t="s">
        <v>404</v>
      </c>
      <c r="K176" s="7" t="s">
        <v>839</v>
      </c>
      <c r="L176" s="12">
        <v>1</v>
      </c>
      <c r="M176" s="7"/>
    </row>
    <row r="177" spans="2:13" ht="37.5" customHeight="1" x14ac:dyDescent="0.35">
      <c r="B177" s="11">
        <v>8</v>
      </c>
      <c r="C177" s="5" t="s">
        <v>355</v>
      </c>
      <c r="D177" s="11">
        <v>130</v>
      </c>
      <c r="E177" s="5" t="s">
        <v>881</v>
      </c>
      <c r="F177" s="5" t="s">
        <v>882</v>
      </c>
      <c r="G177" s="5" t="s">
        <v>192</v>
      </c>
      <c r="H177" s="5" t="s">
        <v>838</v>
      </c>
      <c r="I177" s="5" t="s">
        <v>52</v>
      </c>
      <c r="J177" s="5" t="s">
        <v>404</v>
      </c>
      <c r="K177" s="5" t="s">
        <v>839</v>
      </c>
      <c r="L177" s="11">
        <v>1</v>
      </c>
      <c r="M177" s="5"/>
    </row>
    <row r="178" spans="2:13" ht="37.5" customHeight="1" x14ac:dyDescent="0.35">
      <c r="B178" s="12">
        <v>8</v>
      </c>
      <c r="C178" s="7" t="s">
        <v>355</v>
      </c>
      <c r="D178" s="12">
        <v>131</v>
      </c>
      <c r="E178" s="7" t="s">
        <v>883</v>
      </c>
      <c r="F178" s="7" t="s">
        <v>884</v>
      </c>
      <c r="G178" s="7" t="s">
        <v>885</v>
      </c>
      <c r="H178" s="7" t="s">
        <v>838</v>
      </c>
      <c r="I178" s="7" t="s">
        <v>52</v>
      </c>
      <c r="J178" s="7" t="s">
        <v>404</v>
      </c>
      <c r="K178" s="7" t="s">
        <v>839</v>
      </c>
      <c r="L178" s="12">
        <v>1</v>
      </c>
      <c r="M178" s="7"/>
    </row>
    <row r="179" spans="2:13" ht="21.75" customHeight="1" x14ac:dyDescent="0.35">
      <c r="B179" s="11">
        <v>8</v>
      </c>
      <c r="C179" s="5" t="s">
        <v>355</v>
      </c>
      <c r="D179" s="11">
        <v>132</v>
      </c>
      <c r="E179" s="5" t="s">
        <v>886</v>
      </c>
      <c r="F179" s="5" t="s">
        <v>887</v>
      </c>
      <c r="G179" s="5" t="s">
        <v>888</v>
      </c>
      <c r="H179" s="5" t="s">
        <v>473</v>
      </c>
      <c r="I179" s="5" t="s">
        <v>52</v>
      </c>
      <c r="J179" s="5" t="s">
        <v>404</v>
      </c>
      <c r="K179" s="5" t="s">
        <v>474</v>
      </c>
      <c r="L179" s="11">
        <v>1</v>
      </c>
      <c r="M179" s="5"/>
    </row>
    <row r="180" spans="2:13" ht="21.75" customHeight="1" x14ac:dyDescent="0.35">
      <c r="B180" s="12">
        <v>8</v>
      </c>
      <c r="C180" s="7" t="s">
        <v>355</v>
      </c>
      <c r="D180" s="12">
        <v>133</v>
      </c>
      <c r="E180" s="7" t="s">
        <v>889</v>
      </c>
      <c r="F180" s="7" t="s">
        <v>890</v>
      </c>
      <c r="G180" s="7" t="s">
        <v>891</v>
      </c>
      <c r="H180" s="7" t="s">
        <v>39</v>
      </c>
      <c r="I180" s="7" t="s">
        <v>482</v>
      </c>
      <c r="J180" s="7" t="s">
        <v>429</v>
      </c>
      <c r="K180" s="7" t="s">
        <v>892</v>
      </c>
      <c r="L180" s="12">
        <v>1</v>
      </c>
      <c r="M180" s="7"/>
    </row>
    <row r="181" spans="2:13" ht="21.75" customHeight="1" x14ac:dyDescent="0.35">
      <c r="B181" s="11">
        <v>8</v>
      </c>
      <c r="C181" s="5" t="s">
        <v>355</v>
      </c>
      <c r="D181" s="11">
        <v>134</v>
      </c>
      <c r="E181" s="5" t="s">
        <v>893</v>
      </c>
      <c r="F181" s="5" t="s">
        <v>894</v>
      </c>
      <c r="G181" s="5" t="s">
        <v>217</v>
      </c>
      <c r="H181" s="5" t="s">
        <v>39</v>
      </c>
      <c r="I181" s="5" t="s">
        <v>482</v>
      </c>
      <c r="J181" s="5" t="s">
        <v>429</v>
      </c>
      <c r="K181" s="5" t="s">
        <v>892</v>
      </c>
      <c r="L181" s="11">
        <v>1</v>
      </c>
      <c r="M181" s="5"/>
    </row>
    <row r="182" spans="2:13" ht="21.75" customHeight="1" x14ac:dyDescent="0.35">
      <c r="B182" s="12">
        <v>8</v>
      </c>
      <c r="C182" s="7" t="s">
        <v>355</v>
      </c>
      <c r="D182" s="12">
        <v>135</v>
      </c>
      <c r="E182" s="7" t="s">
        <v>895</v>
      </c>
      <c r="F182" s="7" t="s">
        <v>896</v>
      </c>
      <c r="G182" s="7" t="s">
        <v>897</v>
      </c>
      <c r="H182" s="7" t="s">
        <v>39</v>
      </c>
      <c r="I182" s="7" t="s">
        <v>482</v>
      </c>
      <c r="J182" s="7" t="s">
        <v>429</v>
      </c>
      <c r="K182" s="7" t="s">
        <v>892</v>
      </c>
      <c r="L182" s="12">
        <v>1</v>
      </c>
      <c r="M182" s="7"/>
    </row>
    <row r="183" spans="2:13" ht="37.5" customHeight="1" x14ac:dyDescent="0.35">
      <c r="B183" s="11">
        <v>8</v>
      </c>
      <c r="C183" s="5" t="s">
        <v>355</v>
      </c>
      <c r="D183" s="11">
        <v>136</v>
      </c>
      <c r="E183" s="5" t="s">
        <v>898</v>
      </c>
      <c r="F183" s="5" t="s">
        <v>899</v>
      </c>
      <c r="G183" s="5" t="s">
        <v>900</v>
      </c>
      <c r="H183" s="5" t="s">
        <v>359</v>
      </c>
      <c r="I183" s="5" t="s">
        <v>901</v>
      </c>
      <c r="J183" s="5" t="s">
        <v>429</v>
      </c>
      <c r="K183" s="5" t="s">
        <v>902</v>
      </c>
      <c r="L183" s="11">
        <v>2</v>
      </c>
      <c r="M183" s="5"/>
    </row>
    <row r="184" spans="2:13" ht="21.75" customHeight="1" x14ac:dyDescent="0.35">
      <c r="B184" s="12">
        <v>8</v>
      </c>
      <c r="C184" s="7" t="s">
        <v>355</v>
      </c>
      <c r="D184" s="12">
        <v>137</v>
      </c>
      <c r="E184" s="7" t="s">
        <v>903</v>
      </c>
      <c r="F184" s="7" t="s">
        <v>904</v>
      </c>
      <c r="G184" s="7" t="s">
        <v>905</v>
      </c>
      <c r="H184" s="7" t="s">
        <v>39</v>
      </c>
      <c r="I184" s="7" t="s">
        <v>482</v>
      </c>
      <c r="J184" s="7" t="s">
        <v>429</v>
      </c>
      <c r="K184" s="7" t="s">
        <v>892</v>
      </c>
      <c r="L184" s="12">
        <v>1</v>
      </c>
      <c r="M184" s="7"/>
    </row>
    <row r="185" spans="2:13" ht="21.75" customHeight="1" x14ac:dyDescent="0.35">
      <c r="B185" s="11">
        <v>8</v>
      </c>
      <c r="C185" s="5" t="s">
        <v>355</v>
      </c>
      <c r="D185" s="11">
        <v>138</v>
      </c>
      <c r="E185" s="5" t="s">
        <v>906</v>
      </c>
      <c r="F185" s="5" t="s">
        <v>907</v>
      </c>
      <c r="G185" s="5" t="s">
        <v>908</v>
      </c>
      <c r="H185" s="5" t="s">
        <v>39</v>
      </c>
      <c r="I185" s="5" t="s">
        <v>482</v>
      </c>
      <c r="J185" s="5" t="s">
        <v>429</v>
      </c>
      <c r="K185" s="5" t="s">
        <v>892</v>
      </c>
      <c r="L185" s="11">
        <v>1</v>
      </c>
      <c r="M185" s="5"/>
    </row>
    <row r="186" spans="2:13" ht="37.5" customHeight="1" x14ac:dyDescent="0.35">
      <c r="B186" s="12">
        <v>8</v>
      </c>
      <c r="C186" s="7" t="s">
        <v>355</v>
      </c>
      <c r="D186" s="12">
        <v>139</v>
      </c>
      <c r="E186" s="7" t="s">
        <v>909</v>
      </c>
      <c r="F186" s="7" t="s">
        <v>910</v>
      </c>
      <c r="G186" s="7" t="s">
        <v>766</v>
      </c>
      <c r="H186" s="7" t="s">
        <v>39</v>
      </c>
      <c r="I186" s="7" t="s">
        <v>482</v>
      </c>
      <c r="J186" s="7" t="s">
        <v>429</v>
      </c>
      <c r="K186" s="7" t="s">
        <v>892</v>
      </c>
      <c r="L186" s="12">
        <v>1</v>
      </c>
      <c r="M186" s="7"/>
    </row>
    <row r="187" spans="2:13" ht="21.75" customHeight="1" x14ac:dyDescent="0.35">
      <c r="B187" s="11">
        <v>8</v>
      </c>
      <c r="C187" s="5" t="s">
        <v>355</v>
      </c>
      <c r="D187" s="11">
        <v>140</v>
      </c>
      <c r="E187" s="5" t="s">
        <v>911</v>
      </c>
      <c r="F187" s="5" t="s">
        <v>912</v>
      </c>
      <c r="G187" s="5" t="s">
        <v>913</v>
      </c>
      <c r="H187" s="5" t="s">
        <v>37</v>
      </c>
      <c r="I187" s="5" t="s">
        <v>679</v>
      </c>
      <c r="J187" s="5" t="s">
        <v>429</v>
      </c>
      <c r="K187" s="5" t="s">
        <v>680</v>
      </c>
      <c r="L187" s="11">
        <v>1</v>
      </c>
      <c r="M187" s="5"/>
    </row>
    <row r="188" spans="2:13" ht="37.5" customHeight="1" x14ac:dyDescent="0.35">
      <c r="B188" s="12">
        <v>8</v>
      </c>
      <c r="C188" s="7" t="s">
        <v>355</v>
      </c>
      <c r="D188" s="12">
        <v>141</v>
      </c>
      <c r="E188" s="7" t="s">
        <v>914</v>
      </c>
      <c r="F188" s="7" t="s">
        <v>915</v>
      </c>
      <c r="G188" s="7" t="s">
        <v>560</v>
      </c>
      <c r="H188" s="7" t="s">
        <v>37</v>
      </c>
      <c r="I188" s="7" t="s">
        <v>679</v>
      </c>
      <c r="J188" s="7" t="s">
        <v>429</v>
      </c>
      <c r="K188" s="7" t="s">
        <v>680</v>
      </c>
      <c r="L188" s="12">
        <v>1</v>
      </c>
      <c r="M188" s="7"/>
    </row>
    <row r="189" spans="2:13" ht="21.75" customHeight="1" x14ac:dyDescent="0.35">
      <c r="B189" s="11">
        <v>8</v>
      </c>
      <c r="C189" s="5" t="s">
        <v>355</v>
      </c>
      <c r="D189" s="11">
        <v>142</v>
      </c>
      <c r="E189" s="5" t="s">
        <v>916</v>
      </c>
      <c r="F189" s="5" t="s">
        <v>917</v>
      </c>
      <c r="G189" s="5" t="s">
        <v>918</v>
      </c>
      <c r="H189" s="5" t="s">
        <v>43</v>
      </c>
      <c r="I189" s="5" t="s">
        <v>806</v>
      </c>
      <c r="J189" s="5" t="s">
        <v>404</v>
      </c>
      <c r="K189" s="5" t="s">
        <v>807</v>
      </c>
      <c r="L189" s="11">
        <v>1</v>
      </c>
      <c r="M189" s="5"/>
    </row>
    <row r="190" spans="2:13" ht="21.75" customHeight="1" x14ac:dyDescent="0.35">
      <c r="B190" s="12">
        <v>8</v>
      </c>
      <c r="C190" s="7" t="s">
        <v>355</v>
      </c>
      <c r="D190" s="12">
        <v>143</v>
      </c>
      <c r="E190" s="7" t="s">
        <v>919</v>
      </c>
      <c r="F190" s="7" t="s">
        <v>920</v>
      </c>
      <c r="G190" s="7" t="s">
        <v>921</v>
      </c>
      <c r="H190" s="7" t="s">
        <v>37</v>
      </c>
      <c r="I190" s="7" t="s">
        <v>170</v>
      </c>
      <c r="J190" s="7" t="s">
        <v>429</v>
      </c>
      <c r="K190" s="7" t="s">
        <v>454</v>
      </c>
      <c r="L190" s="12">
        <v>1</v>
      </c>
      <c r="M190" s="7"/>
    </row>
    <row r="191" spans="2:13" ht="21.75" customHeight="1" x14ac:dyDescent="0.35">
      <c r="B191" s="11">
        <v>8</v>
      </c>
      <c r="C191" s="5" t="s">
        <v>355</v>
      </c>
      <c r="D191" s="11">
        <v>144</v>
      </c>
      <c r="E191" s="5" t="s">
        <v>922</v>
      </c>
      <c r="F191" s="5" t="s">
        <v>923</v>
      </c>
      <c r="G191" s="5" t="s">
        <v>924</v>
      </c>
      <c r="H191" s="5" t="s">
        <v>37</v>
      </c>
      <c r="I191" s="5" t="s">
        <v>170</v>
      </c>
      <c r="J191" s="5" t="s">
        <v>429</v>
      </c>
      <c r="K191" s="5" t="s">
        <v>454</v>
      </c>
      <c r="L191" s="11">
        <v>1</v>
      </c>
      <c r="M191" s="5"/>
    </row>
    <row r="192" spans="2:13" ht="21.75" customHeight="1" x14ac:dyDescent="0.35">
      <c r="B192" s="12">
        <v>8</v>
      </c>
      <c r="C192" s="7" t="s">
        <v>355</v>
      </c>
      <c r="D192" s="12">
        <v>145</v>
      </c>
      <c r="E192" s="7" t="s">
        <v>925</v>
      </c>
      <c r="F192" s="7" t="s">
        <v>926</v>
      </c>
      <c r="G192" s="7" t="s">
        <v>927</v>
      </c>
      <c r="H192" s="7" t="s">
        <v>37</v>
      </c>
      <c r="I192" s="7" t="s">
        <v>170</v>
      </c>
      <c r="J192" s="7" t="s">
        <v>429</v>
      </c>
      <c r="K192" s="7" t="s">
        <v>454</v>
      </c>
      <c r="L192" s="12">
        <v>1</v>
      </c>
      <c r="M192" s="7"/>
    </row>
    <row r="193" spans="2:13" ht="52.5" customHeight="1" x14ac:dyDescent="0.35">
      <c r="B193" s="11">
        <v>8</v>
      </c>
      <c r="C193" s="5" t="s">
        <v>355</v>
      </c>
      <c r="D193" s="11">
        <v>146</v>
      </c>
      <c r="E193" s="5" t="s">
        <v>928</v>
      </c>
      <c r="F193" s="5" t="s">
        <v>929</v>
      </c>
      <c r="G193" s="5" t="s">
        <v>279</v>
      </c>
      <c r="H193" s="5" t="s">
        <v>930</v>
      </c>
      <c r="I193" s="5" t="s">
        <v>458</v>
      </c>
      <c r="J193" s="5" t="s">
        <v>435</v>
      </c>
      <c r="K193" s="5" t="s">
        <v>931</v>
      </c>
      <c r="L193" s="11">
        <v>2</v>
      </c>
      <c r="M193" s="5"/>
    </row>
    <row r="194" spans="2:13" ht="21.75" customHeight="1" x14ac:dyDescent="0.35">
      <c r="B194" s="12">
        <v>8</v>
      </c>
      <c r="C194" s="7" t="s">
        <v>355</v>
      </c>
      <c r="D194" s="12">
        <v>147</v>
      </c>
      <c r="E194" s="7" t="s">
        <v>932</v>
      </c>
      <c r="F194" s="7" t="s">
        <v>933</v>
      </c>
      <c r="G194" s="7" t="s">
        <v>800</v>
      </c>
      <c r="H194" s="7" t="s">
        <v>39</v>
      </c>
      <c r="I194" s="7" t="s">
        <v>482</v>
      </c>
      <c r="J194" s="7" t="s">
        <v>429</v>
      </c>
      <c r="K194" s="7" t="s">
        <v>892</v>
      </c>
      <c r="L194" s="12">
        <v>1</v>
      </c>
      <c r="M194" s="7"/>
    </row>
    <row r="195" spans="2:13" ht="21.75" customHeight="1" x14ac:dyDescent="0.35">
      <c r="B195" s="11">
        <v>8</v>
      </c>
      <c r="C195" s="5" t="s">
        <v>355</v>
      </c>
      <c r="D195" s="11">
        <v>148</v>
      </c>
      <c r="E195" s="5" t="s">
        <v>934</v>
      </c>
      <c r="F195" s="5" t="s">
        <v>935</v>
      </c>
      <c r="G195" s="5" t="s">
        <v>936</v>
      </c>
      <c r="H195" s="5" t="s">
        <v>39</v>
      </c>
      <c r="I195" s="5" t="s">
        <v>482</v>
      </c>
      <c r="J195" s="5" t="s">
        <v>429</v>
      </c>
      <c r="K195" s="5" t="s">
        <v>892</v>
      </c>
      <c r="L195" s="11">
        <v>1</v>
      </c>
      <c r="M195" s="5"/>
    </row>
    <row r="196" spans="2:13" ht="52.5" customHeight="1" x14ac:dyDescent="0.35">
      <c r="B196" s="12">
        <v>8</v>
      </c>
      <c r="C196" s="7" t="s">
        <v>355</v>
      </c>
      <c r="D196" s="12">
        <v>149</v>
      </c>
      <c r="E196" s="7" t="s">
        <v>937</v>
      </c>
      <c r="F196" s="7" t="s">
        <v>938</v>
      </c>
      <c r="G196" s="7" t="s">
        <v>939</v>
      </c>
      <c r="H196" s="7" t="s">
        <v>940</v>
      </c>
      <c r="I196" s="7" t="s">
        <v>487</v>
      </c>
      <c r="J196" s="7" t="s">
        <v>435</v>
      </c>
      <c r="K196" s="7" t="s">
        <v>941</v>
      </c>
      <c r="L196" s="12">
        <v>2</v>
      </c>
      <c r="M196" s="7"/>
    </row>
    <row r="197" spans="2:13" ht="52.5" customHeight="1" x14ac:dyDescent="0.35">
      <c r="B197" s="11">
        <v>8</v>
      </c>
      <c r="C197" s="5" t="s">
        <v>355</v>
      </c>
      <c r="D197" s="11">
        <v>150</v>
      </c>
      <c r="E197" s="5" t="s">
        <v>942</v>
      </c>
      <c r="F197" s="5" t="s">
        <v>943</v>
      </c>
      <c r="G197" s="5" t="s">
        <v>944</v>
      </c>
      <c r="H197" s="5" t="s">
        <v>940</v>
      </c>
      <c r="I197" s="5" t="s">
        <v>487</v>
      </c>
      <c r="J197" s="5" t="s">
        <v>435</v>
      </c>
      <c r="K197" s="5" t="s">
        <v>941</v>
      </c>
      <c r="L197" s="11">
        <v>2</v>
      </c>
      <c r="M197" s="5"/>
    </row>
    <row r="198" spans="2:13" ht="37.5" customHeight="1" x14ac:dyDescent="0.35">
      <c r="B198" s="12">
        <v>8</v>
      </c>
      <c r="C198" s="7" t="s">
        <v>355</v>
      </c>
      <c r="D198" s="12">
        <v>151</v>
      </c>
      <c r="E198" s="7" t="s">
        <v>945</v>
      </c>
      <c r="F198" s="7" t="s">
        <v>946</v>
      </c>
      <c r="G198" s="7" t="s">
        <v>947</v>
      </c>
      <c r="H198" s="7" t="s">
        <v>838</v>
      </c>
      <c r="I198" s="7" t="s">
        <v>52</v>
      </c>
      <c r="J198" s="7" t="s">
        <v>404</v>
      </c>
      <c r="K198" s="7" t="s">
        <v>839</v>
      </c>
      <c r="L198" s="12">
        <v>1</v>
      </c>
      <c r="M198" s="7"/>
    </row>
    <row r="199" spans="2:13" ht="37.5" customHeight="1" x14ac:dyDescent="0.35">
      <c r="B199" s="11">
        <v>8</v>
      </c>
      <c r="C199" s="5" t="s">
        <v>355</v>
      </c>
      <c r="D199" s="11">
        <v>152</v>
      </c>
      <c r="E199" s="5" t="s">
        <v>948</v>
      </c>
      <c r="F199" s="5" t="s">
        <v>949</v>
      </c>
      <c r="G199" s="5" t="s">
        <v>950</v>
      </c>
      <c r="H199" s="5" t="s">
        <v>838</v>
      </c>
      <c r="I199" s="5" t="s">
        <v>52</v>
      </c>
      <c r="J199" s="5" t="s">
        <v>404</v>
      </c>
      <c r="K199" s="5" t="s">
        <v>839</v>
      </c>
      <c r="L199" s="11">
        <v>1</v>
      </c>
      <c r="M199" s="5"/>
    </row>
    <row r="200" spans="2:13" ht="37.5" customHeight="1" x14ac:dyDescent="0.35">
      <c r="B200" s="12">
        <v>8</v>
      </c>
      <c r="C200" s="7" t="s">
        <v>355</v>
      </c>
      <c r="D200" s="12">
        <v>153</v>
      </c>
      <c r="E200" s="7" t="s">
        <v>951</v>
      </c>
      <c r="F200" s="7" t="s">
        <v>952</v>
      </c>
      <c r="G200" s="7" t="s">
        <v>953</v>
      </c>
      <c r="H200" s="7" t="s">
        <v>838</v>
      </c>
      <c r="I200" s="7" t="s">
        <v>52</v>
      </c>
      <c r="J200" s="7" t="s">
        <v>404</v>
      </c>
      <c r="K200" s="7" t="s">
        <v>839</v>
      </c>
      <c r="L200" s="12">
        <v>1</v>
      </c>
      <c r="M200" s="7"/>
    </row>
    <row r="201" spans="2:13" ht="37.5" customHeight="1" x14ac:dyDescent="0.35">
      <c r="B201" s="11">
        <v>8</v>
      </c>
      <c r="C201" s="5" t="s">
        <v>355</v>
      </c>
      <c r="D201" s="11">
        <v>154</v>
      </c>
      <c r="E201" s="5" t="s">
        <v>954</v>
      </c>
      <c r="F201" s="5" t="s">
        <v>955</v>
      </c>
      <c r="G201" s="5" t="s">
        <v>956</v>
      </c>
      <c r="H201" s="5" t="s">
        <v>838</v>
      </c>
      <c r="I201" s="5" t="s">
        <v>52</v>
      </c>
      <c r="J201" s="5" t="s">
        <v>404</v>
      </c>
      <c r="K201" s="5" t="s">
        <v>839</v>
      </c>
      <c r="L201" s="11">
        <v>1</v>
      </c>
      <c r="M201" s="5"/>
    </row>
    <row r="202" spans="2:13" ht="37.5" customHeight="1" x14ac:dyDescent="0.35">
      <c r="B202" s="12">
        <v>8</v>
      </c>
      <c r="C202" s="7" t="s">
        <v>355</v>
      </c>
      <c r="D202" s="12">
        <v>155</v>
      </c>
      <c r="E202" s="7" t="s">
        <v>957</v>
      </c>
      <c r="F202" s="7" t="s">
        <v>958</v>
      </c>
      <c r="G202" s="7" t="s">
        <v>959</v>
      </c>
      <c r="H202" s="7" t="s">
        <v>838</v>
      </c>
      <c r="I202" s="7" t="s">
        <v>52</v>
      </c>
      <c r="J202" s="7" t="s">
        <v>404</v>
      </c>
      <c r="K202" s="7" t="s">
        <v>839</v>
      </c>
      <c r="L202" s="12">
        <v>1</v>
      </c>
      <c r="M202" s="7"/>
    </row>
    <row r="203" spans="2:13" ht="37.5" customHeight="1" x14ac:dyDescent="0.35">
      <c r="B203" s="11">
        <v>8</v>
      </c>
      <c r="C203" s="5" t="s">
        <v>355</v>
      </c>
      <c r="D203" s="11">
        <v>156</v>
      </c>
      <c r="E203" s="5" t="s">
        <v>960</v>
      </c>
      <c r="F203" s="5" t="s">
        <v>961</v>
      </c>
      <c r="G203" s="5" t="s">
        <v>962</v>
      </c>
      <c r="H203" s="5" t="s">
        <v>838</v>
      </c>
      <c r="I203" s="5" t="s">
        <v>52</v>
      </c>
      <c r="J203" s="5" t="s">
        <v>404</v>
      </c>
      <c r="K203" s="5" t="s">
        <v>839</v>
      </c>
      <c r="L203" s="11">
        <v>1</v>
      </c>
      <c r="M203" s="5"/>
    </row>
    <row r="204" spans="2:13" ht="37.5" customHeight="1" x14ac:dyDescent="0.35">
      <c r="B204" s="12">
        <v>8</v>
      </c>
      <c r="C204" s="7" t="s">
        <v>355</v>
      </c>
      <c r="D204" s="12">
        <v>157</v>
      </c>
      <c r="E204" s="7" t="s">
        <v>963</v>
      </c>
      <c r="F204" s="7" t="s">
        <v>964</v>
      </c>
      <c r="G204" s="7" t="s">
        <v>880</v>
      </c>
      <c r="H204" s="7" t="s">
        <v>838</v>
      </c>
      <c r="I204" s="7" t="s">
        <v>52</v>
      </c>
      <c r="J204" s="7" t="s">
        <v>404</v>
      </c>
      <c r="K204" s="7" t="s">
        <v>839</v>
      </c>
      <c r="L204" s="12">
        <v>1</v>
      </c>
      <c r="M204" s="7"/>
    </row>
    <row r="205" spans="2:13" ht="37.5" customHeight="1" x14ac:dyDescent="0.35">
      <c r="B205" s="11">
        <v>8</v>
      </c>
      <c r="C205" s="5" t="s">
        <v>355</v>
      </c>
      <c r="D205" s="11">
        <v>158</v>
      </c>
      <c r="E205" s="5" t="s">
        <v>965</v>
      </c>
      <c r="F205" s="5" t="s">
        <v>966</v>
      </c>
      <c r="G205" s="5" t="s">
        <v>967</v>
      </c>
      <c r="H205" s="5" t="s">
        <v>838</v>
      </c>
      <c r="I205" s="5" t="s">
        <v>52</v>
      </c>
      <c r="J205" s="5" t="s">
        <v>404</v>
      </c>
      <c r="K205" s="5" t="s">
        <v>839</v>
      </c>
      <c r="L205" s="11">
        <v>1</v>
      </c>
      <c r="M205" s="5"/>
    </row>
    <row r="206" spans="2:13" ht="21.75" customHeight="1" x14ac:dyDescent="0.35">
      <c r="B206" s="12">
        <v>8</v>
      </c>
      <c r="C206" s="7" t="s">
        <v>355</v>
      </c>
      <c r="D206" s="12">
        <v>159</v>
      </c>
      <c r="E206" s="7" t="s">
        <v>968</v>
      </c>
      <c r="F206" s="7" t="s">
        <v>969</v>
      </c>
      <c r="G206" s="7" t="s">
        <v>970</v>
      </c>
      <c r="H206" s="7" t="s">
        <v>473</v>
      </c>
      <c r="I206" s="7" t="s">
        <v>52</v>
      </c>
      <c r="J206" s="7" t="s">
        <v>404</v>
      </c>
      <c r="K206" s="7" t="s">
        <v>474</v>
      </c>
      <c r="L206" s="12">
        <v>1</v>
      </c>
      <c r="M206" s="7"/>
    </row>
    <row r="207" spans="2:13" ht="21.75" customHeight="1" x14ac:dyDescent="0.35">
      <c r="B207" s="11">
        <v>8</v>
      </c>
      <c r="C207" s="5" t="s">
        <v>355</v>
      </c>
      <c r="D207" s="11">
        <v>160</v>
      </c>
      <c r="E207" s="5" t="s">
        <v>971</v>
      </c>
      <c r="F207" s="5" t="s">
        <v>972</v>
      </c>
      <c r="G207" s="5" t="s">
        <v>973</v>
      </c>
      <c r="H207" s="5" t="s">
        <v>473</v>
      </c>
      <c r="I207" s="5" t="s">
        <v>52</v>
      </c>
      <c r="J207" s="5" t="s">
        <v>404</v>
      </c>
      <c r="K207" s="5" t="s">
        <v>474</v>
      </c>
      <c r="L207" s="11">
        <v>1</v>
      </c>
      <c r="M207" s="5"/>
    </row>
    <row r="208" spans="2:13" ht="37.5" customHeight="1" x14ac:dyDescent="0.35">
      <c r="B208" s="12">
        <v>8</v>
      </c>
      <c r="C208" s="7" t="s">
        <v>355</v>
      </c>
      <c r="D208" s="12">
        <v>161</v>
      </c>
      <c r="E208" s="7" t="s">
        <v>974</v>
      </c>
      <c r="F208" s="7" t="s">
        <v>975</v>
      </c>
      <c r="G208" s="7" t="s">
        <v>300</v>
      </c>
      <c r="H208" s="7" t="s">
        <v>37</v>
      </c>
      <c r="I208" s="7" t="s">
        <v>679</v>
      </c>
      <c r="J208" s="7" t="s">
        <v>429</v>
      </c>
      <c r="K208" s="7" t="s">
        <v>680</v>
      </c>
      <c r="L208" s="12">
        <v>1</v>
      </c>
      <c r="M208" s="7"/>
    </row>
    <row r="209" spans="2:13" ht="37.5" customHeight="1" x14ac:dyDescent="0.35">
      <c r="B209" s="11">
        <v>8</v>
      </c>
      <c r="C209" s="5" t="s">
        <v>355</v>
      </c>
      <c r="D209" s="11">
        <v>162</v>
      </c>
      <c r="E209" s="5" t="s">
        <v>976</v>
      </c>
      <c r="F209" s="5" t="s">
        <v>977</v>
      </c>
      <c r="G209" s="5" t="s">
        <v>300</v>
      </c>
      <c r="H209" s="5" t="s">
        <v>37</v>
      </c>
      <c r="I209" s="5" t="s">
        <v>679</v>
      </c>
      <c r="J209" s="5" t="s">
        <v>429</v>
      </c>
      <c r="K209" s="5" t="s">
        <v>680</v>
      </c>
      <c r="L209" s="11">
        <v>1</v>
      </c>
      <c r="M209" s="5"/>
    </row>
    <row r="210" spans="2:13" ht="25.5" customHeight="1" x14ac:dyDescent="0.35">
      <c r="B210" s="9" t="s">
        <v>978</v>
      </c>
      <c r="C210" s="9"/>
      <c r="D210" s="9"/>
      <c r="E210" s="16">
        <f>SUBTOTAL(103,E5:E209)</f>
        <v>205</v>
      </c>
      <c r="F210" s="9"/>
      <c r="G210" s="9"/>
      <c r="H210" s="9"/>
      <c r="I210" s="9"/>
      <c r="J210" s="9"/>
      <c r="K210" s="9"/>
      <c r="L210" s="16">
        <f>SUBTOTAL(109,L5:L209)</f>
        <v>314</v>
      </c>
    </row>
    <row r="212" spans="2:13" x14ac:dyDescent="0.2">
      <c r="B212" s="17" t="s">
        <v>979</v>
      </c>
    </row>
  </sheetData>
  <autoFilter ref="B4:M209" xr:uid="{00000000-0009-0000-0000-000002000000}"/>
  <mergeCells count="1"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59"/>
  <sheetViews>
    <sheetView showGridLines="0" zoomScale="90" zoomScaleNormal="90" workbookViewId="0">
      <pane xSplit="1" ySplit="4" topLeftCell="B5" activePane="bottomRight" state="frozen"/>
      <selection pane="bottomLeft" activeCell="A5" sqref="A5"/>
      <selection pane="topRight" activeCell="B1" sqref="B1"/>
      <selection pane="bottomRight"/>
    </sheetView>
  </sheetViews>
  <sheetFormatPr defaultColWidth="8.7421875" defaultRowHeight="15" customHeight="1" x14ac:dyDescent="0.2"/>
  <cols>
    <col min="1" max="1" width="2.95703125" customWidth="1"/>
    <col min="2" max="2" width="9.953125" customWidth="1"/>
    <col min="3" max="3" width="25.9609375" customWidth="1"/>
    <col min="4" max="4" width="9.953125" customWidth="1"/>
    <col min="5" max="5" width="23.9453125" customWidth="1"/>
    <col min="6" max="6" width="13.98828125" customWidth="1"/>
    <col min="7" max="7" width="25.9609375" customWidth="1"/>
    <col min="8" max="8" width="20.04296875" customWidth="1"/>
    <col min="9" max="9" width="23.9453125" customWidth="1"/>
    <col min="10" max="10" width="20.04296875" customWidth="1"/>
    <col min="11" max="11" width="46.00390625" customWidth="1"/>
    <col min="12" max="12" width="9.953125" customWidth="1"/>
    <col min="13" max="13" width="11.97265625" customWidth="1"/>
  </cols>
  <sheetData>
    <row r="2" spans="2:13" ht="31.5" customHeight="1" x14ac:dyDescent="0.2">
      <c r="B2" s="18" t="s">
        <v>980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ht="7.5" customHeight="1" x14ac:dyDescent="0.2"/>
    <row r="4" spans="2:13" ht="27.75" customHeight="1" x14ac:dyDescent="0.35">
      <c r="B4" s="4" t="s">
        <v>93</v>
      </c>
      <c r="C4" s="4" t="s">
        <v>95</v>
      </c>
      <c r="D4" s="4" t="s">
        <v>97</v>
      </c>
      <c r="E4" s="4" t="s">
        <v>99</v>
      </c>
      <c r="F4" s="4" t="s">
        <v>101</v>
      </c>
      <c r="G4" s="4" t="s">
        <v>103</v>
      </c>
      <c r="H4" s="4" t="s">
        <v>105</v>
      </c>
      <c r="I4" s="4" t="s">
        <v>107</v>
      </c>
      <c r="J4" s="4" t="s">
        <v>109</v>
      </c>
      <c r="K4" s="4" t="s">
        <v>111</v>
      </c>
      <c r="L4" s="4" t="s">
        <v>113</v>
      </c>
      <c r="M4" s="4" t="s">
        <v>147</v>
      </c>
    </row>
    <row r="5" spans="2:13" ht="21.75" customHeight="1" x14ac:dyDescent="0.35">
      <c r="B5" s="11">
        <v>1</v>
      </c>
      <c r="C5" s="5" t="s">
        <v>981</v>
      </c>
      <c r="D5" s="11">
        <v>1</v>
      </c>
      <c r="E5" s="5" t="s">
        <v>982</v>
      </c>
      <c r="F5" s="5" t="s">
        <v>983</v>
      </c>
      <c r="G5" s="5" t="s">
        <v>198</v>
      </c>
      <c r="H5" s="5" t="s">
        <v>37</v>
      </c>
      <c r="I5" s="5" t="s">
        <v>984</v>
      </c>
      <c r="J5" s="5" t="s">
        <v>985</v>
      </c>
      <c r="K5" s="5" t="s">
        <v>986</v>
      </c>
      <c r="L5" s="11">
        <v>1</v>
      </c>
      <c r="M5" s="5" t="s">
        <v>987</v>
      </c>
    </row>
    <row r="6" spans="2:13" ht="37.5" customHeight="1" x14ac:dyDescent="0.35">
      <c r="B6" s="12">
        <v>1</v>
      </c>
      <c r="C6" s="7" t="s">
        <v>981</v>
      </c>
      <c r="D6" s="12">
        <v>2</v>
      </c>
      <c r="E6" s="7" t="s">
        <v>988</v>
      </c>
      <c r="F6" s="7" t="s">
        <v>989</v>
      </c>
      <c r="G6" s="7" t="s">
        <v>26</v>
      </c>
      <c r="H6" s="7" t="s">
        <v>817</v>
      </c>
      <c r="I6" s="7" t="s">
        <v>52</v>
      </c>
      <c r="J6" s="7" t="s">
        <v>233</v>
      </c>
      <c r="K6" s="7" t="s">
        <v>990</v>
      </c>
      <c r="L6" s="12">
        <v>1</v>
      </c>
      <c r="M6" s="7" t="s">
        <v>987</v>
      </c>
    </row>
    <row r="7" spans="2:13" ht="37.5" customHeight="1" x14ac:dyDescent="0.35">
      <c r="B7" s="11">
        <v>1</v>
      </c>
      <c r="C7" s="5" t="s">
        <v>981</v>
      </c>
      <c r="D7" s="11">
        <v>3</v>
      </c>
      <c r="E7" s="5" t="s">
        <v>991</v>
      </c>
      <c r="F7" s="5" t="s">
        <v>992</v>
      </c>
      <c r="G7" s="5" t="s">
        <v>993</v>
      </c>
      <c r="H7" s="5" t="s">
        <v>817</v>
      </c>
      <c r="I7" s="5" t="s">
        <v>52</v>
      </c>
      <c r="J7" s="5" t="s">
        <v>213</v>
      </c>
      <c r="K7" s="5" t="s">
        <v>994</v>
      </c>
      <c r="L7" s="11">
        <v>1</v>
      </c>
      <c r="M7" s="5" t="s">
        <v>987</v>
      </c>
    </row>
    <row r="8" spans="2:13" ht="37.5" customHeight="1" x14ac:dyDescent="0.35">
      <c r="B8" s="12">
        <v>1</v>
      </c>
      <c r="C8" s="7" t="s">
        <v>981</v>
      </c>
      <c r="D8" s="12">
        <v>4</v>
      </c>
      <c r="E8" s="7" t="s">
        <v>995</v>
      </c>
      <c r="F8" s="7" t="s">
        <v>996</v>
      </c>
      <c r="G8" s="7" t="s">
        <v>997</v>
      </c>
      <c r="H8" s="7" t="s">
        <v>37</v>
      </c>
      <c r="I8" s="7" t="s">
        <v>998</v>
      </c>
      <c r="J8" s="7" t="s">
        <v>999</v>
      </c>
      <c r="K8" s="7" t="s">
        <v>1000</v>
      </c>
      <c r="L8" s="12">
        <v>1</v>
      </c>
      <c r="M8" s="7" t="s">
        <v>987</v>
      </c>
    </row>
    <row r="9" spans="2:13" ht="37.5" customHeight="1" x14ac:dyDescent="0.35">
      <c r="B9" s="11">
        <v>1</v>
      </c>
      <c r="C9" s="5" t="s">
        <v>981</v>
      </c>
      <c r="D9" s="11">
        <v>5</v>
      </c>
      <c r="E9" s="5" t="s">
        <v>1001</v>
      </c>
      <c r="F9" s="5" t="s">
        <v>1002</v>
      </c>
      <c r="G9" s="5" t="s">
        <v>1003</v>
      </c>
      <c r="H9" s="5" t="s">
        <v>838</v>
      </c>
      <c r="I9" s="5" t="s">
        <v>52</v>
      </c>
      <c r="J9" s="5" t="s">
        <v>1004</v>
      </c>
      <c r="K9" s="5" t="s">
        <v>1005</v>
      </c>
      <c r="L9" s="11">
        <v>1</v>
      </c>
      <c r="M9" s="5" t="s">
        <v>987</v>
      </c>
    </row>
    <row r="10" spans="2:13" ht="67.5" customHeight="1" x14ac:dyDescent="0.35">
      <c r="B10" s="12">
        <v>1</v>
      </c>
      <c r="C10" s="7" t="s">
        <v>981</v>
      </c>
      <c r="D10" s="12">
        <v>6</v>
      </c>
      <c r="E10" s="7" t="s">
        <v>1006</v>
      </c>
      <c r="F10" s="7" t="s">
        <v>1007</v>
      </c>
      <c r="G10" s="7" t="s">
        <v>1008</v>
      </c>
      <c r="H10" s="7" t="s">
        <v>1009</v>
      </c>
      <c r="I10" s="7" t="s">
        <v>1010</v>
      </c>
      <c r="J10" s="7" t="s">
        <v>1011</v>
      </c>
      <c r="K10" s="7" t="s">
        <v>1012</v>
      </c>
      <c r="L10" s="12">
        <v>3</v>
      </c>
      <c r="M10" s="7" t="s">
        <v>987</v>
      </c>
    </row>
    <row r="11" spans="2:13" ht="37.5" customHeight="1" x14ac:dyDescent="0.35">
      <c r="B11" s="11">
        <v>2</v>
      </c>
      <c r="C11" s="5" t="s">
        <v>1013</v>
      </c>
      <c r="D11" s="11">
        <v>1</v>
      </c>
      <c r="E11" s="5" t="s">
        <v>1014</v>
      </c>
      <c r="F11" s="5" t="s">
        <v>1015</v>
      </c>
      <c r="G11" s="5" t="s">
        <v>560</v>
      </c>
      <c r="H11" s="5" t="s">
        <v>40</v>
      </c>
      <c r="I11" s="5" t="s">
        <v>56</v>
      </c>
      <c r="J11" s="5" t="s">
        <v>1016</v>
      </c>
      <c r="K11" s="5" t="s">
        <v>1017</v>
      </c>
      <c r="L11" s="11">
        <v>1</v>
      </c>
      <c r="M11" s="5" t="s">
        <v>987</v>
      </c>
    </row>
    <row r="12" spans="2:13" ht="37.5" customHeight="1" x14ac:dyDescent="0.35">
      <c r="B12" s="12">
        <v>2</v>
      </c>
      <c r="C12" s="7" t="s">
        <v>1013</v>
      </c>
      <c r="D12" s="12">
        <v>2</v>
      </c>
      <c r="E12" s="7" t="s">
        <v>1018</v>
      </c>
      <c r="F12" s="7" t="s">
        <v>1019</v>
      </c>
      <c r="G12" s="7" t="s">
        <v>27</v>
      </c>
      <c r="H12" s="7" t="s">
        <v>38</v>
      </c>
      <c r="I12" s="7" t="s">
        <v>53</v>
      </c>
      <c r="J12" s="7" t="s">
        <v>233</v>
      </c>
      <c r="K12" s="7" t="s">
        <v>1020</v>
      </c>
      <c r="L12" s="12">
        <v>1</v>
      </c>
      <c r="M12" s="7" t="s">
        <v>987</v>
      </c>
    </row>
    <row r="13" spans="2:13" ht="37.5" customHeight="1" x14ac:dyDescent="0.35">
      <c r="B13" s="11">
        <v>2</v>
      </c>
      <c r="C13" s="5" t="s">
        <v>1013</v>
      </c>
      <c r="D13" s="11">
        <v>3</v>
      </c>
      <c r="E13" s="5" t="s">
        <v>1021</v>
      </c>
      <c r="F13" s="5" t="s">
        <v>1022</v>
      </c>
      <c r="G13" s="5" t="s">
        <v>384</v>
      </c>
      <c r="H13" s="5" t="s">
        <v>1023</v>
      </c>
      <c r="I13" s="5" t="s">
        <v>56</v>
      </c>
      <c r="J13" s="5" t="s">
        <v>213</v>
      </c>
      <c r="K13" s="5" t="s">
        <v>1024</v>
      </c>
      <c r="L13" s="11">
        <v>2</v>
      </c>
      <c r="M13" s="5" t="s">
        <v>987</v>
      </c>
    </row>
    <row r="14" spans="2:13" ht="37.5" customHeight="1" x14ac:dyDescent="0.35">
      <c r="B14" s="12">
        <v>2</v>
      </c>
      <c r="C14" s="7" t="s">
        <v>1013</v>
      </c>
      <c r="D14" s="12">
        <v>4</v>
      </c>
      <c r="E14" s="7" t="s">
        <v>1025</v>
      </c>
      <c r="F14" s="7" t="s">
        <v>1026</v>
      </c>
      <c r="G14" s="7" t="s">
        <v>997</v>
      </c>
      <c r="H14" s="7" t="s">
        <v>37</v>
      </c>
      <c r="I14" s="7" t="s">
        <v>998</v>
      </c>
      <c r="J14" s="7" t="s">
        <v>1027</v>
      </c>
      <c r="K14" s="7" t="s">
        <v>1028</v>
      </c>
      <c r="L14" s="12">
        <v>1</v>
      </c>
      <c r="M14" s="7" t="s">
        <v>987</v>
      </c>
    </row>
    <row r="15" spans="2:13" ht="37.5" customHeight="1" x14ac:dyDescent="0.35">
      <c r="B15" s="11">
        <v>2</v>
      </c>
      <c r="C15" s="5" t="s">
        <v>1013</v>
      </c>
      <c r="D15" s="11">
        <v>5</v>
      </c>
      <c r="E15" s="5" t="s">
        <v>1029</v>
      </c>
      <c r="F15" s="5" t="s">
        <v>1030</v>
      </c>
      <c r="G15" s="5" t="s">
        <v>862</v>
      </c>
      <c r="H15" s="5" t="s">
        <v>838</v>
      </c>
      <c r="I15" s="5" t="s">
        <v>52</v>
      </c>
      <c r="J15" s="5" t="s">
        <v>213</v>
      </c>
      <c r="K15" s="5" t="s">
        <v>1031</v>
      </c>
      <c r="L15" s="11">
        <v>1</v>
      </c>
      <c r="M15" s="5" t="s">
        <v>987</v>
      </c>
    </row>
    <row r="16" spans="2:13" ht="52.5" customHeight="1" x14ac:dyDescent="0.35">
      <c r="B16" s="12">
        <v>2</v>
      </c>
      <c r="C16" s="7" t="s">
        <v>1013</v>
      </c>
      <c r="D16" s="12">
        <v>6</v>
      </c>
      <c r="E16" s="7" t="s">
        <v>1032</v>
      </c>
      <c r="F16" s="7" t="s">
        <v>1033</v>
      </c>
      <c r="G16" s="7" t="s">
        <v>365</v>
      </c>
      <c r="H16" s="7" t="s">
        <v>1034</v>
      </c>
      <c r="I16" s="7" t="s">
        <v>1035</v>
      </c>
      <c r="J16" s="7" t="s">
        <v>213</v>
      </c>
      <c r="K16" s="7" t="s">
        <v>1036</v>
      </c>
      <c r="L16" s="12">
        <v>2</v>
      </c>
      <c r="M16" s="7" t="s">
        <v>987</v>
      </c>
    </row>
    <row r="17" spans="2:13" ht="37.5" customHeight="1" x14ac:dyDescent="0.35">
      <c r="B17" s="11">
        <v>2</v>
      </c>
      <c r="C17" s="5" t="s">
        <v>1013</v>
      </c>
      <c r="D17" s="11">
        <v>7</v>
      </c>
      <c r="E17" s="5" t="s">
        <v>1037</v>
      </c>
      <c r="F17" s="5" t="s">
        <v>1038</v>
      </c>
      <c r="G17" s="5" t="s">
        <v>29</v>
      </c>
      <c r="H17" s="5" t="s">
        <v>1039</v>
      </c>
      <c r="I17" s="5" t="s">
        <v>1040</v>
      </c>
      <c r="J17" s="5" t="s">
        <v>1041</v>
      </c>
      <c r="K17" s="5" t="s">
        <v>1042</v>
      </c>
      <c r="L17" s="11">
        <v>2</v>
      </c>
      <c r="M17" s="5" t="s">
        <v>987</v>
      </c>
    </row>
    <row r="18" spans="2:13" ht="37.5" customHeight="1" x14ac:dyDescent="0.35">
      <c r="B18" s="12">
        <v>2</v>
      </c>
      <c r="C18" s="7" t="s">
        <v>1013</v>
      </c>
      <c r="D18" s="12">
        <v>8</v>
      </c>
      <c r="E18" s="7" t="s">
        <v>1043</v>
      </c>
      <c r="F18" s="7" t="s">
        <v>1044</v>
      </c>
      <c r="G18" s="7" t="s">
        <v>1045</v>
      </c>
      <c r="H18" s="7" t="s">
        <v>1046</v>
      </c>
      <c r="I18" s="7" t="s">
        <v>1047</v>
      </c>
      <c r="J18" s="7" t="s">
        <v>213</v>
      </c>
      <c r="K18" s="7" t="s">
        <v>1048</v>
      </c>
      <c r="L18" s="12">
        <v>1</v>
      </c>
      <c r="M18" s="7" t="s">
        <v>987</v>
      </c>
    </row>
    <row r="19" spans="2:13" ht="52.5" customHeight="1" x14ac:dyDescent="0.35">
      <c r="B19" s="11">
        <v>2</v>
      </c>
      <c r="C19" s="5" t="s">
        <v>1013</v>
      </c>
      <c r="D19" s="11">
        <v>9</v>
      </c>
      <c r="E19" s="5" t="s">
        <v>1049</v>
      </c>
      <c r="F19" s="5" t="s">
        <v>1050</v>
      </c>
      <c r="G19" s="5" t="s">
        <v>557</v>
      </c>
      <c r="H19" s="5" t="s">
        <v>1051</v>
      </c>
      <c r="I19" s="5" t="s">
        <v>1052</v>
      </c>
      <c r="J19" s="5" t="s">
        <v>213</v>
      </c>
      <c r="K19" s="5" t="s">
        <v>1053</v>
      </c>
      <c r="L19" s="11">
        <v>2</v>
      </c>
      <c r="M19" s="5" t="s">
        <v>987</v>
      </c>
    </row>
    <row r="20" spans="2:13" ht="52.5" customHeight="1" x14ac:dyDescent="0.35">
      <c r="B20" s="12">
        <v>2</v>
      </c>
      <c r="C20" s="7" t="s">
        <v>1013</v>
      </c>
      <c r="D20" s="12">
        <v>10</v>
      </c>
      <c r="E20" s="7" t="s">
        <v>1054</v>
      </c>
      <c r="F20" s="7" t="s">
        <v>1055</v>
      </c>
      <c r="G20" s="7" t="s">
        <v>742</v>
      </c>
      <c r="H20" s="7" t="s">
        <v>1056</v>
      </c>
      <c r="I20" s="7" t="s">
        <v>1057</v>
      </c>
      <c r="J20" s="7" t="s">
        <v>213</v>
      </c>
      <c r="K20" s="7" t="s">
        <v>1058</v>
      </c>
      <c r="L20" s="12">
        <v>2</v>
      </c>
      <c r="M20" s="7" t="s">
        <v>987</v>
      </c>
    </row>
    <row r="21" spans="2:13" ht="37.5" customHeight="1" x14ac:dyDescent="0.35">
      <c r="B21" s="11">
        <v>2</v>
      </c>
      <c r="C21" s="5" t="s">
        <v>1013</v>
      </c>
      <c r="D21" s="11">
        <v>11</v>
      </c>
      <c r="E21" s="5" t="s">
        <v>1059</v>
      </c>
      <c r="F21" s="5" t="s">
        <v>1060</v>
      </c>
      <c r="G21" s="5" t="s">
        <v>188</v>
      </c>
      <c r="H21" s="5" t="s">
        <v>838</v>
      </c>
      <c r="I21" s="5" t="s">
        <v>52</v>
      </c>
      <c r="J21" s="5" t="s">
        <v>213</v>
      </c>
      <c r="K21" s="5" t="s">
        <v>1031</v>
      </c>
      <c r="L21" s="11">
        <v>1</v>
      </c>
      <c r="M21" s="5" t="s">
        <v>987</v>
      </c>
    </row>
    <row r="22" spans="2:13" ht="37.5" customHeight="1" x14ac:dyDescent="0.35">
      <c r="B22" s="12">
        <v>2</v>
      </c>
      <c r="C22" s="7" t="s">
        <v>1013</v>
      </c>
      <c r="D22" s="12">
        <v>12</v>
      </c>
      <c r="E22" s="7" t="s">
        <v>1061</v>
      </c>
      <c r="F22" s="7" t="s">
        <v>1062</v>
      </c>
      <c r="G22" s="7" t="s">
        <v>825</v>
      </c>
      <c r="H22" s="7" t="s">
        <v>838</v>
      </c>
      <c r="I22" s="7" t="s">
        <v>52</v>
      </c>
      <c r="J22" s="7" t="s">
        <v>1063</v>
      </c>
      <c r="K22" s="7" t="s">
        <v>1064</v>
      </c>
      <c r="L22" s="12">
        <v>1</v>
      </c>
      <c r="M22" s="7" t="s">
        <v>987</v>
      </c>
    </row>
    <row r="23" spans="2:13" ht="37.5" customHeight="1" x14ac:dyDescent="0.35">
      <c r="B23" s="11">
        <v>2</v>
      </c>
      <c r="C23" s="5" t="s">
        <v>1013</v>
      </c>
      <c r="D23" s="11">
        <v>13</v>
      </c>
      <c r="E23" s="5" t="s">
        <v>1065</v>
      </c>
      <c r="F23" s="5" t="s">
        <v>1066</v>
      </c>
      <c r="G23" s="5" t="s">
        <v>956</v>
      </c>
      <c r="H23" s="5" t="s">
        <v>838</v>
      </c>
      <c r="I23" s="5" t="s">
        <v>52</v>
      </c>
      <c r="J23" s="5" t="s">
        <v>213</v>
      </c>
      <c r="K23" s="5" t="s">
        <v>1031</v>
      </c>
      <c r="L23" s="11">
        <v>1</v>
      </c>
      <c r="M23" s="5" t="s">
        <v>987</v>
      </c>
    </row>
    <row r="24" spans="2:13" ht="37.5" customHeight="1" x14ac:dyDescent="0.35">
      <c r="B24" s="12">
        <v>2</v>
      </c>
      <c r="C24" s="7" t="s">
        <v>1013</v>
      </c>
      <c r="D24" s="12">
        <v>14</v>
      </c>
      <c r="E24" s="7" t="s">
        <v>1067</v>
      </c>
      <c r="F24" s="7" t="s">
        <v>1068</v>
      </c>
      <c r="G24" s="7" t="s">
        <v>24</v>
      </c>
      <c r="H24" s="7" t="s">
        <v>38</v>
      </c>
      <c r="I24" s="7" t="s">
        <v>53</v>
      </c>
      <c r="J24" s="7" t="s">
        <v>1069</v>
      </c>
      <c r="K24" s="7" t="s">
        <v>1070</v>
      </c>
      <c r="L24" s="12">
        <v>1</v>
      </c>
      <c r="M24" s="7" t="s">
        <v>987</v>
      </c>
    </row>
    <row r="25" spans="2:13" ht="37.5" customHeight="1" x14ac:dyDescent="0.35">
      <c r="B25" s="11">
        <v>2</v>
      </c>
      <c r="C25" s="5" t="s">
        <v>1013</v>
      </c>
      <c r="D25" s="11">
        <v>15</v>
      </c>
      <c r="E25" s="5" t="s">
        <v>1071</v>
      </c>
      <c r="F25" s="5" t="s">
        <v>1072</v>
      </c>
      <c r="G25" s="5" t="s">
        <v>1073</v>
      </c>
      <c r="H25" s="5" t="s">
        <v>817</v>
      </c>
      <c r="I25" s="5" t="s">
        <v>52</v>
      </c>
      <c r="J25" s="5" t="s">
        <v>213</v>
      </c>
      <c r="K25" s="5" t="s">
        <v>994</v>
      </c>
      <c r="L25" s="11">
        <v>1</v>
      </c>
      <c r="M25" s="5" t="s">
        <v>987</v>
      </c>
    </row>
    <row r="26" spans="2:13" ht="37.5" customHeight="1" x14ac:dyDescent="0.35">
      <c r="B26" s="12">
        <v>2</v>
      </c>
      <c r="C26" s="7" t="s">
        <v>1013</v>
      </c>
      <c r="D26" s="12">
        <v>16</v>
      </c>
      <c r="E26" s="7" t="s">
        <v>1074</v>
      </c>
      <c r="F26" s="7" t="s">
        <v>1075</v>
      </c>
      <c r="G26" s="7" t="s">
        <v>1076</v>
      </c>
      <c r="H26" s="7" t="s">
        <v>39</v>
      </c>
      <c r="I26" s="7" t="s">
        <v>1077</v>
      </c>
      <c r="J26" s="7" t="s">
        <v>194</v>
      </c>
      <c r="K26" s="7" t="s">
        <v>1078</v>
      </c>
      <c r="L26" s="12">
        <v>1</v>
      </c>
      <c r="M26" s="7" t="s">
        <v>987</v>
      </c>
    </row>
    <row r="27" spans="2:13" ht="202.5" customHeight="1" x14ac:dyDescent="0.35">
      <c r="B27" s="11">
        <v>3</v>
      </c>
      <c r="C27" s="5" t="s">
        <v>1079</v>
      </c>
      <c r="D27" s="11">
        <v>1</v>
      </c>
      <c r="E27" s="5" t="s">
        <v>1080</v>
      </c>
      <c r="F27" s="5" t="s">
        <v>1081</v>
      </c>
      <c r="G27" s="5" t="s">
        <v>421</v>
      </c>
      <c r="H27" s="5" t="s">
        <v>1082</v>
      </c>
      <c r="I27" s="5" t="s">
        <v>1083</v>
      </c>
      <c r="J27" s="5" t="s">
        <v>1041</v>
      </c>
      <c r="K27" s="5" t="s">
        <v>1084</v>
      </c>
      <c r="L27" s="11">
        <v>9</v>
      </c>
      <c r="M27" s="5" t="s">
        <v>987</v>
      </c>
    </row>
    <row r="28" spans="2:13" ht="52.5" customHeight="1" x14ac:dyDescent="0.35">
      <c r="B28" s="12">
        <v>3</v>
      </c>
      <c r="C28" s="7" t="s">
        <v>1079</v>
      </c>
      <c r="D28" s="12">
        <v>2</v>
      </c>
      <c r="E28" s="7" t="s">
        <v>1085</v>
      </c>
      <c r="F28" s="7" t="s">
        <v>1086</v>
      </c>
      <c r="G28" s="7" t="s">
        <v>778</v>
      </c>
      <c r="H28" s="7" t="s">
        <v>1087</v>
      </c>
      <c r="I28" s="7" t="s">
        <v>1088</v>
      </c>
      <c r="J28" s="7" t="s">
        <v>1089</v>
      </c>
      <c r="K28" s="7" t="s">
        <v>1090</v>
      </c>
      <c r="L28" s="12">
        <v>2</v>
      </c>
      <c r="M28" s="7" t="s">
        <v>987</v>
      </c>
    </row>
    <row r="29" spans="2:13" ht="37.5" customHeight="1" x14ac:dyDescent="0.35">
      <c r="B29" s="11">
        <v>3</v>
      </c>
      <c r="C29" s="5" t="s">
        <v>1079</v>
      </c>
      <c r="D29" s="11">
        <v>3</v>
      </c>
      <c r="E29" s="5" t="s">
        <v>1091</v>
      </c>
      <c r="F29" s="5" t="s">
        <v>1092</v>
      </c>
      <c r="G29" s="5" t="s">
        <v>32</v>
      </c>
      <c r="H29" s="5" t="s">
        <v>43</v>
      </c>
      <c r="I29" s="5" t="s">
        <v>1093</v>
      </c>
      <c r="J29" s="5" t="s">
        <v>154</v>
      </c>
      <c r="K29" s="5" t="s">
        <v>1094</v>
      </c>
      <c r="L29" s="11">
        <v>1</v>
      </c>
      <c r="M29" s="5" t="s">
        <v>987</v>
      </c>
    </row>
    <row r="30" spans="2:13" ht="52.5" customHeight="1" x14ac:dyDescent="0.35">
      <c r="B30" s="12">
        <v>3</v>
      </c>
      <c r="C30" s="7" t="s">
        <v>1079</v>
      </c>
      <c r="D30" s="12">
        <v>4</v>
      </c>
      <c r="E30" s="7" t="s">
        <v>1095</v>
      </c>
      <c r="F30" s="7" t="s">
        <v>1096</v>
      </c>
      <c r="G30" s="7" t="s">
        <v>28</v>
      </c>
      <c r="H30" s="7" t="s">
        <v>1097</v>
      </c>
      <c r="I30" s="7" t="s">
        <v>1098</v>
      </c>
      <c r="J30" s="7" t="s">
        <v>1099</v>
      </c>
      <c r="K30" s="7" t="s">
        <v>1100</v>
      </c>
      <c r="L30" s="12">
        <v>2</v>
      </c>
      <c r="M30" s="7" t="s">
        <v>987</v>
      </c>
    </row>
    <row r="31" spans="2:13" ht="37.5" customHeight="1" x14ac:dyDescent="0.35">
      <c r="B31" s="11">
        <v>3</v>
      </c>
      <c r="C31" s="5" t="s">
        <v>1079</v>
      </c>
      <c r="D31" s="11">
        <v>5</v>
      </c>
      <c r="E31" s="5" t="s">
        <v>1101</v>
      </c>
      <c r="F31" s="5" t="s">
        <v>1102</v>
      </c>
      <c r="G31" s="5" t="s">
        <v>26</v>
      </c>
      <c r="H31" s="5" t="s">
        <v>40</v>
      </c>
      <c r="I31" s="5" t="s">
        <v>56</v>
      </c>
      <c r="J31" s="5" t="s">
        <v>233</v>
      </c>
      <c r="K31" s="5" t="s">
        <v>1103</v>
      </c>
      <c r="L31" s="11">
        <v>1</v>
      </c>
      <c r="M31" s="5" t="s">
        <v>987</v>
      </c>
    </row>
    <row r="32" spans="2:13" ht="37.5" customHeight="1" x14ac:dyDescent="0.35">
      <c r="B32" s="12">
        <v>3</v>
      </c>
      <c r="C32" s="7" t="s">
        <v>1079</v>
      </c>
      <c r="D32" s="12">
        <v>6</v>
      </c>
      <c r="E32" s="7" t="s">
        <v>1104</v>
      </c>
      <c r="F32" s="7" t="s">
        <v>1105</v>
      </c>
      <c r="G32" s="7" t="s">
        <v>733</v>
      </c>
      <c r="H32" s="7" t="s">
        <v>37</v>
      </c>
      <c r="I32" s="7" t="s">
        <v>1106</v>
      </c>
      <c r="J32" s="7" t="s">
        <v>1107</v>
      </c>
      <c r="K32" s="7" t="s">
        <v>1108</v>
      </c>
      <c r="L32" s="12">
        <v>1</v>
      </c>
      <c r="M32" s="7" t="s">
        <v>987</v>
      </c>
    </row>
    <row r="33" spans="2:13" ht="52.5" customHeight="1" x14ac:dyDescent="0.35">
      <c r="B33" s="11">
        <v>3</v>
      </c>
      <c r="C33" s="5" t="s">
        <v>1079</v>
      </c>
      <c r="D33" s="11">
        <v>7</v>
      </c>
      <c r="E33" s="5" t="s">
        <v>1109</v>
      </c>
      <c r="F33" s="5" t="s">
        <v>1110</v>
      </c>
      <c r="G33" s="5" t="s">
        <v>625</v>
      </c>
      <c r="H33" s="5" t="s">
        <v>218</v>
      </c>
      <c r="I33" s="5" t="s">
        <v>1111</v>
      </c>
      <c r="J33" s="5" t="s">
        <v>1112</v>
      </c>
      <c r="K33" s="5" t="s">
        <v>1113</v>
      </c>
      <c r="L33" s="11">
        <v>2</v>
      </c>
      <c r="M33" s="5" t="s">
        <v>987</v>
      </c>
    </row>
    <row r="34" spans="2:13" ht="37.5" customHeight="1" x14ac:dyDescent="0.35">
      <c r="B34" s="12">
        <v>3</v>
      </c>
      <c r="C34" s="7" t="s">
        <v>1079</v>
      </c>
      <c r="D34" s="12">
        <v>8</v>
      </c>
      <c r="E34" s="7" t="s">
        <v>1114</v>
      </c>
      <c r="F34" s="7" t="s">
        <v>1115</v>
      </c>
      <c r="G34" s="7" t="s">
        <v>395</v>
      </c>
      <c r="H34" s="7" t="s">
        <v>37</v>
      </c>
      <c r="I34" s="7" t="s">
        <v>1106</v>
      </c>
      <c r="J34" s="7" t="s">
        <v>1107</v>
      </c>
      <c r="K34" s="7" t="s">
        <v>1108</v>
      </c>
      <c r="L34" s="12">
        <v>1</v>
      </c>
      <c r="M34" s="7" t="s">
        <v>987</v>
      </c>
    </row>
    <row r="35" spans="2:13" ht="37.5" customHeight="1" x14ac:dyDescent="0.35">
      <c r="B35" s="11">
        <v>3</v>
      </c>
      <c r="C35" s="5" t="s">
        <v>1079</v>
      </c>
      <c r="D35" s="11">
        <v>9</v>
      </c>
      <c r="E35" s="5" t="s">
        <v>1116</v>
      </c>
      <c r="F35" s="5" t="s">
        <v>1117</v>
      </c>
      <c r="G35" s="5" t="s">
        <v>217</v>
      </c>
      <c r="H35" s="5" t="s">
        <v>37</v>
      </c>
      <c r="I35" s="5" t="s">
        <v>984</v>
      </c>
      <c r="J35" s="5" t="s">
        <v>1107</v>
      </c>
      <c r="K35" s="5" t="s">
        <v>1118</v>
      </c>
      <c r="L35" s="11">
        <v>1</v>
      </c>
      <c r="M35" s="5" t="s">
        <v>987</v>
      </c>
    </row>
    <row r="36" spans="2:13" ht="37.5" customHeight="1" x14ac:dyDescent="0.35">
      <c r="B36" s="12">
        <v>3</v>
      </c>
      <c r="C36" s="7" t="s">
        <v>1079</v>
      </c>
      <c r="D36" s="12">
        <v>10</v>
      </c>
      <c r="E36" s="7" t="s">
        <v>1119</v>
      </c>
      <c r="F36" s="7" t="s">
        <v>1120</v>
      </c>
      <c r="G36" s="7" t="s">
        <v>224</v>
      </c>
      <c r="H36" s="7" t="s">
        <v>37</v>
      </c>
      <c r="I36" s="7" t="s">
        <v>984</v>
      </c>
      <c r="J36" s="7" t="s">
        <v>1107</v>
      </c>
      <c r="K36" s="7" t="s">
        <v>1118</v>
      </c>
      <c r="L36" s="12">
        <v>1</v>
      </c>
      <c r="M36" s="7" t="s">
        <v>987</v>
      </c>
    </row>
    <row r="37" spans="2:13" ht="37.5" customHeight="1" x14ac:dyDescent="0.35">
      <c r="B37" s="11">
        <v>3</v>
      </c>
      <c r="C37" s="5" t="s">
        <v>1079</v>
      </c>
      <c r="D37" s="11">
        <v>11</v>
      </c>
      <c r="E37" s="5" t="s">
        <v>1121</v>
      </c>
      <c r="F37" s="5" t="s">
        <v>1122</v>
      </c>
      <c r="G37" s="5" t="s">
        <v>1123</v>
      </c>
      <c r="H37" s="5" t="s">
        <v>40</v>
      </c>
      <c r="I37" s="5" t="s">
        <v>56</v>
      </c>
      <c r="J37" s="5" t="s">
        <v>213</v>
      </c>
      <c r="K37" s="5" t="s">
        <v>1124</v>
      </c>
      <c r="L37" s="11">
        <v>1</v>
      </c>
      <c r="M37" s="5" t="s">
        <v>987</v>
      </c>
    </row>
    <row r="38" spans="2:13" ht="37.5" customHeight="1" x14ac:dyDescent="0.35">
      <c r="B38" s="12">
        <v>3</v>
      </c>
      <c r="C38" s="7" t="s">
        <v>1079</v>
      </c>
      <c r="D38" s="12">
        <v>12</v>
      </c>
      <c r="E38" s="7" t="s">
        <v>1125</v>
      </c>
      <c r="F38" s="7" t="s">
        <v>1126</v>
      </c>
      <c r="G38" s="7" t="s">
        <v>1127</v>
      </c>
      <c r="H38" s="7" t="s">
        <v>817</v>
      </c>
      <c r="I38" s="7" t="s">
        <v>52</v>
      </c>
      <c r="J38" s="7" t="s">
        <v>213</v>
      </c>
      <c r="K38" s="7" t="s">
        <v>994</v>
      </c>
      <c r="L38" s="12">
        <v>1</v>
      </c>
      <c r="M38" s="7" t="s">
        <v>987</v>
      </c>
    </row>
    <row r="39" spans="2:13" ht="37.5" customHeight="1" x14ac:dyDescent="0.35">
      <c r="B39" s="11">
        <v>3</v>
      </c>
      <c r="C39" s="5" t="s">
        <v>1079</v>
      </c>
      <c r="D39" s="11">
        <v>13</v>
      </c>
      <c r="E39" s="5" t="s">
        <v>1128</v>
      </c>
      <c r="F39" s="5" t="s">
        <v>1129</v>
      </c>
      <c r="G39" s="5" t="s">
        <v>552</v>
      </c>
      <c r="H39" s="5" t="s">
        <v>817</v>
      </c>
      <c r="I39" s="5" t="s">
        <v>52</v>
      </c>
      <c r="J39" s="5" t="s">
        <v>213</v>
      </c>
      <c r="K39" s="5" t="s">
        <v>994</v>
      </c>
      <c r="L39" s="11">
        <v>1</v>
      </c>
      <c r="M39" s="5" t="s">
        <v>987</v>
      </c>
    </row>
    <row r="40" spans="2:13" ht="37.5" customHeight="1" x14ac:dyDescent="0.35">
      <c r="B40" s="12">
        <v>3</v>
      </c>
      <c r="C40" s="7" t="s">
        <v>1079</v>
      </c>
      <c r="D40" s="12">
        <v>14</v>
      </c>
      <c r="E40" s="7" t="s">
        <v>1130</v>
      </c>
      <c r="F40" s="7" t="s">
        <v>1131</v>
      </c>
      <c r="G40" s="7" t="s">
        <v>282</v>
      </c>
      <c r="H40" s="7" t="s">
        <v>817</v>
      </c>
      <c r="I40" s="7" t="s">
        <v>52</v>
      </c>
      <c r="J40" s="7" t="s">
        <v>213</v>
      </c>
      <c r="K40" s="7" t="s">
        <v>994</v>
      </c>
      <c r="L40" s="12">
        <v>1</v>
      </c>
      <c r="M40" s="7" t="s">
        <v>987</v>
      </c>
    </row>
    <row r="41" spans="2:13" ht="37.5" customHeight="1" x14ac:dyDescent="0.35">
      <c r="B41" s="11">
        <v>3</v>
      </c>
      <c r="C41" s="5" t="s">
        <v>1079</v>
      </c>
      <c r="D41" s="11">
        <v>15</v>
      </c>
      <c r="E41" s="5" t="s">
        <v>1132</v>
      </c>
      <c r="F41" s="5" t="s">
        <v>1133</v>
      </c>
      <c r="G41" s="5" t="s">
        <v>33</v>
      </c>
      <c r="H41" s="5" t="s">
        <v>817</v>
      </c>
      <c r="I41" s="5" t="s">
        <v>52</v>
      </c>
      <c r="J41" s="5" t="s">
        <v>213</v>
      </c>
      <c r="K41" s="5" t="s">
        <v>994</v>
      </c>
      <c r="L41" s="11">
        <v>1</v>
      </c>
      <c r="M41" s="5" t="s">
        <v>987</v>
      </c>
    </row>
    <row r="42" spans="2:13" ht="37.5" customHeight="1" x14ac:dyDescent="0.35">
      <c r="B42" s="12">
        <v>3</v>
      </c>
      <c r="C42" s="7" t="s">
        <v>1079</v>
      </c>
      <c r="D42" s="12">
        <v>16</v>
      </c>
      <c r="E42" s="7" t="s">
        <v>1134</v>
      </c>
      <c r="F42" s="7" t="s">
        <v>1135</v>
      </c>
      <c r="G42" s="7" t="s">
        <v>457</v>
      </c>
      <c r="H42" s="7" t="s">
        <v>37</v>
      </c>
      <c r="I42" s="7" t="s">
        <v>984</v>
      </c>
      <c r="J42" s="7" t="s">
        <v>1107</v>
      </c>
      <c r="K42" s="7" t="s">
        <v>1118</v>
      </c>
      <c r="L42" s="12">
        <v>1</v>
      </c>
      <c r="M42" s="7" t="s">
        <v>987</v>
      </c>
    </row>
    <row r="43" spans="2:13" ht="37.5" customHeight="1" x14ac:dyDescent="0.35">
      <c r="B43" s="11">
        <v>3</v>
      </c>
      <c r="C43" s="5" t="s">
        <v>1079</v>
      </c>
      <c r="D43" s="11">
        <v>17</v>
      </c>
      <c r="E43" s="5" t="s">
        <v>1136</v>
      </c>
      <c r="F43" s="5" t="s">
        <v>1137</v>
      </c>
      <c r="G43" s="5" t="s">
        <v>212</v>
      </c>
      <c r="H43" s="5" t="s">
        <v>37</v>
      </c>
      <c r="I43" s="5" t="s">
        <v>984</v>
      </c>
      <c r="J43" s="5" t="s">
        <v>1107</v>
      </c>
      <c r="K43" s="5" t="s">
        <v>1118</v>
      </c>
      <c r="L43" s="11">
        <v>1</v>
      </c>
      <c r="M43" s="5" t="s">
        <v>987</v>
      </c>
    </row>
    <row r="44" spans="2:13" ht="37.5" customHeight="1" x14ac:dyDescent="0.35">
      <c r="B44" s="12">
        <v>3</v>
      </c>
      <c r="C44" s="7" t="s">
        <v>1079</v>
      </c>
      <c r="D44" s="12">
        <v>18</v>
      </c>
      <c r="E44" s="7" t="s">
        <v>1138</v>
      </c>
      <c r="F44" s="7" t="s">
        <v>1139</v>
      </c>
      <c r="G44" s="7" t="s">
        <v>788</v>
      </c>
      <c r="H44" s="7" t="s">
        <v>37</v>
      </c>
      <c r="I44" s="7" t="s">
        <v>998</v>
      </c>
      <c r="J44" s="7" t="s">
        <v>1107</v>
      </c>
      <c r="K44" s="7" t="s">
        <v>1140</v>
      </c>
      <c r="L44" s="12">
        <v>1</v>
      </c>
      <c r="M44" s="7" t="s">
        <v>987</v>
      </c>
    </row>
    <row r="45" spans="2:13" ht="37.5" customHeight="1" x14ac:dyDescent="0.35">
      <c r="B45" s="11">
        <v>3</v>
      </c>
      <c r="C45" s="5" t="s">
        <v>1079</v>
      </c>
      <c r="D45" s="11">
        <v>19</v>
      </c>
      <c r="E45" s="5" t="s">
        <v>1141</v>
      </c>
      <c r="F45" s="5" t="s">
        <v>1142</v>
      </c>
      <c r="G45" s="5" t="s">
        <v>900</v>
      </c>
      <c r="H45" s="5" t="s">
        <v>37</v>
      </c>
      <c r="I45" s="5" t="s">
        <v>998</v>
      </c>
      <c r="J45" s="5" t="s">
        <v>1107</v>
      </c>
      <c r="K45" s="5" t="s">
        <v>1140</v>
      </c>
      <c r="L45" s="11">
        <v>1</v>
      </c>
      <c r="M45" s="5" t="s">
        <v>987</v>
      </c>
    </row>
    <row r="46" spans="2:13" ht="37.5" customHeight="1" x14ac:dyDescent="0.35">
      <c r="B46" s="12">
        <v>3</v>
      </c>
      <c r="C46" s="7" t="s">
        <v>1079</v>
      </c>
      <c r="D46" s="12">
        <v>20</v>
      </c>
      <c r="E46" s="7" t="s">
        <v>1143</v>
      </c>
      <c r="F46" s="7" t="s">
        <v>1144</v>
      </c>
      <c r="G46" s="7" t="s">
        <v>1145</v>
      </c>
      <c r="H46" s="7" t="s">
        <v>37</v>
      </c>
      <c r="I46" s="7" t="s">
        <v>998</v>
      </c>
      <c r="J46" s="7" t="s">
        <v>1107</v>
      </c>
      <c r="K46" s="7" t="s">
        <v>1140</v>
      </c>
      <c r="L46" s="12">
        <v>1</v>
      </c>
      <c r="M46" s="7" t="s">
        <v>987</v>
      </c>
    </row>
    <row r="47" spans="2:13" ht="37.5" customHeight="1" x14ac:dyDescent="0.35">
      <c r="B47" s="11">
        <v>3</v>
      </c>
      <c r="C47" s="5" t="s">
        <v>1079</v>
      </c>
      <c r="D47" s="11">
        <v>21</v>
      </c>
      <c r="E47" s="5" t="s">
        <v>1146</v>
      </c>
      <c r="F47" s="5" t="s">
        <v>1147</v>
      </c>
      <c r="G47" s="5" t="s">
        <v>1148</v>
      </c>
      <c r="H47" s="5" t="s">
        <v>37</v>
      </c>
      <c r="I47" s="5" t="s">
        <v>998</v>
      </c>
      <c r="J47" s="5" t="s">
        <v>1107</v>
      </c>
      <c r="K47" s="5" t="s">
        <v>1140</v>
      </c>
      <c r="L47" s="11">
        <v>1</v>
      </c>
      <c r="M47" s="5" t="s">
        <v>987</v>
      </c>
    </row>
    <row r="48" spans="2:13" ht="37.5" customHeight="1" x14ac:dyDescent="0.35">
      <c r="B48" s="12">
        <v>3</v>
      </c>
      <c r="C48" s="7" t="s">
        <v>1079</v>
      </c>
      <c r="D48" s="12">
        <v>22</v>
      </c>
      <c r="E48" s="7" t="s">
        <v>1149</v>
      </c>
      <c r="F48" s="7" t="s">
        <v>1150</v>
      </c>
      <c r="G48" s="7" t="s">
        <v>686</v>
      </c>
      <c r="H48" s="7" t="s">
        <v>37</v>
      </c>
      <c r="I48" s="7" t="s">
        <v>998</v>
      </c>
      <c r="J48" s="7" t="s">
        <v>1107</v>
      </c>
      <c r="K48" s="7" t="s">
        <v>1140</v>
      </c>
      <c r="L48" s="12">
        <v>1</v>
      </c>
      <c r="M48" s="7" t="s">
        <v>987</v>
      </c>
    </row>
    <row r="49" spans="2:13" ht="37.5" customHeight="1" x14ac:dyDescent="0.35">
      <c r="B49" s="11">
        <v>3</v>
      </c>
      <c r="C49" s="5" t="s">
        <v>1079</v>
      </c>
      <c r="D49" s="11">
        <v>23</v>
      </c>
      <c r="E49" s="5" t="s">
        <v>1151</v>
      </c>
      <c r="F49" s="5" t="s">
        <v>1152</v>
      </c>
      <c r="G49" s="5" t="s">
        <v>752</v>
      </c>
      <c r="H49" s="5" t="s">
        <v>37</v>
      </c>
      <c r="I49" s="5" t="s">
        <v>998</v>
      </c>
      <c r="J49" s="5" t="s">
        <v>1107</v>
      </c>
      <c r="K49" s="5" t="s">
        <v>1140</v>
      </c>
      <c r="L49" s="11">
        <v>1</v>
      </c>
      <c r="M49" s="5" t="s">
        <v>987</v>
      </c>
    </row>
    <row r="50" spans="2:13" ht="37.5" customHeight="1" x14ac:dyDescent="0.35">
      <c r="B50" s="12">
        <v>3</v>
      </c>
      <c r="C50" s="7" t="s">
        <v>1079</v>
      </c>
      <c r="D50" s="12">
        <v>24</v>
      </c>
      <c r="E50" s="7" t="s">
        <v>1153</v>
      </c>
      <c r="F50" s="7" t="s">
        <v>1154</v>
      </c>
      <c r="G50" s="7" t="s">
        <v>927</v>
      </c>
      <c r="H50" s="7" t="s">
        <v>37</v>
      </c>
      <c r="I50" s="7" t="s">
        <v>998</v>
      </c>
      <c r="J50" s="7" t="s">
        <v>1107</v>
      </c>
      <c r="K50" s="7" t="s">
        <v>1140</v>
      </c>
      <c r="L50" s="12">
        <v>1</v>
      </c>
      <c r="M50" s="7" t="s">
        <v>987</v>
      </c>
    </row>
    <row r="51" spans="2:13" ht="37.5" customHeight="1" x14ac:dyDescent="0.35">
      <c r="B51" s="11">
        <v>3</v>
      </c>
      <c r="C51" s="5" t="s">
        <v>1079</v>
      </c>
      <c r="D51" s="11">
        <v>25</v>
      </c>
      <c r="E51" s="5" t="s">
        <v>1155</v>
      </c>
      <c r="F51" s="5" t="s">
        <v>1156</v>
      </c>
      <c r="G51" s="5" t="s">
        <v>973</v>
      </c>
      <c r="H51" s="5" t="s">
        <v>37</v>
      </c>
      <c r="I51" s="5" t="s">
        <v>998</v>
      </c>
      <c r="J51" s="5" t="s">
        <v>1107</v>
      </c>
      <c r="K51" s="5" t="s">
        <v>1140</v>
      </c>
      <c r="L51" s="11">
        <v>1</v>
      </c>
      <c r="M51" s="5" t="s">
        <v>987</v>
      </c>
    </row>
    <row r="52" spans="2:13" ht="37.5" customHeight="1" x14ac:dyDescent="0.35">
      <c r="B52" s="12">
        <v>3</v>
      </c>
      <c r="C52" s="7" t="s">
        <v>1079</v>
      </c>
      <c r="D52" s="12">
        <v>26</v>
      </c>
      <c r="E52" s="7" t="s">
        <v>1157</v>
      </c>
      <c r="F52" s="7" t="s">
        <v>1158</v>
      </c>
      <c r="G52" s="7" t="s">
        <v>249</v>
      </c>
      <c r="H52" s="7" t="s">
        <v>37</v>
      </c>
      <c r="I52" s="7" t="s">
        <v>998</v>
      </c>
      <c r="J52" s="7" t="s">
        <v>1107</v>
      </c>
      <c r="K52" s="7" t="s">
        <v>1140</v>
      </c>
      <c r="L52" s="12">
        <v>1</v>
      </c>
      <c r="M52" s="7" t="s">
        <v>987</v>
      </c>
    </row>
    <row r="53" spans="2:13" ht="37.5" customHeight="1" x14ac:dyDescent="0.35">
      <c r="B53" s="11">
        <v>3</v>
      </c>
      <c r="C53" s="5" t="s">
        <v>1079</v>
      </c>
      <c r="D53" s="11">
        <v>27</v>
      </c>
      <c r="E53" s="5" t="s">
        <v>1159</v>
      </c>
      <c r="F53" s="5" t="s">
        <v>1160</v>
      </c>
      <c r="G53" s="5" t="s">
        <v>1161</v>
      </c>
      <c r="H53" s="5" t="s">
        <v>37</v>
      </c>
      <c r="I53" s="5" t="s">
        <v>998</v>
      </c>
      <c r="J53" s="5" t="s">
        <v>1107</v>
      </c>
      <c r="K53" s="5" t="s">
        <v>1140</v>
      </c>
      <c r="L53" s="11">
        <v>1</v>
      </c>
      <c r="M53" s="5" t="s">
        <v>987</v>
      </c>
    </row>
    <row r="54" spans="2:13" ht="37.5" customHeight="1" x14ac:dyDescent="0.35">
      <c r="B54" s="12">
        <v>3</v>
      </c>
      <c r="C54" s="7" t="s">
        <v>1079</v>
      </c>
      <c r="D54" s="12">
        <v>28</v>
      </c>
      <c r="E54" s="7" t="s">
        <v>1162</v>
      </c>
      <c r="F54" s="7" t="s">
        <v>1163</v>
      </c>
      <c r="G54" s="7" t="s">
        <v>1164</v>
      </c>
      <c r="H54" s="7" t="s">
        <v>37</v>
      </c>
      <c r="I54" s="7" t="s">
        <v>998</v>
      </c>
      <c r="J54" s="7" t="s">
        <v>1107</v>
      </c>
      <c r="K54" s="7" t="s">
        <v>1140</v>
      </c>
      <c r="L54" s="12">
        <v>1</v>
      </c>
      <c r="M54" s="7" t="s">
        <v>987</v>
      </c>
    </row>
    <row r="55" spans="2:13" ht="37.5" customHeight="1" x14ac:dyDescent="0.35">
      <c r="B55" s="11">
        <v>3</v>
      </c>
      <c r="C55" s="5" t="s">
        <v>1079</v>
      </c>
      <c r="D55" s="11">
        <v>29</v>
      </c>
      <c r="E55" s="5" t="s">
        <v>1165</v>
      </c>
      <c r="F55" s="5" t="s">
        <v>1166</v>
      </c>
      <c r="G55" s="5" t="s">
        <v>25</v>
      </c>
      <c r="H55" s="5" t="s">
        <v>1167</v>
      </c>
      <c r="I55" s="5" t="s">
        <v>1168</v>
      </c>
      <c r="J55" s="5" t="s">
        <v>240</v>
      </c>
      <c r="K55" s="5" t="s">
        <v>1169</v>
      </c>
      <c r="L55" s="11">
        <v>2</v>
      </c>
      <c r="M55" s="5" t="s">
        <v>987</v>
      </c>
    </row>
    <row r="56" spans="2:13" ht="37.5" customHeight="1" x14ac:dyDescent="0.35">
      <c r="B56" s="12">
        <v>3</v>
      </c>
      <c r="C56" s="7" t="s">
        <v>1079</v>
      </c>
      <c r="D56" s="12">
        <v>30</v>
      </c>
      <c r="E56" s="7" t="s">
        <v>1170</v>
      </c>
      <c r="F56" s="7" t="s">
        <v>1171</v>
      </c>
      <c r="G56" s="7" t="s">
        <v>1172</v>
      </c>
      <c r="H56" s="7" t="s">
        <v>838</v>
      </c>
      <c r="I56" s="7" t="s">
        <v>52</v>
      </c>
      <c r="J56" s="7" t="s">
        <v>213</v>
      </c>
      <c r="K56" s="7" t="s">
        <v>1031</v>
      </c>
      <c r="L56" s="12">
        <v>1</v>
      </c>
      <c r="M56" s="7" t="s">
        <v>987</v>
      </c>
    </row>
    <row r="57" spans="2:13" ht="37.5" customHeight="1" x14ac:dyDescent="0.35">
      <c r="B57" s="11">
        <v>3</v>
      </c>
      <c r="C57" s="5" t="s">
        <v>1079</v>
      </c>
      <c r="D57" s="11">
        <v>31</v>
      </c>
      <c r="E57" s="5" t="s">
        <v>1173</v>
      </c>
      <c r="F57" s="5" t="s">
        <v>1174</v>
      </c>
      <c r="G57" s="5" t="s">
        <v>1175</v>
      </c>
      <c r="H57" s="5" t="s">
        <v>838</v>
      </c>
      <c r="I57" s="5" t="s">
        <v>52</v>
      </c>
      <c r="J57" s="5" t="s">
        <v>213</v>
      </c>
      <c r="K57" s="5" t="s">
        <v>1031</v>
      </c>
      <c r="L57" s="11">
        <v>1</v>
      </c>
      <c r="M57" s="5" t="s">
        <v>987</v>
      </c>
    </row>
    <row r="58" spans="2:13" ht="37.5" customHeight="1" x14ac:dyDescent="0.35">
      <c r="B58" s="12">
        <v>3</v>
      </c>
      <c r="C58" s="7" t="s">
        <v>1079</v>
      </c>
      <c r="D58" s="12">
        <v>32</v>
      </c>
      <c r="E58" s="7" t="s">
        <v>1176</v>
      </c>
      <c r="F58" s="7" t="s">
        <v>1177</v>
      </c>
      <c r="G58" s="7" t="s">
        <v>30</v>
      </c>
      <c r="H58" s="7" t="s">
        <v>1023</v>
      </c>
      <c r="I58" s="7" t="s">
        <v>56</v>
      </c>
      <c r="J58" s="7" t="s">
        <v>213</v>
      </c>
      <c r="K58" s="7" t="s">
        <v>1024</v>
      </c>
      <c r="L58" s="12">
        <v>2</v>
      </c>
      <c r="M58" s="7" t="s">
        <v>987</v>
      </c>
    </row>
    <row r="59" spans="2:13" ht="37.5" customHeight="1" x14ac:dyDescent="0.35">
      <c r="B59" s="11">
        <v>3</v>
      </c>
      <c r="C59" s="5" t="s">
        <v>1079</v>
      </c>
      <c r="D59" s="11">
        <v>33</v>
      </c>
      <c r="E59" s="5" t="s">
        <v>1178</v>
      </c>
      <c r="F59" s="5" t="s">
        <v>1179</v>
      </c>
      <c r="G59" s="5" t="s">
        <v>1180</v>
      </c>
      <c r="H59" s="5" t="s">
        <v>37</v>
      </c>
      <c r="I59" s="5" t="s">
        <v>998</v>
      </c>
      <c r="J59" s="5" t="s">
        <v>1107</v>
      </c>
      <c r="K59" s="5" t="s">
        <v>1140</v>
      </c>
      <c r="L59" s="11">
        <v>1</v>
      </c>
      <c r="M59" s="5" t="s">
        <v>987</v>
      </c>
    </row>
    <row r="60" spans="2:13" ht="37.5" customHeight="1" x14ac:dyDescent="0.35">
      <c r="B60" s="12">
        <v>3</v>
      </c>
      <c r="C60" s="7" t="s">
        <v>1079</v>
      </c>
      <c r="D60" s="12">
        <v>34</v>
      </c>
      <c r="E60" s="7" t="s">
        <v>1181</v>
      </c>
      <c r="F60" s="7" t="s">
        <v>1182</v>
      </c>
      <c r="G60" s="7" t="s">
        <v>1183</v>
      </c>
      <c r="H60" s="7" t="s">
        <v>838</v>
      </c>
      <c r="I60" s="7" t="s">
        <v>52</v>
      </c>
      <c r="J60" s="7" t="s">
        <v>213</v>
      </c>
      <c r="K60" s="7" t="s">
        <v>1031</v>
      </c>
      <c r="L60" s="12">
        <v>1</v>
      </c>
      <c r="M60" s="7" t="s">
        <v>987</v>
      </c>
    </row>
    <row r="61" spans="2:13" ht="52.5" customHeight="1" x14ac:dyDescent="0.35">
      <c r="B61" s="11">
        <v>3</v>
      </c>
      <c r="C61" s="5" t="s">
        <v>1079</v>
      </c>
      <c r="D61" s="11">
        <v>35</v>
      </c>
      <c r="E61" s="5" t="s">
        <v>1184</v>
      </c>
      <c r="F61" s="5" t="s">
        <v>1185</v>
      </c>
      <c r="G61" s="5" t="s">
        <v>428</v>
      </c>
      <c r="H61" s="5" t="s">
        <v>1056</v>
      </c>
      <c r="I61" s="5" t="s">
        <v>1057</v>
      </c>
      <c r="J61" s="5" t="s">
        <v>213</v>
      </c>
      <c r="K61" s="5" t="s">
        <v>1058</v>
      </c>
      <c r="L61" s="11">
        <v>2</v>
      </c>
      <c r="M61" s="5" t="s">
        <v>987</v>
      </c>
    </row>
    <row r="62" spans="2:13" ht="37.5" customHeight="1" x14ac:dyDescent="0.35">
      <c r="B62" s="12">
        <v>3</v>
      </c>
      <c r="C62" s="7" t="s">
        <v>1079</v>
      </c>
      <c r="D62" s="12">
        <v>36</v>
      </c>
      <c r="E62" s="7" t="s">
        <v>1186</v>
      </c>
      <c r="F62" s="7" t="s">
        <v>1187</v>
      </c>
      <c r="G62" s="7" t="s">
        <v>188</v>
      </c>
      <c r="H62" s="7" t="s">
        <v>838</v>
      </c>
      <c r="I62" s="7" t="s">
        <v>52</v>
      </c>
      <c r="J62" s="7" t="s">
        <v>213</v>
      </c>
      <c r="K62" s="7" t="s">
        <v>1031</v>
      </c>
      <c r="L62" s="12">
        <v>1</v>
      </c>
      <c r="M62" s="7" t="s">
        <v>987</v>
      </c>
    </row>
    <row r="63" spans="2:13" ht="37.5" customHeight="1" x14ac:dyDescent="0.35">
      <c r="B63" s="11">
        <v>3</v>
      </c>
      <c r="C63" s="5" t="s">
        <v>1079</v>
      </c>
      <c r="D63" s="11">
        <v>37</v>
      </c>
      <c r="E63" s="5" t="s">
        <v>1188</v>
      </c>
      <c r="F63" s="5" t="s">
        <v>1189</v>
      </c>
      <c r="G63" s="5" t="s">
        <v>1190</v>
      </c>
      <c r="H63" s="5" t="s">
        <v>37</v>
      </c>
      <c r="I63" s="5" t="s">
        <v>1191</v>
      </c>
      <c r="J63" s="5" t="s">
        <v>1192</v>
      </c>
      <c r="K63" s="5" t="s">
        <v>1193</v>
      </c>
      <c r="L63" s="11">
        <v>1</v>
      </c>
      <c r="M63" s="5" t="s">
        <v>987</v>
      </c>
    </row>
    <row r="64" spans="2:13" ht="67.5" customHeight="1" x14ac:dyDescent="0.35">
      <c r="B64" s="12">
        <v>3</v>
      </c>
      <c r="C64" s="7" t="s">
        <v>1079</v>
      </c>
      <c r="D64" s="12">
        <v>38</v>
      </c>
      <c r="E64" s="7" t="s">
        <v>1194</v>
      </c>
      <c r="F64" s="7" t="s">
        <v>1195</v>
      </c>
      <c r="G64" s="7" t="s">
        <v>1196</v>
      </c>
      <c r="H64" s="7" t="s">
        <v>1197</v>
      </c>
      <c r="I64" s="7" t="s">
        <v>1198</v>
      </c>
      <c r="J64" s="7" t="s">
        <v>1199</v>
      </c>
      <c r="K64" s="7" t="s">
        <v>1200</v>
      </c>
      <c r="L64" s="12">
        <v>3</v>
      </c>
      <c r="M64" s="7" t="s">
        <v>987</v>
      </c>
    </row>
    <row r="65" spans="2:13" ht="37.5" customHeight="1" x14ac:dyDescent="0.35">
      <c r="B65" s="11">
        <v>3</v>
      </c>
      <c r="C65" s="5" t="s">
        <v>1079</v>
      </c>
      <c r="D65" s="11">
        <v>39</v>
      </c>
      <c r="E65" s="5" t="s">
        <v>1201</v>
      </c>
      <c r="F65" s="5" t="s">
        <v>1202</v>
      </c>
      <c r="G65" s="5" t="s">
        <v>1203</v>
      </c>
      <c r="H65" s="5" t="s">
        <v>37</v>
      </c>
      <c r="I65" s="5" t="s">
        <v>1191</v>
      </c>
      <c r="J65" s="5" t="s">
        <v>1192</v>
      </c>
      <c r="K65" s="5" t="s">
        <v>1193</v>
      </c>
      <c r="L65" s="11">
        <v>1</v>
      </c>
      <c r="M65" s="5" t="s">
        <v>987</v>
      </c>
    </row>
    <row r="66" spans="2:13" ht="37.5" customHeight="1" x14ac:dyDescent="0.35">
      <c r="B66" s="12">
        <v>3</v>
      </c>
      <c r="C66" s="7" t="s">
        <v>1079</v>
      </c>
      <c r="D66" s="12">
        <v>40</v>
      </c>
      <c r="E66" s="7" t="s">
        <v>1204</v>
      </c>
      <c r="F66" s="7" t="s">
        <v>1205</v>
      </c>
      <c r="G66" s="7" t="s">
        <v>1206</v>
      </c>
      <c r="H66" s="7" t="s">
        <v>37</v>
      </c>
      <c r="I66" s="7" t="s">
        <v>1191</v>
      </c>
      <c r="J66" s="7" t="s">
        <v>1192</v>
      </c>
      <c r="K66" s="7" t="s">
        <v>1193</v>
      </c>
      <c r="L66" s="12">
        <v>1</v>
      </c>
      <c r="M66" s="7" t="s">
        <v>987</v>
      </c>
    </row>
    <row r="67" spans="2:13" ht="37.5" customHeight="1" x14ac:dyDescent="0.35">
      <c r="B67" s="11">
        <v>3</v>
      </c>
      <c r="C67" s="5" t="s">
        <v>1079</v>
      </c>
      <c r="D67" s="11">
        <v>41</v>
      </c>
      <c r="E67" s="5" t="s">
        <v>1207</v>
      </c>
      <c r="F67" s="5" t="s">
        <v>1208</v>
      </c>
      <c r="G67" s="5" t="s">
        <v>541</v>
      </c>
      <c r="H67" s="5" t="s">
        <v>37</v>
      </c>
      <c r="I67" s="5" t="s">
        <v>1191</v>
      </c>
      <c r="J67" s="5" t="s">
        <v>1192</v>
      </c>
      <c r="K67" s="5" t="s">
        <v>1193</v>
      </c>
      <c r="L67" s="11">
        <v>1</v>
      </c>
      <c r="M67" s="5" t="s">
        <v>987</v>
      </c>
    </row>
    <row r="68" spans="2:13" ht="37.5" customHeight="1" x14ac:dyDescent="0.35">
      <c r="B68" s="12">
        <v>3</v>
      </c>
      <c r="C68" s="7" t="s">
        <v>1079</v>
      </c>
      <c r="D68" s="12">
        <v>42</v>
      </c>
      <c r="E68" s="7" t="s">
        <v>1209</v>
      </c>
      <c r="F68" s="7" t="s">
        <v>1210</v>
      </c>
      <c r="G68" s="7" t="s">
        <v>1211</v>
      </c>
      <c r="H68" s="7" t="s">
        <v>37</v>
      </c>
      <c r="I68" s="7" t="s">
        <v>1191</v>
      </c>
      <c r="J68" s="7" t="s">
        <v>1192</v>
      </c>
      <c r="K68" s="7" t="s">
        <v>1193</v>
      </c>
      <c r="L68" s="12">
        <v>1</v>
      </c>
      <c r="M68" s="7" t="s">
        <v>987</v>
      </c>
    </row>
    <row r="69" spans="2:13" ht="37.5" customHeight="1" x14ac:dyDescent="0.35">
      <c r="B69" s="11">
        <v>3</v>
      </c>
      <c r="C69" s="5" t="s">
        <v>1079</v>
      </c>
      <c r="D69" s="11">
        <v>43</v>
      </c>
      <c r="E69" s="5" t="s">
        <v>1212</v>
      </c>
      <c r="F69" s="5" t="s">
        <v>1213</v>
      </c>
      <c r="G69" s="5" t="s">
        <v>1214</v>
      </c>
      <c r="H69" s="5" t="s">
        <v>37</v>
      </c>
      <c r="I69" s="5" t="s">
        <v>1191</v>
      </c>
      <c r="J69" s="5" t="s">
        <v>1192</v>
      </c>
      <c r="K69" s="5" t="s">
        <v>1193</v>
      </c>
      <c r="L69" s="11">
        <v>1</v>
      </c>
      <c r="M69" s="5" t="s">
        <v>987</v>
      </c>
    </row>
    <row r="70" spans="2:13" ht="37.5" customHeight="1" x14ac:dyDescent="0.35">
      <c r="B70" s="12">
        <v>3</v>
      </c>
      <c r="C70" s="7" t="s">
        <v>1079</v>
      </c>
      <c r="D70" s="12">
        <v>44</v>
      </c>
      <c r="E70" s="7" t="s">
        <v>1215</v>
      </c>
      <c r="F70" s="7" t="s">
        <v>1216</v>
      </c>
      <c r="G70" s="7" t="s">
        <v>800</v>
      </c>
      <c r="H70" s="7" t="s">
        <v>306</v>
      </c>
      <c r="I70" s="7" t="s">
        <v>1217</v>
      </c>
      <c r="J70" s="7" t="s">
        <v>1218</v>
      </c>
      <c r="K70" s="7" t="s">
        <v>1219</v>
      </c>
      <c r="L70" s="12">
        <v>2</v>
      </c>
      <c r="M70" s="7" t="s">
        <v>987</v>
      </c>
    </row>
    <row r="71" spans="2:13" ht="52.5" customHeight="1" x14ac:dyDescent="0.35">
      <c r="B71" s="11">
        <v>3</v>
      </c>
      <c r="C71" s="5" t="s">
        <v>1079</v>
      </c>
      <c r="D71" s="11">
        <v>45</v>
      </c>
      <c r="E71" s="5" t="s">
        <v>1220</v>
      </c>
      <c r="F71" s="5" t="s">
        <v>1221</v>
      </c>
      <c r="G71" s="5" t="s">
        <v>279</v>
      </c>
      <c r="H71" s="5" t="s">
        <v>433</v>
      </c>
      <c r="I71" s="5" t="s">
        <v>1222</v>
      </c>
      <c r="J71" s="5" t="s">
        <v>1218</v>
      </c>
      <c r="K71" s="5" t="s">
        <v>1223</v>
      </c>
      <c r="L71" s="11">
        <v>2</v>
      </c>
      <c r="M71" s="5" t="s">
        <v>987</v>
      </c>
    </row>
    <row r="72" spans="2:13" ht="37.5" customHeight="1" x14ac:dyDescent="0.35">
      <c r="B72" s="12">
        <v>3</v>
      </c>
      <c r="C72" s="7" t="s">
        <v>1079</v>
      </c>
      <c r="D72" s="12">
        <v>46</v>
      </c>
      <c r="E72" s="7" t="s">
        <v>1224</v>
      </c>
      <c r="F72" s="7" t="s">
        <v>1225</v>
      </c>
      <c r="G72" s="7" t="s">
        <v>1226</v>
      </c>
      <c r="H72" s="7" t="s">
        <v>1167</v>
      </c>
      <c r="I72" s="7" t="s">
        <v>1227</v>
      </c>
      <c r="J72" s="7" t="s">
        <v>1228</v>
      </c>
      <c r="K72" s="7" t="s">
        <v>1229</v>
      </c>
      <c r="L72" s="12">
        <v>2</v>
      </c>
      <c r="M72" s="7" t="s">
        <v>987</v>
      </c>
    </row>
    <row r="73" spans="2:13" ht="37.5" customHeight="1" x14ac:dyDescent="0.35">
      <c r="B73" s="11">
        <v>3</v>
      </c>
      <c r="C73" s="5" t="s">
        <v>1079</v>
      </c>
      <c r="D73" s="11">
        <v>47</v>
      </c>
      <c r="E73" s="5" t="s">
        <v>1230</v>
      </c>
      <c r="F73" s="5" t="s">
        <v>1231</v>
      </c>
      <c r="G73" s="5" t="s">
        <v>185</v>
      </c>
      <c r="H73" s="5" t="s">
        <v>38</v>
      </c>
      <c r="I73" s="5" t="s">
        <v>53</v>
      </c>
      <c r="J73" s="5" t="s">
        <v>154</v>
      </c>
      <c r="K73" s="5" t="s">
        <v>1232</v>
      </c>
      <c r="L73" s="11">
        <v>1</v>
      </c>
      <c r="M73" s="5" t="s">
        <v>987</v>
      </c>
    </row>
    <row r="74" spans="2:13" ht="52.5" customHeight="1" x14ac:dyDescent="0.35">
      <c r="B74" s="12">
        <v>3</v>
      </c>
      <c r="C74" s="7" t="s">
        <v>1079</v>
      </c>
      <c r="D74" s="12">
        <v>48</v>
      </c>
      <c r="E74" s="7" t="s">
        <v>1233</v>
      </c>
      <c r="F74" s="7" t="s">
        <v>1234</v>
      </c>
      <c r="G74" s="7" t="s">
        <v>1235</v>
      </c>
      <c r="H74" s="7" t="s">
        <v>1056</v>
      </c>
      <c r="I74" s="7" t="s">
        <v>1057</v>
      </c>
      <c r="J74" s="7" t="s">
        <v>213</v>
      </c>
      <c r="K74" s="7" t="s">
        <v>1058</v>
      </c>
      <c r="L74" s="12">
        <v>2</v>
      </c>
      <c r="M74" s="7" t="s">
        <v>987</v>
      </c>
    </row>
    <row r="75" spans="2:13" ht="37.5" customHeight="1" x14ac:dyDescent="0.35">
      <c r="B75" s="11">
        <v>3</v>
      </c>
      <c r="C75" s="5" t="s">
        <v>1079</v>
      </c>
      <c r="D75" s="11">
        <v>49</v>
      </c>
      <c r="E75" s="5" t="s">
        <v>1236</v>
      </c>
      <c r="F75" s="5" t="s">
        <v>1237</v>
      </c>
      <c r="G75" s="5" t="s">
        <v>582</v>
      </c>
      <c r="H75" s="5" t="s">
        <v>838</v>
      </c>
      <c r="I75" s="5" t="s">
        <v>52</v>
      </c>
      <c r="J75" s="5" t="s">
        <v>213</v>
      </c>
      <c r="K75" s="5" t="s">
        <v>1031</v>
      </c>
      <c r="L75" s="11">
        <v>1</v>
      </c>
      <c r="M75" s="5" t="s">
        <v>987</v>
      </c>
    </row>
    <row r="76" spans="2:13" ht="37.5" customHeight="1" x14ac:dyDescent="0.35">
      <c r="B76" s="12">
        <v>3</v>
      </c>
      <c r="C76" s="7" t="s">
        <v>1079</v>
      </c>
      <c r="D76" s="12">
        <v>50</v>
      </c>
      <c r="E76" s="7" t="s">
        <v>1238</v>
      </c>
      <c r="F76" s="7" t="s">
        <v>1239</v>
      </c>
      <c r="G76" s="7" t="s">
        <v>1240</v>
      </c>
      <c r="H76" s="7" t="s">
        <v>403</v>
      </c>
      <c r="I76" s="7" t="s">
        <v>52</v>
      </c>
      <c r="J76" s="7" t="s">
        <v>213</v>
      </c>
      <c r="K76" s="7" t="s">
        <v>1241</v>
      </c>
      <c r="L76" s="12">
        <v>1</v>
      </c>
      <c r="M76" s="7" t="s">
        <v>987</v>
      </c>
    </row>
    <row r="77" spans="2:13" ht="37.5" customHeight="1" x14ac:dyDescent="0.35">
      <c r="B77" s="11">
        <v>3</v>
      </c>
      <c r="C77" s="5" t="s">
        <v>1079</v>
      </c>
      <c r="D77" s="11">
        <v>51</v>
      </c>
      <c r="E77" s="5" t="s">
        <v>1242</v>
      </c>
      <c r="F77" s="5" t="s">
        <v>1243</v>
      </c>
      <c r="G77" s="5" t="s">
        <v>1244</v>
      </c>
      <c r="H77" s="5" t="s">
        <v>38</v>
      </c>
      <c r="I77" s="5" t="s">
        <v>53</v>
      </c>
      <c r="J77" s="5" t="s">
        <v>213</v>
      </c>
      <c r="K77" s="5" t="s">
        <v>1245</v>
      </c>
      <c r="L77" s="11">
        <v>1</v>
      </c>
      <c r="M77" s="5" t="s">
        <v>987</v>
      </c>
    </row>
    <row r="78" spans="2:13" ht="37.5" customHeight="1" x14ac:dyDescent="0.35">
      <c r="B78" s="12">
        <v>3</v>
      </c>
      <c r="C78" s="7" t="s">
        <v>1079</v>
      </c>
      <c r="D78" s="12">
        <v>52</v>
      </c>
      <c r="E78" s="7" t="s">
        <v>1246</v>
      </c>
      <c r="F78" s="7" t="s">
        <v>1247</v>
      </c>
      <c r="G78" s="7" t="s">
        <v>237</v>
      </c>
      <c r="H78" s="7" t="s">
        <v>37</v>
      </c>
      <c r="I78" s="7" t="s">
        <v>1248</v>
      </c>
      <c r="J78" s="7" t="s">
        <v>1107</v>
      </c>
      <c r="K78" s="7" t="s">
        <v>1249</v>
      </c>
      <c r="L78" s="12">
        <v>1</v>
      </c>
      <c r="M78" s="7" t="s">
        <v>987</v>
      </c>
    </row>
    <row r="79" spans="2:13" ht="37.5" customHeight="1" x14ac:dyDescent="0.35">
      <c r="B79" s="11">
        <v>3</v>
      </c>
      <c r="C79" s="5" t="s">
        <v>1079</v>
      </c>
      <c r="D79" s="11">
        <v>53</v>
      </c>
      <c r="E79" s="5" t="s">
        <v>1250</v>
      </c>
      <c r="F79" s="5" t="s">
        <v>1251</v>
      </c>
      <c r="G79" s="5" t="s">
        <v>1252</v>
      </c>
      <c r="H79" s="5" t="s">
        <v>306</v>
      </c>
      <c r="I79" s="5" t="s">
        <v>1253</v>
      </c>
      <c r="J79" s="5" t="s">
        <v>1218</v>
      </c>
      <c r="K79" s="5" t="s">
        <v>1254</v>
      </c>
      <c r="L79" s="11">
        <v>2</v>
      </c>
      <c r="M79" s="5" t="s">
        <v>987</v>
      </c>
    </row>
    <row r="80" spans="2:13" ht="37.5" customHeight="1" x14ac:dyDescent="0.35">
      <c r="B80" s="12">
        <v>3</v>
      </c>
      <c r="C80" s="7" t="s">
        <v>1079</v>
      </c>
      <c r="D80" s="12">
        <v>54</v>
      </c>
      <c r="E80" s="7" t="s">
        <v>1255</v>
      </c>
      <c r="F80" s="7" t="s">
        <v>1256</v>
      </c>
      <c r="G80" s="7" t="s">
        <v>202</v>
      </c>
      <c r="H80" s="7" t="s">
        <v>817</v>
      </c>
      <c r="I80" s="7" t="s">
        <v>52</v>
      </c>
      <c r="J80" s="7" t="s">
        <v>213</v>
      </c>
      <c r="K80" s="7" t="s">
        <v>994</v>
      </c>
      <c r="L80" s="12">
        <v>1</v>
      </c>
      <c r="M80" s="7" t="s">
        <v>987</v>
      </c>
    </row>
    <row r="81" spans="2:13" ht="37.5" customHeight="1" x14ac:dyDescent="0.35">
      <c r="B81" s="11">
        <v>3</v>
      </c>
      <c r="C81" s="5" t="s">
        <v>1079</v>
      </c>
      <c r="D81" s="11">
        <v>55</v>
      </c>
      <c r="E81" s="5" t="s">
        <v>1257</v>
      </c>
      <c r="F81" s="5" t="s">
        <v>1258</v>
      </c>
      <c r="G81" s="5" t="s">
        <v>877</v>
      </c>
      <c r="H81" s="5" t="s">
        <v>36</v>
      </c>
      <c r="I81" s="5" t="s">
        <v>1259</v>
      </c>
      <c r="J81" s="5" t="s">
        <v>213</v>
      </c>
      <c r="K81" s="5" t="s">
        <v>1260</v>
      </c>
      <c r="L81" s="11">
        <v>1</v>
      </c>
      <c r="M81" s="5" t="s">
        <v>987</v>
      </c>
    </row>
    <row r="82" spans="2:13" ht="37.5" customHeight="1" x14ac:dyDescent="0.35">
      <c r="B82" s="12">
        <v>3</v>
      </c>
      <c r="C82" s="7" t="s">
        <v>1079</v>
      </c>
      <c r="D82" s="12">
        <v>56</v>
      </c>
      <c r="E82" s="7" t="s">
        <v>1261</v>
      </c>
      <c r="F82" s="7" t="s">
        <v>1262</v>
      </c>
      <c r="G82" s="7" t="s">
        <v>1263</v>
      </c>
      <c r="H82" s="7" t="s">
        <v>37</v>
      </c>
      <c r="I82" s="7" t="s">
        <v>1264</v>
      </c>
      <c r="J82" s="7" t="s">
        <v>1107</v>
      </c>
      <c r="K82" s="7" t="s">
        <v>1265</v>
      </c>
      <c r="L82" s="12">
        <v>1</v>
      </c>
      <c r="M82" s="7" t="s">
        <v>987</v>
      </c>
    </row>
    <row r="83" spans="2:13" ht="37.5" customHeight="1" x14ac:dyDescent="0.35">
      <c r="B83" s="11">
        <v>4</v>
      </c>
      <c r="C83" s="5" t="s">
        <v>1266</v>
      </c>
      <c r="D83" s="11">
        <v>1</v>
      </c>
      <c r="E83" s="5" t="s">
        <v>1267</v>
      </c>
      <c r="F83" s="5" t="s">
        <v>1268</v>
      </c>
      <c r="G83" s="5" t="s">
        <v>1269</v>
      </c>
      <c r="H83" s="5" t="s">
        <v>37</v>
      </c>
      <c r="I83" s="5" t="s">
        <v>1264</v>
      </c>
      <c r="J83" s="5" t="s">
        <v>1107</v>
      </c>
      <c r="K83" s="5" t="s">
        <v>1265</v>
      </c>
      <c r="L83" s="11">
        <v>1</v>
      </c>
      <c r="M83" s="5" t="s">
        <v>987</v>
      </c>
    </row>
    <row r="84" spans="2:13" ht="37.5" customHeight="1" x14ac:dyDescent="0.35">
      <c r="B84" s="12">
        <v>4</v>
      </c>
      <c r="C84" s="7" t="s">
        <v>1266</v>
      </c>
      <c r="D84" s="12">
        <v>2</v>
      </c>
      <c r="E84" s="7" t="s">
        <v>1270</v>
      </c>
      <c r="F84" s="7" t="s">
        <v>1271</v>
      </c>
      <c r="G84" s="7" t="s">
        <v>206</v>
      </c>
      <c r="H84" s="7" t="s">
        <v>37</v>
      </c>
      <c r="I84" s="7" t="s">
        <v>1264</v>
      </c>
      <c r="J84" s="7" t="s">
        <v>1107</v>
      </c>
      <c r="K84" s="7" t="s">
        <v>1265</v>
      </c>
      <c r="L84" s="12">
        <v>1</v>
      </c>
      <c r="M84" s="7" t="s">
        <v>987</v>
      </c>
    </row>
    <row r="85" spans="2:13" ht="52.5" customHeight="1" x14ac:dyDescent="0.35">
      <c r="B85" s="11">
        <v>4</v>
      </c>
      <c r="C85" s="5" t="s">
        <v>1266</v>
      </c>
      <c r="D85" s="11">
        <v>3</v>
      </c>
      <c r="E85" s="5" t="s">
        <v>1272</v>
      </c>
      <c r="F85" s="5" t="s">
        <v>1273</v>
      </c>
      <c r="G85" s="5" t="s">
        <v>1206</v>
      </c>
      <c r="H85" s="5" t="s">
        <v>930</v>
      </c>
      <c r="I85" s="5" t="s">
        <v>1274</v>
      </c>
      <c r="J85" s="5" t="s">
        <v>1218</v>
      </c>
      <c r="K85" s="5" t="s">
        <v>1275</v>
      </c>
      <c r="L85" s="11">
        <v>2</v>
      </c>
      <c r="M85" s="5" t="s">
        <v>987</v>
      </c>
    </row>
    <row r="86" spans="2:13" ht="37.5" customHeight="1" x14ac:dyDescent="0.35">
      <c r="B86" s="12">
        <v>5</v>
      </c>
      <c r="C86" s="7" t="s">
        <v>1276</v>
      </c>
      <c r="D86" s="12">
        <v>1</v>
      </c>
      <c r="E86" s="7" t="s">
        <v>1277</v>
      </c>
      <c r="F86" s="7" t="s">
        <v>1278</v>
      </c>
      <c r="G86" s="7" t="s">
        <v>993</v>
      </c>
      <c r="H86" s="7" t="s">
        <v>37</v>
      </c>
      <c r="I86" s="7" t="s">
        <v>1106</v>
      </c>
      <c r="J86" s="7" t="s">
        <v>1107</v>
      </c>
      <c r="K86" s="7" t="s">
        <v>1108</v>
      </c>
      <c r="L86" s="12">
        <v>1</v>
      </c>
      <c r="M86" s="7" t="s">
        <v>987</v>
      </c>
    </row>
    <row r="87" spans="2:13" ht="67.5" customHeight="1" x14ac:dyDescent="0.35">
      <c r="B87" s="11">
        <v>6</v>
      </c>
      <c r="C87" s="5" t="s">
        <v>1279</v>
      </c>
      <c r="D87" s="11">
        <v>1</v>
      </c>
      <c r="E87" s="5" t="s">
        <v>1280</v>
      </c>
      <c r="F87" s="5" t="s">
        <v>1281</v>
      </c>
      <c r="G87" s="5" t="s">
        <v>25</v>
      </c>
      <c r="H87" s="5" t="s">
        <v>1282</v>
      </c>
      <c r="I87" s="5" t="s">
        <v>1283</v>
      </c>
      <c r="J87" s="5" t="s">
        <v>1284</v>
      </c>
      <c r="K87" s="5" t="s">
        <v>1285</v>
      </c>
      <c r="L87" s="11">
        <v>4</v>
      </c>
      <c r="M87" s="5" t="s">
        <v>987</v>
      </c>
    </row>
    <row r="88" spans="2:13" ht="37.5" customHeight="1" x14ac:dyDescent="0.35">
      <c r="B88" s="12">
        <v>6</v>
      </c>
      <c r="C88" s="7" t="s">
        <v>1279</v>
      </c>
      <c r="D88" s="12">
        <v>2</v>
      </c>
      <c r="E88" s="7" t="s">
        <v>1286</v>
      </c>
      <c r="F88" s="7" t="s">
        <v>1287</v>
      </c>
      <c r="G88" s="7" t="s">
        <v>536</v>
      </c>
      <c r="H88" s="7" t="s">
        <v>838</v>
      </c>
      <c r="I88" s="7" t="s">
        <v>52</v>
      </c>
      <c r="J88" s="7" t="s">
        <v>213</v>
      </c>
      <c r="K88" s="7" t="s">
        <v>1031</v>
      </c>
      <c r="L88" s="12">
        <v>1</v>
      </c>
      <c r="M88" s="7" t="s">
        <v>987</v>
      </c>
    </row>
    <row r="89" spans="2:13" ht="37.5" customHeight="1" x14ac:dyDescent="0.35">
      <c r="B89" s="11">
        <v>6</v>
      </c>
      <c r="C89" s="5" t="s">
        <v>1279</v>
      </c>
      <c r="D89" s="11">
        <v>3</v>
      </c>
      <c r="E89" s="5" t="s">
        <v>1288</v>
      </c>
      <c r="F89" s="5" t="s">
        <v>1289</v>
      </c>
      <c r="G89" s="5" t="s">
        <v>1290</v>
      </c>
      <c r="H89" s="5" t="s">
        <v>37</v>
      </c>
      <c r="I89" s="5" t="s">
        <v>1248</v>
      </c>
      <c r="J89" s="5" t="s">
        <v>1107</v>
      </c>
      <c r="K89" s="5" t="s">
        <v>1249</v>
      </c>
      <c r="L89" s="11">
        <v>1</v>
      </c>
      <c r="M89" s="5" t="s">
        <v>987</v>
      </c>
    </row>
    <row r="90" spans="2:13" ht="52.5" customHeight="1" x14ac:dyDescent="0.35">
      <c r="B90" s="12">
        <v>7</v>
      </c>
      <c r="C90" s="7" t="s">
        <v>1291</v>
      </c>
      <c r="D90" s="12">
        <v>1</v>
      </c>
      <c r="E90" s="7" t="s">
        <v>1292</v>
      </c>
      <c r="F90" s="7" t="s">
        <v>1293</v>
      </c>
      <c r="G90" s="7" t="s">
        <v>1294</v>
      </c>
      <c r="H90" s="7" t="s">
        <v>1295</v>
      </c>
      <c r="I90" s="7" t="s">
        <v>1296</v>
      </c>
      <c r="J90" s="7" t="s">
        <v>404</v>
      </c>
      <c r="K90" s="7" t="s">
        <v>1297</v>
      </c>
      <c r="L90" s="12">
        <v>2</v>
      </c>
      <c r="M90" s="7" t="s">
        <v>1298</v>
      </c>
    </row>
    <row r="91" spans="2:13" ht="37.5" customHeight="1" x14ac:dyDescent="0.35">
      <c r="B91" s="11">
        <v>8</v>
      </c>
      <c r="C91" s="5" t="s">
        <v>1299</v>
      </c>
      <c r="D91" s="11">
        <v>1</v>
      </c>
      <c r="E91" s="5" t="s">
        <v>1300</v>
      </c>
      <c r="F91" s="5" t="s">
        <v>1301</v>
      </c>
      <c r="G91" s="5" t="s">
        <v>30</v>
      </c>
      <c r="H91" s="5" t="s">
        <v>817</v>
      </c>
      <c r="I91" s="5" t="s">
        <v>52</v>
      </c>
      <c r="J91" s="5" t="s">
        <v>213</v>
      </c>
      <c r="K91" s="5" t="s">
        <v>994</v>
      </c>
      <c r="L91" s="11">
        <v>1</v>
      </c>
      <c r="M91" s="5" t="s">
        <v>1302</v>
      </c>
    </row>
    <row r="92" spans="2:13" ht="37.5" customHeight="1" x14ac:dyDescent="0.35">
      <c r="B92" s="12">
        <v>9</v>
      </c>
      <c r="C92" s="7" t="s">
        <v>1303</v>
      </c>
      <c r="D92" s="12">
        <v>1</v>
      </c>
      <c r="E92" s="7" t="s">
        <v>1304</v>
      </c>
      <c r="F92" s="7" t="s">
        <v>1305</v>
      </c>
      <c r="G92" s="7" t="s">
        <v>653</v>
      </c>
      <c r="H92" s="7" t="s">
        <v>38</v>
      </c>
      <c r="I92" s="7" t="s">
        <v>53</v>
      </c>
      <c r="J92" s="7" t="s">
        <v>404</v>
      </c>
      <c r="K92" s="7" t="s">
        <v>1306</v>
      </c>
      <c r="L92" s="12">
        <v>1</v>
      </c>
      <c r="M92" s="7"/>
    </row>
    <row r="93" spans="2:13" ht="82.5" customHeight="1" x14ac:dyDescent="0.35">
      <c r="B93" s="11">
        <v>9</v>
      </c>
      <c r="C93" s="5" t="s">
        <v>1303</v>
      </c>
      <c r="D93" s="11">
        <v>2</v>
      </c>
      <c r="E93" s="5" t="s">
        <v>1307</v>
      </c>
      <c r="F93" s="5" t="s">
        <v>1308</v>
      </c>
      <c r="G93" s="5" t="s">
        <v>25</v>
      </c>
      <c r="H93" s="5" t="s">
        <v>1309</v>
      </c>
      <c r="I93" s="5" t="s">
        <v>1310</v>
      </c>
      <c r="J93" s="5" t="s">
        <v>1311</v>
      </c>
      <c r="K93" s="5" t="s">
        <v>1312</v>
      </c>
      <c r="L93" s="11">
        <v>4</v>
      </c>
      <c r="M93" s="5"/>
    </row>
    <row r="94" spans="2:13" ht="21.75" customHeight="1" x14ac:dyDescent="0.35">
      <c r="B94" s="12">
        <v>9</v>
      </c>
      <c r="C94" s="7" t="s">
        <v>1303</v>
      </c>
      <c r="D94" s="12">
        <v>3</v>
      </c>
      <c r="E94" s="7" t="s">
        <v>1313</v>
      </c>
      <c r="F94" s="7" t="s">
        <v>1314</v>
      </c>
      <c r="G94" s="7" t="s">
        <v>27</v>
      </c>
      <c r="H94" s="7" t="s">
        <v>43</v>
      </c>
      <c r="I94" s="7" t="s">
        <v>806</v>
      </c>
      <c r="J94" s="7" t="s">
        <v>404</v>
      </c>
      <c r="K94" s="7" t="s">
        <v>807</v>
      </c>
      <c r="L94" s="12">
        <v>1</v>
      </c>
      <c r="M94" s="7"/>
    </row>
    <row r="95" spans="2:13" ht="37.5" customHeight="1" x14ac:dyDescent="0.35">
      <c r="B95" s="11">
        <v>9</v>
      </c>
      <c r="C95" s="5" t="s">
        <v>1303</v>
      </c>
      <c r="D95" s="11">
        <v>4</v>
      </c>
      <c r="E95" s="5" t="s">
        <v>1315</v>
      </c>
      <c r="F95" s="5" t="s">
        <v>1316</v>
      </c>
      <c r="G95" s="5" t="s">
        <v>439</v>
      </c>
      <c r="H95" s="5" t="s">
        <v>43</v>
      </c>
      <c r="I95" s="5" t="s">
        <v>806</v>
      </c>
      <c r="J95" s="5" t="s">
        <v>404</v>
      </c>
      <c r="K95" s="5" t="s">
        <v>807</v>
      </c>
      <c r="L95" s="11">
        <v>1</v>
      </c>
      <c r="M95" s="5"/>
    </row>
    <row r="96" spans="2:13" ht="37.5" customHeight="1" x14ac:dyDescent="0.35">
      <c r="B96" s="12">
        <v>10</v>
      </c>
      <c r="C96" s="7" t="s">
        <v>1317</v>
      </c>
      <c r="D96" s="12">
        <v>1</v>
      </c>
      <c r="E96" s="7" t="s">
        <v>1318</v>
      </c>
      <c r="F96" s="7" t="s">
        <v>1319</v>
      </c>
      <c r="G96" s="7" t="s">
        <v>30</v>
      </c>
      <c r="H96" s="7" t="s">
        <v>1320</v>
      </c>
      <c r="I96" s="7" t="s">
        <v>1321</v>
      </c>
      <c r="J96" s="7" t="s">
        <v>1322</v>
      </c>
      <c r="K96" s="7" t="s">
        <v>1323</v>
      </c>
      <c r="L96" s="12">
        <v>2</v>
      </c>
      <c r="M96" s="7" t="s">
        <v>1324</v>
      </c>
    </row>
    <row r="97" spans="2:13" ht="37.5" customHeight="1" x14ac:dyDescent="0.35">
      <c r="B97" s="11">
        <v>10</v>
      </c>
      <c r="C97" s="5" t="s">
        <v>1317</v>
      </c>
      <c r="D97" s="11">
        <v>2</v>
      </c>
      <c r="E97" s="5" t="s">
        <v>1325</v>
      </c>
      <c r="F97" s="5" t="s">
        <v>1326</v>
      </c>
      <c r="G97" s="5" t="s">
        <v>28</v>
      </c>
      <c r="H97" s="5" t="s">
        <v>43</v>
      </c>
      <c r="I97" s="5" t="s">
        <v>806</v>
      </c>
      <c r="J97" s="5" t="s">
        <v>404</v>
      </c>
      <c r="K97" s="5" t="s">
        <v>807</v>
      </c>
      <c r="L97" s="11">
        <v>1</v>
      </c>
      <c r="M97" s="5" t="s">
        <v>1324</v>
      </c>
    </row>
    <row r="98" spans="2:13" ht="127.5" customHeight="1" x14ac:dyDescent="0.35">
      <c r="B98" s="12">
        <v>11</v>
      </c>
      <c r="C98" s="7" t="s">
        <v>1327</v>
      </c>
      <c r="D98" s="12">
        <v>1</v>
      </c>
      <c r="E98" s="7" t="s">
        <v>1328</v>
      </c>
      <c r="F98" s="7" t="s">
        <v>1329</v>
      </c>
      <c r="G98" s="7" t="s">
        <v>30</v>
      </c>
      <c r="H98" s="7" t="s">
        <v>1330</v>
      </c>
      <c r="I98" s="7" t="s">
        <v>1331</v>
      </c>
      <c r="J98" s="7" t="s">
        <v>1332</v>
      </c>
      <c r="K98" s="7" t="s">
        <v>1333</v>
      </c>
      <c r="L98" s="12">
        <v>6</v>
      </c>
      <c r="M98" s="7" t="s">
        <v>1334</v>
      </c>
    </row>
    <row r="99" spans="2:13" ht="37.5" customHeight="1" x14ac:dyDescent="0.35">
      <c r="B99" s="11">
        <v>11</v>
      </c>
      <c r="C99" s="5" t="s">
        <v>1327</v>
      </c>
      <c r="D99" s="11">
        <v>2</v>
      </c>
      <c r="E99" s="5" t="s">
        <v>1335</v>
      </c>
      <c r="F99" s="5" t="s">
        <v>1336</v>
      </c>
      <c r="G99" s="5" t="s">
        <v>1337</v>
      </c>
      <c r="H99" s="5" t="s">
        <v>1338</v>
      </c>
      <c r="I99" s="5" t="s">
        <v>1339</v>
      </c>
      <c r="J99" s="5" t="s">
        <v>404</v>
      </c>
      <c r="K99" s="5" t="s">
        <v>1340</v>
      </c>
      <c r="L99" s="11">
        <v>1</v>
      </c>
      <c r="M99" s="5" t="s">
        <v>1334</v>
      </c>
    </row>
    <row r="100" spans="2:13" ht="82.5" customHeight="1" x14ac:dyDescent="0.35">
      <c r="B100" s="12">
        <v>11</v>
      </c>
      <c r="C100" s="7" t="s">
        <v>1327</v>
      </c>
      <c r="D100" s="12">
        <v>3</v>
      </c>
      <c r="E100" s="7" t="s">
        <v>1341</v>
      </c>
      <c r="F100" s="7" t="s">
        <v>1342</v>
      </c>
      <c r="G100" s="7" t="s">
        <v>24</v>
      </c>
      <c r="H100" s="7" t="s">
        <v>1343</v>
      </c>
      <c r="I100" s="7" t="s">
        <v>1344</v>
      </c>
      <c r="J100" s="7" t="s">
        <v>1345</v>
      </c>
      <c r="K100" s="7" t="s">
        <v>1346</v>
      </c>
      <c r="L100" s="12">
        <v>5</v>
      </c>
      <c r="M100" s="7" t="s">
        <v>1334</v>
      </c>
    </row>
    <row r="101" spans="2:13" ht="37.5" customHeight="1" x14ac:dyDescent="0.35">
      <c r="B101" s="11">
        <v>11</v>
      </c>
      <c r="C101" s="5" t="s">
        <v>1327</v>
      </c>
      <c r="D101" s="11">
        <v>4</v>
      </c>
      <c r="E101" s="5" t="s">
        <v>1347</v>
      </c>
      <c r="F101" s="5" t="s">
        <v>1348</v>
      </c>
      <c r="G101" s="5" t="s">
        <v>742</v>
      </c>
      <c r="H101" s="5" t="s">
        <v>1349</v>
      </c>
      <c r="I101" s="5" t="s">
        <v>1350</v>
      </c>
      <c r="J101" s="5" t="s">
        <v>1351</v>
      </c>
      <c r="K101" s="5" t="s">
        <v>1352</v>
      </c>
      <c r="L101" s="11">
        <v>2</v>
      </c>
      <c r="M101" s="5" t="s">
        <v>1334</v>
      </c>
    </row>
    <row r="102" spans="2:13" ht="37.5" customHeight="1" x14ac:dyDescent="0.35">
      <c r="B102" s="12">
        <v>11</v>
      </c>
      <c r="C102" s="7" t="s">
        <v>1327</v>
      </c>
      <c r="D102" s="12">
        <v>5</v>
      </c>
      <c r="E102" s="7" t="s">
        <v>1353</v>
      </c>
      <c r="F102" s="7" t="s">
        <v>1354</v>
      </c>
      <c r="G102" s="7" t="s">
        <v>1294</v>
      </c>
      <c r="H102" s="7" t="s">
        <v>1355</v>
      </c>
      <c r="I102" s="7" t="s">
        <v>1356</v>
      </c>
      <c r="J102" s="7" t="s">
        <v>1357</v>
      </c>
      <c r="K102" s="7" t="s">
        <v>1358</v>
      </c>
      <c r="L102" s="12">
        <v>2</v>
      </c>
      <c r="M102" s="7" t="s">
        <v>1334</v>
      </c>
    </row>
    <row r="103" spans="2:13" ht="127.5" customHeight="1" x14ac:dyDescent="0.35">
      <c r="B103" s="11">
        <v>11</v>
      </c>
      <c r="C103" s="5" t="s">
        <v>1327</v>
      </c>
      <c r="D103" s="11">
        <v>6</v>
      </c>
      <c r="E103" s="5" t="s">
        <v>1359</v>
      </c>
      <c r="F103" s="5" t="s">
        <v>1360</v>
      </c>
      <c r="G103" s="5" t="s">
        <v>188</v>
      </c>
      <c r="H103" s="5" t="s">
        <v>1361</v>
      </c>
      <c r="I103" s="5" t="s">
        <v>1362</v>
      </c>
      <c r="J103" s="5" t="s">
        <v>1363</v>
      </c>
      <c r="K103" s="5" t="s">
        <v>1364</v>
      </c>
      <c r="L103" s="11">
        <v>6</v>
      </c>
      <c r="M103" s="5" t="s">
        <v>1334</v>
      </c>
    </row>
    <row r="104" spans="2:13" ht="67.5" customHeight="1" x14ac:dyDescent="0.35">
      <c r="B104" s="12">
        <v>11</v>
      </c>
      <c r="C104" s="7" t="s">
        <v>1327</v>
      </c>
      <c r="D104" s="12">
        <v>7</v>
      </c>
      <c r="E104" s="7" t="s">
        <v>1365</v>
      </c>
      <c r="F104" s="7" t="s">
        <v>1366</v>
      </c>
      <c r="G104" s="7" t="s">
        <v>168</v>
      </c>
      <c r="H104" s="7" t="s">
        <v>1367</v>
      </c>
      <c r="I104" s="7" t="s">
        <v>1368</v>
      </c>
      <c r="J104" s="7" t="s">
        <v>1369</v>
      </c>
      <c r="K104" s="7" t="s">
        <v>1370</v>
      </c>
      <c r="L104" s="12">
        <v>3</v>
      </c>
      <c r="M104" s="7" t="s">
        <v>1334</v>
      </c>
    </row>
    <row r="105" spans="2:13" ht="67.5" customHeight="1" x14ac:dyDescent="0.35">
      <c r="B105" s="11">
        <v>11</v>
      </c>
      <c r="C105" s="5" t="s">
        <v>1327</v>
      </c>
      <c r="D105" s="11">
        <v>8</v>
      </c>
      <c r="E105" s="5" t="s">
        <v>1371</v>
      </c>
      <c r="F105" s="5" t="s">
        <v>1372</v>
      </c>
      <c r="G105" s="5" t="s">
        <v>1373</v>
      </c>
      <c r="H105" s="5" t="s">
        <v>1374</v>
      </c>
      <c r="I105" s="5" t="s">
        <v>1375</v>
      </c>
      <c r="J105" s="5" t="s">
        <v>1376</v>
      </c>
      <c r="K105" s="5" t="s">
        <v>1377</v>
      </c>
      <c r="L105" s="11">
        <v>3</v>
      </c>
      <c r="M105" s="5" t="s">
        <v>1334</v>
      </c>
    </row>
    <row r="106" spans="2:13" ht="37.5" customHeight="1" x14ac:dyDescent="0.35">
      <c r="B106" s="12">
        <v>11</v>
      </c>
      <c r="C106" s="7" t="s">
        <v>1327</v>
      </c>
      <c r="D106" s="12">
        <v>9</v>
      </c>
      <c r="E106" s="7" t="s">
        <v>1378</v>
      </c>
      <c r="F106" s="7" t="s">
        <v>1379</v>
      </c>
      <c r="G106" s="7" t="s">
        <v>445</v>
      </c>
      <c r="H106" s="7" t="s">
        <v>1380</v>
      </c>
      <c r="I106" s="7" t="s">
        <v>1381</v>
      </c>
      <c r="J106" s="7" t="s">
        <v>404</v>
      </c>
      <c r="K106" s="7" t="s">
        <v>1382</v>
      </c>
      <c r="L106" s="12">
        <v>2</v>
      </c>
      <c r="M106" s="7" t="s">
        <v>1334</v>
      </c>
    </row>
    <row r="107" spans="2:13" ht="37.5" customHeight="1" x14ac:dyDescent="0.35">
      <c r="B107" s="11">
        <v>11</v>
      </c>
      <c r="C107" s="5" t="s">
        <v>1327</v>
      </c>
      <c r="D107" s="11">
        <v>10</v>
      </c>
      <c r="E107" s="5" t="s">
        <v>1383</v>
      </c>
      <c r="F107" s="5" t="s">
        <v>1384</v>
      </c>
      <c r="G107" s="5" t="s">
        <v>638</v>
      </c>
      <c r="H107" s="5" t="s">
        <v>1355</v>
      </c>
      <c r="I107" s="5" t="s">
        <v>1356</v>
      </c>
      <c r="J107" s="5" t="s">
        <v>1357</v>
      </c>
      <c r="K107" s="5" t="s">
        <v>1358</v>
      </c>
      <c r="L107" s="11">
        <v>2</v>
      </c>
      <c r="M107" s="5" t="s">
        <v>1334</v>
      </c>
    </row>
    <row r="108" spans="2:13" ht="37.5" customHeight="1" x14ac:dyDescent="0.35">
      <c r="B108" s="12">
        <v>11</v>
      </c>
      <c r="C108" s="7" t="s">
        <v>1327</v>
      </c>
      <c r="D108" s="12">
        <v>11</v>
      </c>
      <c r="E108" s="7" t="s">
        <v>1385</v>
      </c>
      <c r="F108" s="7" t="s">
        <v>1386</v>
      </c>
      <c r="G108" s="7" t="s">
        <v>282</v>
      </c>
      <c r="H108" s="7" t="s">
        <v>36</v>
      </c>
      <c r="I108" s="7" t="s">
        <v>1259</v>
      </c>
      <c r="J108" s="7" t="s">
        <v>663</v>
      </c>
      <c r="K108" s="7" t="s">
        <v>1387</v>
      </c>
      <c r="L108" s="12">
        <v>1</v>
      </c>
      <c r="M108" s="7" t="s">
        <v>1334</v>
      </c>
    </row>
    <row r="109" spans="2:13" ht="37.5" customHeight="1" x14ac:dyDescent="0.35">
      <c r="B109" s="11">
        <v>11</v>
      </c>
      <c r="C109" s="5" t="s">
        <v>1327</v>
      </c>
      <c r="D109" s="11">
        <v>12</v>
      </c>
      <c r="E109" s="5" t="s">
        <v>1388</v>
      </c>
      <c r="F109" s="5" t="s">
        <v>1389</v>
      </c>
      <c r="G109" s="5" t="s">
        <v>428</v>
      </c>
      <c r="H109" s="5" t="s">
        <v>45</v>
      </c>
      <c r="I109" s="5" t="s">
        <v>1390</v>
      </c>
      <c r="J109" s="5" t="s">
        <v>1063</v>
      </c>
      <c r="K109" s="5" t="s">
        <v>1391</v>
      </c>
      <c r="L109" s="11">
        <v>1</v>
      </c>
      <c r="M109" s="5" t="s">
        <v>1334</v>
      </c>
    </row>
    <row r="110" spans="2:13" ht="21.75" customHeight="1" x14ac:dyDescent="0.35">
      <c r="B110" s="12">
        <v>11</v>
      </c>
      <c r="C110" s="7" t="s">
        <v>1327</v>
      </c>
      <c r="D110" s="12">
        <v>13</v>
      </c>
      <c r="E110" s="7" t="s">
        <v>1392</v>
      </c>
      <c r="F110" s="7" t="s">
        <v>1393</v>
      </c>
      <c r="G110" s="7" t="s">
        <v>497</v>
      </c>
      <c r="H110" s="7" t="s">
        <v>45</v>
      </c>
      <c r="I110" s="7" t="s">
        <v>1390</v>
      </c>
      <c r="J110" s="7" t="s">
        <v>1063</v>
      </c>
      <c r="K110" s="7" t="s">
        <v>1391</v>
      </c>
      <c r="L110" s="12">
        <v>1</v>
      </c>
      <c r="M110" s="7" t="s">
        <v>1334</v>
      </c>
    </row>
    <row r="111" spans="2:13" ht="82.5" customHeight="1" x14ac:dyDescent="0.35">
      <c r="B111" s="11">
        <v>11</v>
      </c>
      <c r="C111" s="5" t="s">
        <v>1327</v>
      </c>
      <c r="D111" s="11">
        <v>14</v>
      </c>
      <c r="E111" s="5" t="s">
        <v>1394</v>
      </c>
      <c r="F111" s="5" t="s">
        <v>1395</v>
      </c>
      <c r="G111" s="5" t="s">
        <v>25</v>
      </c>
      <c r="H111" s="5" t="s">
        <v>1396</v>
      </c>
      <c r="I111" s="5" t="s">
        <v>1397</v>
      </c>
      <c r="J111" s="5" t="s">
        <v>1398</v>
      </c>
      <c r="K111" s="5" t="s">
        <v>1399</v>
      </c>
      <c r="L111" s="11">
        <v>4</v>
      </c>
      <c r="M111" s="5" t="s">
        <v>1334</v>
      </c>
    </row>
    <row r="112" spans="2:13" ht="52.5" customHeight="1" x14ac:dyDescent="0.35">
      <c r="B112" s="12">
        <v>11</v>
      </c>
      <c r="C112" s="7" t="s">
        <v>1327</v>
      </c>
      <c r="D112" s="12">
        <v>15</v>
      </c>
      <c r="E112" s="7" t="s">
        <v>1400</v>
      </c>
      <c r="F112" s="7" t="s">
        <v>1401</v>
      </c>
      <c r="G112" s="7" t="s">
        <v>566</v>
      </c>
      <c r="H112" s="7" t="s">
        <v>1402</v>
      </c>
      <c r="I112" s="7" t="s">
        <v>1403</v>
      </c>
      <c r="J112" s="7" t="s">
        <v>1404</v>
      </c>
      <c r="K112" s="7" t="s">
        <v>1405</v>
      </c>
      <c r="L112" s="12">
        <v>3</v>
      </c>
      <c r="M112" s="7" t="s">
        <v>1334</v>
      </c>
    </row>
    <row r="113" spans="2:13" ht="21.75" customHeight="1" x14ac:dyDescent="0.35">
      <c r="B113" s="11">
        <v>11</v>
      </c>
      <c r="C113" s="5" t="s">
        <v>1327</v>
      </c>
      <c r="D113" s="11">
        <v>16</v>
      </c>
      <c r="E113" s="5" t="s">
        <v>1406</v>
      </c>
      <c r="F113" s="5" t="s">
        <v>1407</v>
      </c>
      <c r="G113" s="5" t="s">
        <v>973</v>
      </c>
      <c r="H113" s="5" t="s">
        <v>43</v>
      </c>
      <c r="I113" s="5" t="s">
        <v>806</v>
      </c>
      <c r="J113" s="5" t="s">
        <v>1408</v>
      </c>
      <c r="K113" s="5" t="s">
        <v>1409</v>
      </c>
      <c r="L113" s="11">
        <v>1</v>
      </c>
      <c r="M113" s="5" t="s">
        <v>1334</v>
      </c>
    </row>
    <row r="114" spans="2:13" ht="37.5" customHeight="1" x14ac:dyDescent="0.35">
      <c r="B114" s="12">
        <v>11</v>
      </c>
      <c r="C114" s="7" t="s">
        <v>1327</v>
      </c>
      <c r="D114" s="12">
        <v>17</v>
      </c>
      <c r="E114" s="7" t="s">
        <v>1410</v>
      </c>
      <c r="F114" s="7" t="s">
        <v>1411</v>
      </c>
      <c r="G114" s="7" t="s">
        <v>439</v>
      </c>
      <c r="H114" s="7" t="s">
        <v>705</v>
      </c>
      <c r="I114" s="7" t="s">
        <v>1412</v>
      </c>
      <c r="J114" s="7" t="s">
        <v>1413</v>
      </c>
      <c r="K114" s="7" t="s">
        <v>1414</v>
      </c>
      <c r="L114" s="12">
        <v>2</v>
      </c>
      <c r="M114" s="7" t="s">
        <v>1334</v>
      </c>
    </row>
    <row r="115" spans="2:13" ht="37.5" customHeight="1" x14ac:dyDescent="0.35">
      <c r="B115" s="11">
        <v>11</v>
      </c>
      <c r="C115" s="5" t="s">
        <v>1327</v>
      </c>
      <c r="D115" s="11">
        <v>18</v>
      </c>
      <c r="E115" s="5" t="s">
        <v>1415</v>
      </c>
      <c r="F115" s="5" t="s">
        <v>1416</v>
      </c>
      <c r="G115" s="5" t="s">
        <v>733</v>
      </c>
      <c r="H115" s="5" t="s">
        <v>473</v>
      </c>
      <c r="I115" s="5" t="s">
        <v>52</v>
      </c>
      <c r="J115" s="5" t="s">
        <v>1063</v>
      </c>
      <c r="K115" s="5" t="s">
        <v>1417</v>
      </c>
      <c r="L115" s="11">
        <v>1</v>
      </c>
      <c r="M115" s="5" t="s">
        <v>1334</v>
      </c>
    </row>
    <row r="116" spans="2:13" ht="37.5" customHeight="1" x14ac:dyDescent="0.35">
      <c r="B116" s="12">
        <v>11</v>
      </c>
      <c r="C116" s="7" t="s">
        <v>1327</v>
      </c>
      <c r="D116" s="12">
        <v>19</v>
      </c>
      <c r="E116" s="7" t="s">
        <v>1418</v>
      </c>
      <c r="F116" s="7" t="s">
        <v>1419</v>
      </c>
      <c r="G116" s="7" t="s">
        <v>1076</v>
      </c>
      <c r="H116" s="7" t="s">
        <v>1420</v>
      </c>
      <c r="I116" s="7" t="s">
        <v>1421</v>
      </c>
      <c r="J116" s="7" t="s">
        <v>1422</v>
      </c>
      <c r="K116" s="7" t="s">
        <v>1423</v>
      </c>
      <c r="L116" s="12">
        <v>2</v>
      </c>
      <c r="M116" s="7" t="s">
        <v>1334</v>
      </c>
    </row>
    <row r="117" spans="2:13" ht="37.5" customHeight="1" x14ac:dyDescent="0.35">
      <c r="B117" s="11">
        <v>11</v>
      </c>
      <c r="C117" s="5" t="s">
        <v>1327</v>
      </c>
      <c r="D117" s="11">
        <v>20</v>
      </c>
      <c r="E117" s="5" t="s">
        <v>1424</v>
      </c>
      <c r="F117" s="5" t="s">
        <v>1425</v>
      </c>
      <c r="G117" s="5" t="s">
        <v>395</v>
      </c>
      <c r="H117" s="5" t="s">
        <v>1426</v>
      </c>
      <c r="I117" s="5" t="s">
        <v>1427</v>
      </c>
      <c r="J117" s="5" t="s">
        <v>1408</v>
      </c>
      <c r="K117" s="5" t="s">
        <v>1428</v>
      </c>
      <c r="L117" s="11">
        <v>1</v>
      </c>
      <c r="M117" s="5" t="s">
        <v>1334</v>
      </c>
    </row>
    <row r="118" spans="2:13" ht="52.5" customHeight="1" x14ac:dyDescent="0.35">
      <c r="B118" s="12">
        <v>11</v>
      </c>
      <c r="C118" s="7" t="s">
        <v>1327</v>
      </c>
      <c r="D118" s="12">
        <v>21</v>
      </c>
      <c r="E118" s="7" t="s">
        <v>1429</v>
      </c>
      <c r="F118" s="7" t="s">
        <v>1430</v>
      </c>
      <c r="G118" s="7" t="s">
        <v>576</v>
      </c>
      <c r="H118" s="7" t="s">
        <v>1431</v>
      </c>
      <c r="I118" s="7" t="s">
        <v>1057</v>
      </c>
      <c r="J118" s="7" t="s">
        <v>1408</v>
      </c>
      <c r="K118" s="7" t="s">
        <v>1432</v>
      </c>
      <c r="L118" s="12">
        <v>2</v>
      </c>
      <c r="M118" s="7" t="s">
        <v>1334</v>
      </c>
    </row>
    <row r="119" spans="2:13" ht="37.5" customHeight="1" x14ac:dyDescent="0.35">
      <c r="B119" s="11">
        <v>11</v>
      </c>
      <c r="C119" s="5" t="s">
        <v>1327</v>
      </c>
      <c r="D119" s="11">
        <v>22</v>
      </c>
      <c r="E119" s="5" t="s">
        <v>1433</v>
      </c>
      <c r="F119" s="5" t="s">
        <v>1434</v>
      </c>
      <c r="G119" s="5" t="s">
        <v>1435</v>
      </c>
      <c r="H119" s="5" t="s">
        <v>1436</v>
      </c>
      <c r="I119" s="5" t="s">
        <v>1437</v>
      </c>
      <c r="J119" s="5" t="s">
        <v>1063</v>
      </c>
      <c r="K119" s="5" t="s">
        <v>1438</v>
      </c>
      <c r="L119" s="11">
        <v>2</v>
      </c>
      <c r="M119" s="5" t="s">
        <v>1334</v>
      </c>
    </row>
    <row r="120" spans="2:13" ht="21.75" customHeight="1" x14ac:dyDescent="0.35">
      <c r="B120" s="12">
        <v>11</v>
      </c>
      <c r="C120" s="7" t="s">
        <v>1327</v>
      </c>
      <c r="D120" s="12">
        <v>23</v>
      </c>
      <c r="E120" s="7" t="s">
        <v>1439</v>
      </c>
      <c r="F120" s="7" t="s">
        <v>1440</v>
      </c>
      <c r="G120" s="7" t="s">
        <v>402</v>
      </c>
      <c r="H120" s="7" t="s">
        <v>37</v>
      </c>
      <c r="I120" s="7" t="s">
        <v>1248</v>
      </c>
      <c r="J120" s="7" t="s">
        <v>1192</v>
      </c>
      <c r="K120" s="7" t="s">
        <v>1441</v>
      </c>
      <c r="L120" s="12">
        <v>1</v>
      </c>
      <c r="M120" s="7" t="s">
        <v>1334</v>
      </c>
    </row>
    <row r="121" spans="2:13" ht="21.75" customHeight="1" x14ac:dyDescent="0.35">
      <c r="B121" s="11">
        <v>11</v>
      </c>
      <c r="C121" s="5" t="s">
        <v>1327</v>
      </c>
      <c r="D121" s="11">
        <v>24</v>
      </c>
      <c r="E121" s="5" t="s">
        <v>1442</v>
      </c>
      <c r="F121" s="5" t="s">
        <v>1443</v>
      </c>
      <c r="G121" s="5" t="s">
        <v>442</v>
      </c>
      <c r="H121" s="5" t="s">
        <v>37</v>
      </c>
      <c r="I121" s="5" t="s">
        <v>1248</v>
      </c>
      <c r="J121" s="5" t="s">
        <v>1192</v>
      </c>
      <c r="K121" s="5" t="s">
        <v>1441</v>
      </c>
      <c r="L121" s="11">
        <v>1</v>
      </c>
      <c r="M121" s="5" t="s">
        <v>1334</v>
      </c>
    </row>
    <row r="122" spans="2:13" ht="21.75" customHeight="1" x14ac:dyDescent="0.35">
      <c r="B122" s="12">
        <v>11</v>
      </c>
      <c r="C122" s="7" t="s">
        <v>1327</v>
      </c>
      <c r="D122" s="12">
        <v>25</v>
      </c>
      <c r="E122" s="7" t="s">
        <v>1444</v>
      </c>
      <c r="F122" s="7" t="s">
        <v>1445</v>
      </c>
      <c r="G122" s="7" t="s">
        <v>457</v>
      </c>
      <c r="H122" s="7" t="s">
        <v>36</v>
      </c>
      <c r="I122" s="7" t="s">
        <v>1259</v>
      </c>
      <c r="J122" s="7" t="s">
        <v>663</v>
      </c>
      <c r="K122" s="7" t="s">
        <v>1387</v>
      </c>
      <c r="L122" s="12">
        <v>1</v>
      </c>
      <c r="M122" s="7" t="s">
        <v>1334</v>
      </c>
    </row>
    <row r="123" spans="2:13" ht="37.5" customHeight="1" x14ac:dyDescent="0.35">
      <c r="B123" s="11">
        <v>11</v>
      </c>
      <c r="C123" s="5" t="s">
        <v>1327</v>
      </c>
      <c r="D123" s="11">
        <v>26</v>
      </c>
      <c r="E123" s="5" t="s">
        <v>1446</v>
      </c>
      <c r="F123" s="5" t="s">
        <v>1447</v>
      </c>
      <c r="G123" s="5" t="s">
        <v>33</v>
      </c>
      <c r="H123" s="5" t="s">
        <v>1448</v>
      </c>
      <c r="I123" s="5" t="s">
        <v>1449</v>
      </c>
      <c r="J123" s="5" t="s">
        <v>1450</v>
      </c>
      <c r="K123" s="5" t="s">
        <v>1451</v>
      </c>
      <c r="L123" s="11">
        <v>2</v>
      </c>
      <c r="M123" s="5" t="s">
        <v>1334</v>
      </c>
    </row>
    <row r="124" spans="2:13" ht="37.5" customHeight="1" x14ac:dyDescent="0.35">
      <c r="B124" s="12">
        <v>11</v>
      </c>
      <c r="C124" s="7" t="s">
        <v>1327</v>
      </c>
      <c r="D124" s="12">
        <v>27</v>
      </c>
      <c r="E124" s="7" t="s">
        <v>1452</v>
      </c>
      <c r="F124" s="7" t="s">
        <v>1453</v>
      </c>
      <c r="G124" s="7" t="s">
        <v>880</v>
      </c>
      <c r="H124" s="7" t="s">
        <v>37</v>
      </c>
      <c r="I124" s="7" t="s">
        <v>1248</v>
      </c>
      <c r="J124" s="7" t="s">
        <v>1192</v>
      </c>
      <c r="K124" s="7" t="s">
        <v>1441</v>
      </c>
      <c r="L124" s="12">
        <v>1</v>
      </c>
      <c r="M124" s="7" t="s">
        <v>1334</v>
      </c>
    </row>
    <row r="125" spans="2:13" ht="21.75" customHeight="1" x14ac:dyDescent="0.35">
      <c r="B125" s="11">
        <v>11</v>
      </c>
      <c r="C125" s="5" t="s">
        <v>1327</v>
      </c>
      <c r="D125" s="11">
        <v>28</v>
      </c>
      <c r="E125" s="5" t="s">
        <v>1454</v>
      </c>
      <c r="F125" s="5" t="s">
        <v>1455</v>
      </c>
      <c r="G125" s="5" t="s">
        <v>26</v>
      </c>
      <c r="H125" s="5" t="s">
        <v>45</v>
      </c>
      <c r="I125" s="5" t="s">
        <v>1390</v>
      </c>
      <c r="J125" s="5" t="s">
        <v>1063</v>
      </c>
      <c r="K125" s="5" t="s">
        <v>1391</v>
      </c>
      <c r="L125" s="11">
        <v>1</v>
      </c>
      <c r="M125" s="5" t="s">
        <v>1334</v>
      </c>
    </row>
    <row r="126" spans="2:13" ht="67.5" customHeight="1" x14ac:dyDescent="0.35">
      <c r="B126" s="12">
        <v>11</v>
      </c>
      <c r="C126" s="7" t="s">
        <v>1327</v>
      </c>
      <c r="D126" s="12">
        <v>29</v>
      </c>
      <c r="E126" s="7" t="s">
        <v>1456</v>
      </c>
      <c r="F126" s="7" t="s">
        <v>1457</v>
      </c>
      <c r="G126" s="7" t="s">
        <v>27</v>
      </c>
      <c r="H126" s="7" t="s">
        <v>1458</v>
      </c>
      <c r="I126" s="7" t="s">
        <v>1459</v>
      </c>
      <c r="J126" s="7" t="s">
        <v>1460</v>
      </c>
      <c r="K126" s="7" t="s">
        <v>1461</v>
      </c>
      <c r="L126" s="12">
        <v>3</v>
      </c>
      <c r="M126" s="7" t="s">
        <v>1334</v>
      </c>
    </row>
    <row r="127" spans="2:13" ht="67.5" customHeight="1" x14ac:dyDescent="0.35">
      <c r="B127" s="11">
        <v>11</v>
      </c>
      <c r="C127" s="5" t="s">
        <v>1327</v>
      </c>
      <c r="D127" s="11">
        <v>30</v>
      </c>
      <c r="E127" s="5" t="s">
        <v>1462</v>
      </c>
      <c r="F127" s="5" t="s">
        <v>1463</v>
      </c>
      <c r="G127" s="5" t="s">
        <v>1164</v>
      </c>
      <c r="H127" s="5" t="s">
        <v>1464</v>
      </c>
      <c r="I127" s="5" t="s">
        <v>1465</v>
      </c>
      <c r="J127" s="5" t="s">
        <v>1404</v>
      </c>
      <c r="K127" s="5" t="s">
        <v>1466</v>
      </c>
      <c r="L127" s="11">
        <v>3</v>
      </c>
      <c r="M127" s="5" t="s">
        <v>1334</v>
      </c>
    </row>
    <row r="128" spans="2:13" ht="37.5" customHeight="1" x14ac:dyDescent="0.35">
      <c r="B128" s="12">
        <v>11</v>
      </c>
      <c r="C128" s="7" t="s">
        <v>1327</v>
      </c>
      <c r="D128" s="12">
        <v>31</v>
      </c>
      <c r="E128" s="7" t="s">
        <v>1467</v>
      </c>
      <c r="F128" s="7" t="s">
        <v>1468</v>
      </c>
      <c r="G128" s="7" t="s">
        <v>825</v>
      </c>
      <c r="H128" s="7" t="s">
        <v>505</v>
      </c>
      <c r="I128" s="7" t="s">
        <v>52</v>
      </c>
      <c r="J128" s="7" t="s">
        <v>1408</v>
      </c>
      <c r="K128" s="7" t="s">
        <v>1469</v>
      </c>
      <c r="L128" s="12">
        <v>1</v>
      </c>
      <c r="M128" s="7" t="s">
        <v>1334</v>
      </c>
    </row>
    <row r="129" spans="2:13" ht="37.5" customHeight="1" x14ac:dyDescent="0.35">
      <c r="B129" s="11">
        <v>11</v>
      </c>
      <c r="C129" s="5" t="s">
        <v>1327</v>
      </c>
      <c r="D129" s="11">
        <v>32</v>
      </c>
      <c r="E129" s="5" t="s">
        <v>1470</v>
      </c>
      <c r="F129" s="5" t="s">
        <v>1471</v>
      </c>
      <c r="G129" s="5" t="s">
        <v>582</v>
      </c>
      <c r="H129" s="5" t="s">
        <v>37</v>
      </c>
      <c r="I129" s="5" t="s">
        <v>1472</v>
      </c>
      <c r="J129" s="5" t="s">
        <v>1473</v>
      </c>
      <c r="K129" s="5" t="s">
        <v>1474</v>
      </c>
      <c r="L129" s="11">
        <v>1</v>
      </c>
      <c r="M129" s="5" t="s">
        <v>1334</v>
      </c>
    </row>
    <row r="130" spans="2:13" ht="21.75" customHeight="1" x14ac:dyDescent="0.35">
      <c r="B130" s="12">
        <v>11</v>
      </c>
      <c r="C130" s="7" t="s">
        <v>1327</v>
      </c>
      <c r="D130" s="12">
        <v>33</v>
      </c>
      <c r="E130" s="7" t="s">
        <v>1475</v>
      </c>
      <c r="F130" s="7" t="s">
        <v>1476</v>
      </c>
      <c r="G130" s="7" t="s">
        <v>810</v>
      </c>
      <c r="H130" s="7" t="s">
        <v>45</v>
      </c>
      <c r="I130" s="7" t="s">
        <v>1390</v>
      </c>
      <c r="J130" s="7" t="s">
        <v>1063</v>
      </c>
      <c r="K130" s="7" t="s">
        <v>1391</v>
      </c>
      <c r="L130" s="12">
        <v>1</v>
      </c>
      <c r="M130" s="7" t="s">
        <v>1334</v>
      </c>
    </row>
    <row r="131" spans="2:13" ht="37.5" customHeight="1" x14ac:dyDescent="0.35">
      <c r="B131" s="11">
        <v>11</v>
      </c>
      <c r="C131" s="5" t="s">
        <v>1327</v>
      </c>
      <c r="D131" s="11">
        <v>34</v>
      </c>
      <c r="E131" s="5" t="s">
        <v>1477</v>
      </c>
      <c r="F131" s="5" t="s">
        <v>1478</v>
      </c>
      <c r="G131" s="5" t="s">
        <v>552</v>
      </c>
      <c r="H131" s="5" t="s">
        <v>1479</v>
      </c>
      <c r="I131" s="5" t="s">
        <v>1480</v>
      </c>
      <c r="J131" s="5" t="s">
        <v>1450</v>
      </c>
      <c r="K131" s="5" t="s">
        <v>1481</v>
      </c>
      <c r="L131" s="11">
        <v>2</v>
      </c>
      <c r="M131" s="5" t="s">
        <v>1334</v>
      </c>
    </row>
    <row r="132" spans="2:13" ht="37.5" customHeight="1" x14ac:dyDescent="0.35">
      <c r="B132" s="12">
        <v>11</v>
      </c>
      <c r="C132" s="7" t="s">
        <v>1327</v>
      </c>
      <c r="D132" s="12">
        <v>35</v>
      </c>
      <c r="E132" s="7" t="s">
        <v>1482</v>
      </c>
      <c r="F132" s="7" t="s">
        <v>1483</v>
      </c>
      <c r="G132" s="7" t="s">
        <v>279</v>
      </c>
      <c r="H132" s="7" t="s">
        <v>1484</v>
      </c>
      <c r="I132" s="7" t="s">
        <v>1485</v>
      </c>
      <c r="J132" s="7" t="s">
        <v>1063</v>
      </c>
      <c r="K132" s="7" t="s">
        <v>1486</v>
      </c>
      <c r="L132" s="12">
        <v>2</v>
      </c>
      <c r="M132" s="7" t="s">
        <v>1334</v>
      </c>
    </row>
    <row r="133" spans="2:13" ht="21.75" customHeight="1" x14ac:dyDescent="0.35">
      <c r="B133" s="11">
        <v>11</v>
      </c>
      <c r="C133" s="5" t="s">
        <v>1327</v>
      </c>
      <c r="D133" s="11">
        <v>36</v>
      </c>
      <c r="E133" s="5" t="s">
        <v>1487</v>
      </c>
      <c r="F133" s="5" t="s">
        <v>1488</v>
      </c>
      <c r="G133" s="5" t="s">
        <v>365</v>
      </c>
      <c r="H133" s="5" t="s">
        <v>1046</v>
      </c>
      <c r="I133" s="5" t="s">
        <v>1489</v>
      </c>
      <c r="J133" s="5" t="s">
        <v>1063</v>
      </c>
      <c r="K133" s="5" t="s">
        <v>1490</v>
      </c>
      <c r="L133" s="11">
        <v>1</v>
      </c>
      <c r="M133" s="5" t="s">
        <v>1334</v>
      </c>
    </row>
    <row r="134" spans="2:13" ht="52.5" customHeight="1" x14ac:dyDescent="0.35">
      <c r="B134" s="12">
        <v>11</v>
      </c>
      <c r="C134" s="7" t="s">
        <v>1327</v>
      </c>
      <c r="D134" s="12">
        <v>37</v>
      </c>
      <c r="E134" s="7" t="s">
        <v>1491</v>
      </c>
      <c r="F134" s="7" t="s">
        <v>1492</v>
      </c>
      <c r="G134" s="7" t="s">
        <v>560</v>
      </c>
      <c r="H134" s="7" t="s">
        <v>1493</v>
      </c>
      <c r="I134" s="7" t="s">
        <v>1494</v>
      </c>
      <c r="J134" s="7" t="s">
        <v>1495</v>
      </c>
      <c r="K134" s="7" t="s">
        <v>1496</v>
      </c>
      <c r="L134" s="12">
        <v>2</v>
      </c>
      <c r="M134" s="7" t="s">
        <v>1334</v>
      </c>
    </row>
    <row r="135" spans="2:13" ht="52.5" customHeight="1" x14ac:dyDescent="0.35">
      <c r="B135" s="11">
        <v>11</v>
      </c>
      <c r="C135" s="5" t="s">
        <v>1327</v>
      </c>
      <c r="D135" s="11">
        <v>38</v>
      </c>
      <c r="E135" s="5" t="s">
        <v>1497</v>
      </c>
      <c r="F135" s="5" t="s">
        <v>1498</v>
      </c>
      <c r="G135" s="5" t="s">
        <v>625</v>
      </c>
      <c r="H135" s="5" t="s">
        <v>218</v>
      </c>
      <c r="I135" s="5" t="s">
        <v>1499</v>
      </c>
      <c r="J135" s="5" t="s">
        <v>1500</v>
      </c>
      <c r="K135" s="5" t="s">
        <v>1501</v>
      </c>
      <c r="L135" s="11">
        <v>2</v>
      </c>
      <c r="M135" s="5" t="s">
        <v>1334</v>
      </c>
    </row>
    <row r="136" spans="2:13" ht="37.5" customHeight="1" x14ac:dyDescent="0.35">
      <c r="B136" s="12">
        <v>11</v>
      </c>
      <c r="C136" s="7" t="s">
        <v>1327</v>
      </c>
      <c r="D136" s="12">
        <v>39</v>
      </c>
      <c r="E136" s="7" t="s">
        <v>1502</v>
      </c>
      <c r="F136" s="7" t="s">
        <v>1503</v>
      </c>
      <c r="G136" s="7" t="s">
        <v>595</v>
      </c>
      <c r="H136" s="7" t="s">
        <v>37</v>
      </c>
      <c r="I136" s="7" t="s">
        <v>1504</v>
      </c>
      <c r="J136" s="7" t="s">
        <v>1473</v>
      </c>
      <c r="K136" s="7" t="s">
        <v>1505</v>
      </c>
      <c r="L136" s="12">
        <v>1</v>
      </c>
      <c r="M136" s="7" t="s">
        <v>1334</v>
      </c>
    </row>
    <row r="137" spans="2:13" ht="52.5" customHeight="1" x14ac:dyDescent="0.35">
      <c r="B137" s="11">
        <v>11</v>
      </c>
      <c r="C137" s="5" t="s">
        <v>1327</v>
      </c>
      <c r="D137" s="11">
        <v>40</v>
      </c>
      <c r="E137" s="5" t="s">
        <v>1506</v>
      </c>
      <c r="F137" s="5" t="s">
        <v>1507</v>
      </c>
      <c r="G137" s="5" t="s">
        <v>585</v>
      </c>
      <c r="H137" s="5" t="s">
        <v>1508</v>
      </c>
      <c r="I137" s="5" t="s">
        <v>1509</v>
      </c>
      <c r="J137" s="5" t="s">
        <v>1495</v>
      </c>
      <c r="K137" s="5" t="s">
        <v>1510</v>
      </c>
      <c r="L137" s="11">
        <v>2</v>
      </c>
      <c r="M137" s="5" t="s">
        <v>1334</v>
      </c>
    </row>
    <row r="138" spans="2:13" ht="37.5" customHeight="1" x14ac:dyDescent="0.35">
      <c r="B138" s="12">
        <v>11</v>
      </c>
      <c r="C138" s="7" t="s">
        <v>1327</v>
      </c>
      <c r="D138" s="12">
        <v>41</v>
      </c>
      <c r="E138" s="7" t="s">
        <v>1511</v>
      </c>
      <c r="F138" s="7" t="s">
        <v>1512</v>
      </c>
      <c r="G138" s="7" t="s">
        <v>1513</v>
      </c>
      <c r="H138" s="7" t="s">
        <v>1426</v>
      </c>
      <c r="I138" s="7" t="s">
        <v>1427</v>
      </c>
      <c r="J138" s="7" t="s">
        <v>1063</v>
      </c>
      <c r="K138" s="7" t="s">
        <v>1514</v>
      </c>
      <c r="L138" s="12">
        <v>1</v>
      </c>
      <c r="M138" s="7" t="s">
        <v>1334</v>
      </c>
    </row>
    <row r="139" spans="2:13" ht="37.5" customHeight="1" x14ac:dyDescent="0.35">
      <c r="B139" s="11">
        <v>11</v>
      </c>
      <c r="C139" s="5" t="s">
        <v>1327</v>
      </c>
      <c r="D139" s="11">
        <v>42</v>
      </c>
      <c r="E139" s="5" t="s">
        <v>1515</v>
      </c>
      <c r="F139" s="5" t="s">
        <v>1516</v>
      </c>
      <c r="G139" s="5" t="s">
        <v>761</v>
      </c>
      <c r="H139" s="5" t="s">
        <v>45</v>
      </c>
      <c r="I139" s="5" t="s">
        <v>1390</v>
      </c>
      <c r="J139" s="5" t="s">
        <v>1063</v>
      </c>
      <c r="K139" s="5" t="s">
        <v>1391</v>
      </c>
      <c r="L139" s="11">
        <v>1</v>
      </c>
      <c r="M139" s="5" t="s">
        <v>1334</v>
      </c>
    </row>
    <row r="140" spans="2:13" ht="37.5" customHeight="1" x14ac:dyDescent="0.35">
      <c r="B140" s="12">
        <v>11</v>
      </c>
      <c r="C140" s="7" t="s">
        <v>1327</v>
      </c>
      <c r="D140" s="12">
        <v>43</v>
      </c>
      <c r="E140" s="7" t="s">
        <v>1517</v>
      </c>
      <c r="F140" s="7" t="s">
        <v>1518</v>
      </c>
      <c r="G140" s="7" t="s">
        <v>557</v>
      </c>
      <c r="H140" s="7" t="s">
        <v>45</v>
      </c>
      <c r="I140" s="7" t="s">
        <v>1390</v>
      </c>
      <c r="J140" s="7" t="s">
        <v>1063</v>
      </c>
      <c r="K140" s="7" t="s">
        <v>1391</v>
      </c>
      <c r="L140" s="12">
        <v>1</v>
      </c>
      <c r="M140" s="7" t="s">
        <v>1334</v>
      </c>
    </row>
    <row r="141" spans="2:13" ht="52.5" customHeight="1" x14ac:dyDescent="0.35">
      <c r="B141" s="11">
        <v>11</v>
      </c>
      <c r="C141" s="5" t="s">
        <v>1327</v>
      </c>
      <c r="D141" s="11">
        <v>44</v>
      </c>
      <c r="E141" s="5" t="s">
        <v>1519</v>
      </c>
      <c r="F141" s="5" t="s">
        <v>1520</v>
      </c>
      <c r="G141" s="5" t="s">
        <v>645</v>
      </c>
      <c r="H141" s="5" t="s">
        <v>1521</v>
      </c>
      <c r="I141" s="5" t="s">
        <v>1522</v>
      </c>
      <c r="J141" s="5" t="s">
        <v>1523</v>
      </c>
      <c r="K141" s="5" t="s">
        <v>1524</v>
      </c>
      <c r="L141" s="11">
        <v>2</v>
      </c>
      <c r="M141" s="5" t="s">
        <v>1334</v>
      </c>
    </row>
    <row r="142" spans="2:13" ht="21.75" customHeight="1" x14ac:dyDescent="0.35">
      <c r="B142" s="12">
        <v>11</v>
      </c>
      <c r="C142" s="7" t="s">
        <v>1327</v>
      </c>
      <c r="D142" s="12">
        <v>45</v>
      </c>
      <c r="E142" s="7" t="s">
        <v>1525</v>
      </c>
      <c r="F142" s="7" t="s">
        <v>1526</v>
      </c>
      <c r="G142" s="7" t="s">
        <v>828</v>
      </c>
      <c r="H142" s="7" t="s">
        <v>36</v>
      </c>
      <c r="I142" s="7" t="s">
        <v>1259</v>
      </c>
      <c r="J142" s="7" t="s">
        <v>663</v>
      </c>
      <c r="K142" s="7" t="s">
        <v>1387</v>
      </c>
      <c r="L142" s="12">
        <v>1</v>
      </c>
      <c r="M142" s="7" t="s">
        <v>1334</v>
      </c>
    </row>
    <row r="143" spans="2:13" ht="37.5" customHeight="1" x14ac:dyDescent="0.35">
      <c r="B143" s="11">
        <v>11</v>
      </c>
      <c r="C143" s="5" t="s">
        <v>1327</v>
      </c>
      <c r="D143" s="11">
        <v>46</v>
      </c>
      <c r="E143" s="5" t="s">
        <v>1527</v>
      </c>
      <c r="F143" s="5" t="s">
        <v>1528</v>
      </c>
      <c r="G143" s="5" t="s">
        <v>24</v>
      </c>
      <c r="H143" s="5" t="s">
        <v>37</v>
      </c>
      <c r="I143" s="5" t="s">
        <v>1504</v>
      </c>
      <c r="J143" s="5" t="s">
        <v>1473</v>
      </c>
      <c r="K143" s="5" t="s">
        <v>1505</v>
      </c>
      <c r="L143" s="11">
        <v>1</v>
      </c>
      <c r="M143" s="5" t="s">
        <v>1334</v>
      </c>
    </row>
    <row r="144" spans="2:13" ht="37.5" customHeight="1" x14ac:dyDescent="0.35">
      <c r="B144" s="12">
        <v>11</v>
      </c>
      <c r="C144" s="7" t="s">
        <v>1327</v>
      </c>
      <c r="D144" s="12">
        <v>47</v>
      </c>
      <c r="E144" s="7" t="s">
        <v>1529</v>
      </c>
      <c r="F144" s="7" t="s">
        <v>1530</v>
      </c>
      <c r="G144" s="7" t="s">
        <v>608</v>
      </c>
      <c r="H144" s="7" t="s">
        <v>37</v>
      </c>
      <c r="I144" s="7" t="s">
        <v>1504</v>
      </c>
      <c r="J144" s="7" t="s">
        <v>1473</v>
      </c>
      <c r="K144" s="7" t="s">
        <v>1505</v>
      </c>
      <c r="L144" s="12">
        <v>1</v>
      </c>
      <c r="M144" s="7" t="s">
        <v>1334</v>
      </c>
    </row>
    <row r="145" spans="2:13" ht="67.5" customHeight="1" x14ac:dyDescent="0.35">
      <c r="B145" s="11">
        <v>11</v>
      </c>
      <c r="C145" s="5" t="s">
        <v>1327</v>
      </c>
      <c r="D145" s="11">
        <v>48</v>
      </c>
      <c r="E145" s="5" t="s">
        <v>1531</v>
      </c>
      <c r="F145" s="5" t="s">
        <v>1532</v>
      </c>
      <c r="G145" s="5" t="s">
        <v>25</v>
      </c>
      <c r="H145" s="5" t="s">
        <v>1533</v>
      </c>
      <c r="I145" s="5" t="s">
        <v>1534</v>
      </c>
      <c r="J145" s="5" t="s">
        <v>1535</v>
      </c>
      <c r="K145" s="5" t="s">
        <v>1536</v>
      </c>
      <c r="L145" s="11">
        <v>3</v>
      </c>
      <c r="M145" s="5" t="s">
        <v>1334</v>
      </c>
    </row>
    <row r="146" spans="2:13" ht="37.5" customHeight="1" x14ac:dyDescent="0.35">
      <c r="B146" s="12">
        <v>11</v>
      </c>
      <c r="C146" s="7" t="s">
        <v>1327</v>
      </c>
      <c r="D146" s="12">
        <v>49</v>
      </c>
      <c r="E146" s="7" t="s">
        <v>1537</v>
      </c>
      <c r="F146" s="7" t="s">
        <v>1538</v>
      </c>
      <c r="G146" s="7" t="s">
        <v>1539</v>
      </c>
      <c r="H146" s="7" t="s">
        <v>37</v>
      </c>
      <c r="I146" s="7" t="s">
        <v>1504</v>
      </c>
      <c r="J146" s="7" t="s">
        <v>1473</v>
      </c>
      <c r="K146" s="7" t="s">
        <v>1505</v>
      </c>
      <c r="L146" s="12">
        <v>1</v>
      </c>
      <c r="M146" s="7" t="s">
        <v>1334</v>
      </c>
    </row>
    <row r="147" spans="2:13" ht="52.5" customHeight="1" x14ac:dyDescent="0.35">
      <c r="B147" s="11">
        <v>11</v>
      </c>
      <c r="C147" s="5" t="s">
        <v>1327</v>
      </c>
      <c r="D147" s="11">
        <v>50</v>
      </c>
      <c r="E147" s="5" t="s">
        <v>1540</v>
      </c>
      <c r="F147" s="5" t="s">
        <v>1541</v>
      </c>
      <c r="G147" s="5" t="s">
        <v>212</v>
      </c>
      <c r="H147" s="5" t="s">
        <v>306</v>
      </c>
      <c r="I147" s="5" t="s">
        <v>1542</v>
      </c>
      <c r="J147" s="5" t="s">
        <v>1543</v>
      </c>
      <c r="K147" s="5" t="s">
        <v>1544</v>
      </c>
      <c r="L147" s="11">
        <v>2</v>
      </c>
      <c r="M147" s="5" t="s">
        <v>1334</v>
      </c>
    </row>
    <row r="148" spans="2:13" ht="37.5" customHeight="1" x14ac:dyDescent="0.35">
      <c r="B148" s="12">
        <v>11</v>
      </c>
      <c r="C148" s="7" t="s">
        <v>1327</v>
      </c>
      <c r="D148" s="12">
        <v>51</v>
      </c>
      <c r="E148" s="7" t="s">
        <v>1545</v>
      </c>
      <c r="F148" s="7" t="s">
        <v>1546</v>
      </c>
      <c r="G148" s="7" t="s">
        <v>648</v>
      </c>
      <c r="H148" s="7" t="s">
        <v>37</v>
      </c>
      <c r="I148" s="7" t="s">
        <v>1504</v>
      </c>
      <c r="J148" s="7" t="s">
        <v>1473</v>
      </c>
      <c r="K148" s="7" t="s">
        <v>1505</v>
      </c>
      <c r="L148" s="12">
        <v>1</v>
      </c>
      <c r="M148" s="7" t="s">
        <v>1334</v>
      </c>
    </row>
    <row r="149" spans="2:13" ht="67.5" customHeight="1" x14ac:dyDescent="0.35">
      <c r="B149" s="11">
        <v>11</v>
      </c>
      <c r="C149" s="5" t="s">
        <v>1327</v>
      </c>
      <c r="D149" s="11">
        <v>52</v>
      </c>
      <c r="E149" s="5" t="s">
        <v>1547</v>
      </c>
      <c r="F149" s="5" t="s">
        <v>1548</v>
      </c>
      <c r="G149" s="5" t="s">
        <v>749</v>
      </c>
      <c r="H149" s="5" t="s">
        <v>1320</v>
      </c>
      <c r="I149" s="5" t="s">
        <v>1549</v>
      </c>
      <c r="J149" s="5" t="s">
        <v>1550</v>
      </c>
      <c r="K149" s="5" t="s">
        <v>1551</v>
      </c>
      <c r="L149" s="11">
        <v>2</v>
      </c>
      <c r="M149" s="5" t="s">
        <v>1334</v>
      </c>
    </row>
    <row r="150" spans="2:13" ht="37.5" customHeight="1" x14ac:dyDescent="0.35">
      <c r="B150" s="12">
        <v>11</v>
      </c>
      <c r="C150" s="7" t="s">
        <v>1327</v>
      </c>
      <c r="D150" s="12">
        <v>53</v>
      </c>
      <c r="E150" s="7" t="s">
        <v>1552</v>
      </c>
      <c r="F150" s="7" t="s">
        <v>1553</v>
      </c>
      <c r="G150" s="7" t="s">
        <v>616</v>
      </c>
      <c r="H150" s="7" t="s">
        <v>37</v>
      </c>
      <c r="I150" s="7" t="s">
        <v>1504</v>
      </c>
      <c r="J150" s="7" t="s">
        <v>1473</v>
      </c>
      <c r="K150" s="7" t="s">
        <v>1505</v>
      </c>
      <c r="L150" s="12">
        <v>1</v>
      </c>
      <c r="M150" s="7" t="s">
        <v>1334</v>
      </c>
    </row>
    <row r="151" spans="2:13" ht="37.5" customHeight="1" x14ac:dyDescent="0.35">
      <c r="B151" s="11">
        <v>11</v>
      </c>
      <c r="C151" s="5" t="s">
        <v>1327</v>
      </c>
      <c r="D151" s="11">
        <v>54</v>
      </c>
      <c r="E151" s="5" t="s">
        <v>1554</v>
      </c>
      <c r="F151" s="5" t="s">
        <v>1555</v>
      </c>
      <c r="G151" s="5" t="s">
        <v>877</v>
      </c>
      <c r="H151" s="5" t="s">
        <v>37</v>
      </c>
      <c r="I151" s="5" t="s">
        <v>1504</v>
      </c>
      <c r="J151" s="5" t="s">
        <v>1473</v>
      </c>
      <c r="K151" s="5" t="s">
        <v>1505</v>
      </c>
      <c r="L151" s="11">
        <v>1</v>
      </c>
      <c r="M151" s="5" t="s">
        <v>1334</v>
      </c>
    </row>
    <row r="152" spans="2:13" ht="37.5" customHeight="1" x14ac:dyDescent="0.35">
      <c r="B152" s="12">
        <v>11</v>
      </c>
      <c r="C152" s="7" t="s">
        <v>1327</v>
      </c>
      <c r="D152" s="12">
        <v>55</v>
      </c>
      <c r="E152" s="7" t="s">
        <v>1556</v>
      </c>
      <c r="F152" s="7" t="s">
        <v>1557</v>
      </c>
      <c r="G152" s="7" t="s">
        <v>656</v>
      </c>
      <c r="H152" s="7" t="s">
        <v>37</v>
      </c>
      <c r="I152" s="7" t="s">
        <v>1504</v>
      </c>
      <c r="J152" s="7" t="s">
        <v>1473</v>
      </c>
      <c r="K152" s="7" t="s">
        <v>1505</v>
      </c>
      <c r="L152" s="12">
        <v>1</v>
      </c>
      <c r="M152" s="7" t="s">
        <v>1334</v>
      </c>
    </row>
    <row r="153" spans="2:13" ht="37.5" customHeight="1" x14ac:dyDescent="0.35">
      <c r="B153" s="11">
        <v>11</v>
      </c>
      <c r="C153" s="5" t="s">
        <v>1327</v>
      </c>
      <c r="D153" s="11">
        <v>56</v>
      </c>
      <c r="E153" s="5" t="s">
        <v>1558</v>
      </c>
      <c r="F153" s="5" t="s">
        <v>1559</v>
      </c>
      <c r="G153" s="5" t="s">
        <v>1560</v>
      </c>
      <c r="H153" s="5" t="s">
        <v>1561</v>
      </c>
      <c r="I153" s="5" t="s">
        <v>1562</v>
      </c>
      <c r="J153" s="5" t="s">
        <v>1063</v>
      </c>
      <c r="K153" s="5" t="s">
        <v>1563</v>
      </c>
      <c r="L153" s="11">
        <v>1</v>
      </c>
      <c r="M153" s="5" t="s">
        <v>1334</v>
      </c>
    </row>
    <row r="154" spans="2:13" ht="52.5" customHeight="1" x14ac:dyDescent="0.35">
      <c r="B154" s="12">
        <v>11</v>
      </c>
      <c r="C154" s="7" t="s">
        <v>1327</v>
      </c>
      <c r="D154" s="12">
        <v>57</v>
      </c>
      <c r="E154" s="7" t="s">
        <v>1564</v>
      </c>
      <c r="F154" s="7" t="s">
        <v>1565</v>
      </c>
      <c r="G154" s="7" t="s">
        <v>766</v>
      </c>
      <c r="H154" s="7" t="s">
        <v>591</v>
      </c>
      <c r="I154" s="7" t="s">
        <v>1566</v>
      </c>
      <c r="J154" s="7" t="s">
        <v>1550</v>
      </c>
      <c r="K154" s="7" t="s">
        <v>1567</v>
      </c>
      <c r="L154" s="12">
        <v>2</v>
      </c>
      <c r="M154" s="7" t="s">
        <v>1334</v>
      </c>
    </row>
    <row r="155" spans="2:13" ht="37.5" customHeight="1" x14ac:dyDescent="0.35">
      <c r="B155" s="11">
        <v>11</v>
      </c>
      <c r="C155" s="5" t="s">
        <v>1327</v>
      </c>
      <c r="D155" s="11">
        <v>58</v>
      </c>
      <c r="E155" s="5" t="s">
        <v>1568</v>
      </c>
      <c r="F155" s="5" t="s">
        <v>1569</v>
      </c>
      <c r="G155" s="5" t="s">
        <v>755</v>
      </c>
      <c r="H155" s="5" t="s">
        <v>37</v>
      </c>
      <c r="I155" s="5" t="s">
        <v>1504</v>
      </c>
      <c r="J155" s="5" t="s">
        <v>1473</v>
      </c>
      <c r="K155" s="5" t="s">
        <v>1505</v>
      </c>
      <c r="L155" s="11">
        <v>1</v>
      </c>
      <c r="M155" s="5" t="s">
        <v>1334</v>
      </c>
    </row>
    <row r="156" spans="2:13" ht="37.5" customHeight="1" x14ac:dyDescent="0.35">
      <c r="B156" s="12">
        <v>11</v>
      </c>
      <c r="C156" s="7" t="s">
        <v>1327</v>
      </c>
      <c r="D156" s="12">
        <v>59</v>
      </c>
      <c r="E156" s="7" t="s">
        <v>1570</v>
      </c>
      <c r="F156" s="7" t="s">
        <v>1571</v>
      </c>
      <c r="G156" s="7" t="s">
        <v>631</v>
      </c>
      <c r="H156" s="7" t="s">
        <v>37</v>
      </c>
      <c r="I156" s="7" t="s">
        <v>1504</v>
      </c>
      <c r="J156" s="7" t="s">
        <v>1473</v>
      </c>
      <c r="K156" s="7" t="s">
        <v>1505</v>
      </c>
      <c r="L156" s="12">
        <v>1</v>
      </c>
      <c r="M156" s="7" t="s">
        <v>1334</v>
      </c>
    </row>
    <row r="157" spans="2:13" ht="37.5" customHeight="1" x14ac:dyDescent="0.35">
      <c r="B157" s="11">
        <v>11</v>
      </c>
      <c r="C157" s="5" t="s">
        <v>1327</v>
      </c>
      <c r="D157" s="11">
        <v>60</v>
      </c>
      <c r="E157" s="5" t="s">
        <v>1572</v>
      </c>
      <c r="F157" s="5" t="s">
        <v>1573</v>
      </c>
      <c r="G157" s="5" t="s">
        <v>244</v>
      </c>
      <c r="H157" s="5" t="s">
        <v>1574</v>
      </c>
      <c r="I157" s="5" t="s">
        <v>56</v>
      </c>
      <c r="J157" s="5" t="s">
        <v>1063</v>
      </c>
      <c r="K157" s="5" t="s">
        <v>1575</v>
      </c>
      <c r="L157" s="11">
        <v>1</v>
      </c>
      <c r="M157" s="5" t="s">
        <v>1334</v>
      </c>
    </row>
    <row r="158" spans="2:13" ht="21.75" customHeight="1" x14ac:dyDescent="0.35">
      <c r="B158" s="12">
        <v>11</v>
      </c>
      <c r="C158" s="7" t="s">
        <v>1327</v>
      </c>
      <c r="D158" s="12">
        <v>61</v>
      </c>
      <c r="E158" s="7" t="s">
        <v>1576</v>
      </c>
      <c r="F158" s="7" t="s">
        <v>1577</v>
      </c>
      <c r="G158" s="7" t="s">
        <v>918</v>
      </c>
      <c r="H158" s="7" t="s">
        <v>43</v>
      </c>
      <c r="I158" s="7" t="s">
        <v>1578</v>
      </c>
      <c r="J158" s="7" t="s">
        <v>1579</v>
      </c>
      <c r="K158" s="7" t="s">
        <v>1580</v>
      </c>
      <c r="L158" s="12">
        <v>1</v>
      </c>
      <c r="M158" s="7" t="s">
        <v>1334</v>
      </c>
    </row>
    <row r="159" spans="2:13" ht="52.5" customHeight="1" x14ac:dyDescent="0.35">
      <c r="B159" s="11">
        <v>11</v>
      </c>
      <c r="C159" s="5" t="s">
        <v>1327</v>
      </c>
      <c r="D159" s="11">
        <v>62</v>
      </c>
      <c r="E159" s="5" t="s">
        <v>1581</v>
      </c>
      <c r="F159" s="5" t="s">
        <v>1582</v>
      </c>
      <c r="G159" s="5" t="s">
        <v>28</v>
      </c>
      <c r="H159" s="5" t="s">
        <v>1583</v>
      </c>
      <c r="I159" s="5" t="s">
        <v>1584</v>
      </c>
      <c r="J159" s="5" t="s">
        <v>1585</v>
      </c>
      <c r="K159" s="5" t="s">
        <v>1586</v>
      </c>
      <c r="L159" s="11">
        <v>3</v>
      </c>
      <c r="M159" s="5" t="s">
        <v>1334</v>
      </c>
    </row>
    <row r="160" spans="2:13" ht="37.5" customHeight="1" x14ac:dyDescent="0.35">
      <c r="B160" s="12">
        <v>11</v>
      </c>
      <c r="C160" s="7" t="s">
        <v>1327</v>
      </c>
      <c r="D160" s="12">
        <v>63</v>
      </c>
      <c r="E160" s="7" t="s">
        <v>1587</v>
      </c>
      <c r="F160" s="7" t="s">
        <v>1588</v>
      </c>
      <c r="G160" s="7" t="s">
        <v>1589</v>
      </c>
      <c r="H160" s="7" t="s">
        <v>43</v>
      </c>
      <c r="I160" s="7" t="s">
        <v>1093</v>
      </c>
      <c r="J160" s="7" t="s">
        <v>1063</v>
      </c>
      <c r="K160" s="7" t="s">
        <v>1590</v>
      </c>
      <c r="L160" s="12">
        <v>1</v>
      </c>
      <c r="M160" s="7" t="s">
        <v>1334</v>
      </c>
    </row>
    <row r="161" spans="2:13" ht="37.5" customHeight="1" x14ac:dyDescent="0.35">
      <c r="B161" s="11">
        <v>11</v>
      </c>
      <c r="C161" s="5" t="s">
        <v>1327</v>
      </c>
      <c r="D161" s="11">
        <v>64</v>
      </c>
      <c r="E161" s="5" t="s">
        <v>1591</v>
      </c>
      <c r="F161" s="5" t="s">
        <v>1592</v>
      </c>
      <c r="G161" s="5" t="s">
        <v>1593</v>
      </c>
      <c r="H161" s="5" t="s">
        <v>473</v>
      </c>
      <c r="I161" s="5" t="s">
        <v>52</v>
      </c>
      <c r="J161" s="5" t="s">
        <v>1063</v>
      </c>
      <c r="K161" s="5" t="s">
        <v>1417</v>
      </c>
      <c r="L161" s="11">
        <v>1</v>
      </c>
      <c r="M161" s="5" t="s">
        <v>1334</v>
      </c>
    </row>
    <row r="162" spans="2:13" ht="37.5" customHeight="1" x14ac:dyDescent="0.35">
      <c r="B162" s="12">
        <v>11</v>
      </c>
      <c r="C162" s="7" t="s">
        <v>1327</v>
      </c>
      <c r="D162" s="12">
        <v>65</v>
      </c>
      <c r="E162" s="7" t="s">
        <v>1594</v>
      </c>
      <c r="F162" s="7" t="s">
        <v>1595</v>
      </c>
      <c r="G162" s="7" t="s">
        <v>805</v>
      </c>
      <c r="H162" s="7" t="s">
        <v>473</v>
      </c>
      <c r="I162" s="7" t="s">
        <v>52</v>
      </c>
      <c r="J162" s="7" t="s">
        <v>1063</v>
      </c>
      <c r="K162" s="7" t="s">
        <v>1417</v>
      </c>
      <c r="L162" s="12">
        <v>1</v>
      </c>
      <c r="M162" s="7" t="s">
        <v>1334</v>
      </c>
    </row>
    <row r="163" spans="2:13" ht="37.5" customHeight="1" x14ac:dyDescent="0.35">
      <c r="B163" s="11">
        <v>11</v>
      </c>
      <c r="C163" s="5" t="s">
        <v>1327</v>
      </c>
      <c r="D163" s="11">
        <v>66</v>
      </c>
      <c r="E163" s="5" t="s">
        <v>1596</v>
      </c>
      <c r="F163" s="5" t="s">
        <v>1597</v>
      </c>
      <c r="G163" s="5" t="s">
        <v>778</v>
      </c>
      <c r="H163" s="5" t="s">
        <v>1598</v>
      </c>
      <c r="I163" s="5" t="s">
        <v>1599</v>
      </c>
      <c r="J163" s="5" t="s">
        <v>404</v>
      </c>
      <c r="K163" s="5" t="s">
        <v>1600</v>
      </c>
      <c r="L163" s="11">
        <v>2</v>
      </c>
      <c r="M163" s="5" t="s">
        <v>1334</v>
      </c>
    </row>
    <row r="164" spans="2:13" ht="21.75" customHeight="1" x14ac:dyDescent="0.35">
      <c r="B164" s="12">
        <v>11</v>
      </c>
      <c r="C164" s="7" t="s">
        <v>1327</v>
      </c>
      <c r="D164" s="12">
        <v>67</v>
      </c>
      <c r="E164" s="7" t="s">
        <v>1601</v>
      </c>
      <c r="F164" s="7" t="s">
        <v>1602</v>
      </c>
      <c r="G164" s="7" t="s">
        <v>1603</v>
      </c>
      <c r="H164" s="7" t="s">
        <v>36</v>
      </c>
      <c r="I164" s="7" t="s">
        <v>1259</v>
      </c>
      <c r="J164" s="7" t="s">
        <v>663</v>
      </c>
      <c r="K164" s="7" t="s">
        <v>1387</v>
      </c>
      <c r="L164" s="12">
        <v>1</v>
      </c>
      <c r="M164" s="7" t="s">
        <v>1334</v>
      </c>
    </row>
    <row r="165" spans="2:13" ht="21.75" customHeight="1" x14ac:dyDescent="0.35">
      <c r="B165" s="11">
        <v>11</v>
      </c>
      <c r="C165" s="5" t="s">
        <v>1327</v>
      </c>
      <c r="D165" s="11">
        <v>68</v>
      </c>
      <c r="E165" s="5" t="s">
        <v>1604</v>
      </c>
      <c r="F165" s="5" t="s">
        <v>1605</v>
      </c>
      <c r="G165" s="5" t="s">
        <v>1606</v>
      </c>
      <c r="H165" s="5" t="s">
        <v>1426</v>
      </c>
      <c r="I165" s="5" t="s">
        <v>1427</v>
      </c>
      <c r="J165" s="5" t="s">
        <v>404</v>
      </c>
      <c r="K165" s="5" t="s">
        <v>1607</v>
      </c>
      <c r="L165" s="11">
        <v>1</v>
      </c>
      <c r="M165" s="5" t="s">
        <v>1334</v>
      </c>
    </row>
    <row r="166" spans="2:13" ht="37.5" customHeight="1" x14ac:dyDescent="0.35">
      <c r="B166" s="12">
        <v>11</v>
      </c>
      <c r="C166" s="7" t="s">
        <v>1327</v>
      </c>
      <c r="D166" s="12">
        <v>69</v>
      </c>
      <c r="E166" s="7" t="s">
        <v>1608</v>
      </c>
      <c r="F166" s="7" t="s">
        <v>1609</v>
      </c>
      <c r="G166" s="7" t="s">
        <v>1610</v>
      </c>
      <c r="H166" s="7" t="s">
        <v>1426</v>
      </c>
      <c r="I166" s="7" t="s">
        <v>1427</v>
      </c>
      <c r="J166" s="7" t="s">
        <v>404</v>
      </c>
      <c r="K166" s="7" t="s">
        <v>1607</v>
      </c>
      <c r="L166" s="12">
        <v>1</v>
      </c>
      <c r="M166" s="7" t="s">
        <v>1334</v>
      </c>
    </row>
    <row r="167" spans="2:13" ht="37.5" customHeight="1" x14ac:dyDescent="0.35">
      <c r="B167" s="11">
        <v>11</v>
      </c>
      <c r="C167" s="5" t="s">
        <v>1327</v>
      </c>
      <c r="D167" s="11">
        <v>70</v>
      </c>
      <c r="E167" s="5" t="s">
        <v>1611</v>
      </c>
      <c r="F167" s="5" t="s">
        <v>1612</v>
      </c>
      <c r="G167" s="5" t="s">
        <v>206</v>
      </c>
      <c r="H167" s="5" t="s">
        <v>37</v>
      </c>
      <c r="I167" s="5" t="s">
        <v>1504</v>
      </c>
      <c r="J167" s="5" t="s">
        <v>1473</v>
      </c>
      <c r="K167" s="5" t="s">
        <v>1505</v>
      </c>
      <c r="L167" s="11">
        <v>1</v>
      </c>
      <c r="M167" s="5" t="s">
        <v>1334</v>
      </c>
    </row>
    <row r="168" spans="2:13" ht="37.5" customHeight="1" x14ac:dyDescent="0.35">
      <c r="B168" s="12">
        <v>11</v>
      </c>
      <c r="C168" s="7" t="s">
        <v>1327</v>
      </c>
      <c r="D168" s="12">
        <v>71</v>
      </c>
      <c r="E168" s="7" t="s">
        <v>1613</v>
      </c>
      <c r="F168" s="7" t="s">
        <v>1614</v>
      </c>
      <c r="G168" s="7" t="s">
        <v>202</v>
      </c>
      <c r="H168" s="7" t="s">
        <v>37</v>
      </c>
      <c r="I168" s="7" t="s">
        <v>1504</v>
      </c>
      <c r="J168" s="7" t="s">
        <v>1473</v>
      </c>
      <c r="K168" s="7" t="s">
        <v>1505</v>
      </c>
      <c r="L168" s="12">
        <v>1</v>
      </c>
      <c r="M168" s="7" t="s">
        <v>1334</v>
      </c>
    </row>
    <row r="169" spans="2:13" ht="37.5" customHeight="1" x14ac:dyDescent="0.35">
      <c r="B169" s="11">
        <v>11</v>
      </c>
      <c r="C169" s="5" t="s">
        <v>1327</v>
      </c>
      <c r="D169" s="11">
        <v>72</v>
      </c>
      <c r="E169" s="5" t="s">
        <v>1615</v>
      </c>
      <c r="F169" s="5" t="s">
        <v>1616</v>
      </c>
      <c r="G169" s="5" t="s">
        <v>1617</v>
      </c>
      <c r="H169" s="5" t="s">
        <v>37</v>
      </c>
      <c r="I169" s="5" t="s">
        <v>1504</v>
      </c>
      <c r="J169" s="5" t="s">
        <v>1473</v>
      </c>
      <c r="K169" s="5" t="s">
        <v>1505</v>
      </c>
      <c r="L169" s="11">
        <v>1</v>
      </c>
      <c r="M169" s="5" t="s">
        <v>1334</v>
      </c>
    </row>
    <row r="170" spans="2:13" ht="37.5" customHeight="1" x14ac:dyDescent="0.35">
      <c r="B170" s="12">
        <v>11</v>
      </c>
      <c r="C170" s="7" t="s">
        <v>1327</v>
      </c>
      <c r="D170" s="12">
        <v>73</v>
      </c>
      <c r="E170" s="7" t="s">
        <v>1618</v>
      </c>
      <c r="F170" s="7" t="s">
        <v>1619</v>
      </c>
      <c r="G170" s="7" t="s">
        <v>927</v>
      </c>
      <c r="H170" s="7" t="s">
        <v>37</v>
      </c>
      <c r="I170" s="7" t="s">
        <v>1504</v>
      </c>
      <c r="J170" s="7" t="s">
        <v>1473</v>
      </c>
      <c r="K170" s="7" t="s">
        <v>1505</v>
      </c>
      <c r="L170" s="12">
        <v>1</v>
      </c>
      <c r="M170" s="7" t="s">
        <v>1334</v>
      </c>
    </row>
    <row r="171" spans="2:13" ht="37.5" customHeight="1" x14ac:dyDescent="0.35">
      <c r="B171" s="11">
        <v>11</v>
      </c>
      <c r="C171" s="5" t="s">
        <v>1327</v>
      </c>
      <c r="D171" s="11">
        <v>74</v>
      </c>
      <c r="E171" s="5" t="s">
        <v>1620</v>
      </c>
      <c r="F171" s="5" t="s">
        <v>1621</v>
      </c>
      <c r="G171" s="5" t="s">
        <v>1622</v>
      </c>
      <c r="H171" s="5" t="s">
        <v>1574</v>
      </c>
      <c r="I171" s="5" t="s">
        <v>56</v>
      </c>
      <c r="J171" s="5" t="s">
        <v>1063</v>
      </c>
      <c r="K171" s="5" t="s">
        <v>1575</v>
      </c>
      <c r="L171" s="11">
        <v>1</v>
      </c>
      <c r="M171" s="5" t="s">
        <v>1334</v>
      </c>
    </row>
    <row r="172" spans="2:13" ht="37.5" customHeight="1" x14ac:dyDescent="0.35">
      <c r="B172" s="12">
        <v>11</v>
      </c>
      <c r="C172" s="7" t="s">
        <v>1327</v>
      </c>
      <c r="D172" s="12">
        <v>75</v>
      </c>
      <c r="E172" s="7" t="s">
        <v>1623</v>
      </c>
      <c r="F172" s="7" t="s">
        <v>1624</v>
      </c>
      <c r="G172" s="7" t="s">
        <v>736</v>
      </c>
      <c r="H172" s="7" t="s">
        <v>1574</v>
      </c>
      <c r="I172" s="7" t="s">
        <v>56</v>
      </c>
      <c r="J172" s="7" t="s">
        <v>404</v>
      </c>
      <c r="K172" s="7" t="s">
        <v>1625</v>
      </c>
      <c r="L172" s="12">
        <v>1</v>
      </c>
      <c r="M172" s="7" t="s">
        <v>1334</v>
      </c>
    </row>
    <row r="173" spans="2:13" ht="21.75" customHeight="1" x14ac:dyDescent="0.35">
      <c r="B173" s="11">
        <v>11</v>
      </c>
      <c r="C173" s="5" t="s">
        <v>1327</v>
      </c>
      <c r="D173" s="11">
        <v>76</v>
      </c>
      <c r="E173" s="5" t="s">
        <v>1626</v>
      </c>
      <c r="F173" s="5" t="s">
        <v>1627</v>
      </c>
      <c r="G173" s="5" t="s">
        <v>1628</v>
      </c>
      <c r="H173" s="5" t="s">
        <v>1574</v>
      </c>
      <c r="I173" s="5" t="s">
        <v>56</v>
      </c>
      <c r="J173" s="5" t="s">
        <v>404</v>
      </c>
      <c r="K173" s="5" t="s">
        <v>1625</v>
      </c>
      <c r="L173" s="11">
        <v>1</v>
      </c>
      <c r="M173" s="5" t="s">
        <v>1334</v>
      </c>
    </row>
    <row r="174" spans="2:13" ht="21.75" customHeight="1" x14ac:dyDescent="0.35">
      <c r="B174" s="12">
        <v>11</v>
      </c>
      <c r="C174" s="7" t="s">
        <v>1327</v>
      </c>
      <c r="D174" s="12">
        <v>77</v>
      </c>
      <c r="E174" s="7" t="s">
        <v>1629</v>
      </c>
      <c r="F174" s="7" t="s">
        <v>1630</v>
      </c>
      <c r="G174" s="7" t="s">
        <v>32</v>
      </c>
      <c r="H174" s="7" t="s">
        <v>40</v>
      </c>
      <c r="I174" s="7" t="s">
        <v>56</v>
      </c>
      <c r="J174" s="7" t="s">
        <v>404</v>
      </c>
      <c r="K174" s="7" t="s">
        <v>1631</v>
      </c>
      <c r="L174" s="12">
        <v>1</v>
      </c>
      <c r="M174" s="7" t="s">
        <v>1334</v>
      </c>
    </row>
    <row r="175" spans="2:13" ht="37.5" customHeight="1" x14ac:dyDescent="0.35">
      <c r="B175" s="11">
        <v>11</v>
      </c>
      <c r="C175" s="5" t="s">
        <v>1327</v>
      </c>
      <c r="D175" s="11">
        <v>78</v>
      </c>
      <c r="E175" s="5" t="s">
        <v>1632</v>
      </c>
      <c r="F175" s="5" t="s">
        <v>1633</v>
      </c>
      <c r="G175" s="5" t="s">
        <v>653</v>
      </c>
      <c r="H175" s="5" t="s">
        <v>43</v>
      </c>
      <c r="I175" s="5" t="s">
        <v>1093</v>
      </c>
      <c r="J175" s="5" t="s">
        <v>404</v>
      </c>
      <c r="K175" s="5" t="s">
        <v>1634</v>
      </c>
      <c r="L175" s="11">
        <v>1</v>
      </c>
      <c r="M175" s="5" t="s">
        <v>1334</v>
      </c>
    </row>
    <row r="176" spans="2:13" ht="21.75" customHeight="1" x14ac:dyDescent="0.35">
      <c r="B176" s="12">
        <v>11</v>
      </c>
      <c r="C176" s="7" t="s">
        <v>1327</v>
      </c>
      <c r="D176" s="12">
        <v>79</v>
      </c>
      <c r="E176" s="7" t="s">
        <v>1635</v>
      </c>
      <c r="F176" s="7" t="s">
        <v>1636</v>
      </c>
      <c r="G176" s="7" t="s">
        <v>905</v>
      </c>
      <c r="H176" s="7" t="s">
        <v>473</v>
      </c>
      <c r="I176" s="7" t="s">
        <v>52</v>
      </c>
      <c r="J176" s="7" t="s">
        <v>404</v>
      </c>
      <c r="K176" s="7" t="s">
        <v>474</v>
      </c>
      <c r="L176" s="12">
        <v>1</v>
      </c>
      <c r="M176" s="7" t="s">
        <v>1334</v>
      </c>
    </row>
    <row r="177" spans="2:13" ht="37.5" customHeight="1" x14ac:dyDescent="0.35">
      <c r="B177" s="11">
        <v>11</v>
      </c>
      <c r="C177" s="5" t="s">
        <v>1327</v>
      </c>
      <c r="D177" s="11">
        <v>80</v>
      </c>
      <c r="E177" s="5" t="s">
        <v>1637</v>
      </c>
      <c r="F177" s="5" t="s">
        <v>1638</v>
      </c>
      <c r="G177" s="5" t="s">
        <v>752</v>
      </c>
      <c r="H177" s="5" t="s">
        <v>473</v>
      </c>
      <c r="I177" s="5" t="s">
        <v>52</v>
      </c>
      <c r="J177" s="5" t="s">
        <v>404</v>
      </c>
      <c r="K177" s="5" t="s">
        <v>474</v>
      </c>
      <c r="L177" s="11">
        <v>1</v>
      </c>
      <c r="M177" s="5" t="s">
        <v>1334</v>
      </c>
    </row>
    <row r="178" spans="2:13" ht="37.5" customHeight="1" x14ac:dyDescent="0.35">
      <c r="B178" s="12">
        <v>11</v>
      </c>
      <c r="C178" s="7" t="s">
        <v>1327</v>
      </c>
      <c r="D178" s="12">
        <v>81</v>
      </c>
      <c r="E178" s="7" t="s">
        <v>1639</v>
      </c>
      <c r="F178" s="7" t="s">
        <v>1640</v>
      </c>
      <c r="G178" s="7" t="s">
        <v>678</v>
      </c>
      <c r="H178" s="7" t="s">
        <v>1426</v>
      </c>
      <c r="I178" s="7" t="s">
        <v>1427</v>
      </c>
      <c r="J178" s="7" t="s">
        <v>404</v>
      </c>
      <c r="K178" s="7" t="s">
        <v>1607</v>
      </c>
      <c r="L178" s="12">
        <v>1</v>
      </c>
      <c r="M178" s="7" t="s">
        <v>1334</v>
      </c>
    </row>
    <row r="179" spans="2:13" ht="21.75" customHeight="1" x14ac:dyDescent="0.35">
      <c r="B179" s="11">
        <v>11</v>
      </c>
      <c r="C179" s="5" t="s">
        <v>1327</v>
      </c>
      <c r="D179" s="11">
        <v>82</v>
      </c>
      <c r="E179" s="5" t="s">
        <v>1641</v>
      </c>
      <c r="F179" s="5" t="s">
        <v>1642</v>
      </c>
      <c r="G179" s="5" t="s">
        <v>727</v>
      </c>
      <c r="H179" s="5" t="s">
        <v>1426</v>
      </c>
      <c r="I179" s="5" t="s">
        <v>1427</v>
      </c>
      <c r="J179" s="5" t="s">
        <v>404</v>
      </c>
      <c r="K179" s="5" t="s">
        <v>1607</v>
      </c>
      <c r="L179" s="11">
        <v>1</v>
      </c>
      <c r="M179" s="5" t="s">
        <v>1334</v>
      </c>
    </row>
    <row r="180" spans="2:13" ht="37.5" customHeight="1" x14ac:dyDescent="0.35">
      <c r="B180" s="12">
        <v>11</v>
      </c>
      <c r="C180" s="7" t="s">
        <v>1327</v>
      </c>
      <c r="D180" s="12">
        <v>83</v>
      </c>
      <c r="E180" s="7" t="s">
        <v>1643</v>
      </c>
      <c r="F180" s="7" t="s">
        <v>1644</v>
      </c>
      <c r="G180" s="7" t="s">
        <v>31</v>
      </c>
      <c r="H180" s="7" t="s">
        <v>1426</v>
      </c>
      <c r="I180" s="7" t="s">
        <v>1427</v>
      </c>
      <c r="J180" s="7" t="s">
        <v>404</v>
      </c>
      <c r="K180" s="7" t="s">
        <v>1607</v>
      </c>
      <c r="L180" s="12">
        <v>1</v>
      </c>
      <c r="M180" s="7" t="s">
        <v>1334</v>
      </c>
    </row>
    <row r="181" spans="2:13" ht="21.75" customHeight="1" x14ac:dyDescent="0.35">
      <c r="B181" s="11">
        <v>11</v>
      </c>
      <c r="C181" s="5" t="s">
        <v>1327</v>
      </c>
      <c r="D181" s="11">
        <v>84</v>
      </c>
      <c r="E181" s="5" t="s">
        <v>1645</v>
      </c>
      <c r="F181" s="5" t="s">
        <v>1646</v>
      </c>
      <c r="G181" s="5" t="s">
        <v>1647</v>
      </c>
      <c r="H181" s="5" t="s">
        <v>36</v>
      </c>
      <c r="I181" s="5" t="s">
        <v>1648</v>
      </c>
      <c r="J181" s="5" t="s">
        <v>1649</v>
      </c>
      <c r="K181" s="5" t="s">
        <v>1650</v>
      </c>
      <c r="L181" s="11">
        <v>1</v>
      </c>
      <c r="M181" s="5" t="s">
        <v>1334</v>
      </c>
    </row>
    <row r="182" spans="2:13" ht="21.75" customHeight="1" x14ac:dyDescent="0.35">
      <c r="B182" s="12">
        <v>11</v>
      </c>
      <c r="C182" s="7" t="s">
        <v>1327</v>
      </c>
      <c r="D182" s="12">
        <v>85</v>
      </c>
      <c r="E182" s="7" t="s">
        <v>1651</v>
      </c>
      <c r="F182" s="7" t="s">
        <v>1652</v>
      </c>
      <c r="G182" s="7" t="s">
        <v>1653</v>
      </c>
      <c r="H182" s="7" t="s">
        <v>37</v>
      </c>
      <c r="I182" s="7" t="s">
        <v>1264</v>
      </c>
      <c r="J182" s="7" t="s">
        <v>1192</v>
      </c>
      <c r="K182" s="7" t="s">
        <v>1654</v>
      </c>
      <c r="L182" s="12">
        <v>1</v>
      </c>
      <c r="M182" s="7" t="s">
        <v>1334</v>
      </c>
    </row>
    <row r="183" spans="2:13" ht="37.5" customHeight="1" x14ac:dyDescent="0.35">
      <c r="B183" s="11">
        <v>11</v>
      </c>
      <c r="C183" s="5" t="s">
        <v>1327</v>
      </c>
      <c r="D183" s="11">
        <v>86</v>
      </c>
      <c r="E183" s="5" t="s">
        <v>1655</v>
      </c>
      <c r="F183" s="5" t="s">
        <v>1656</v>
      </c>
      <c r="G183" s="5" t="s">
        <v>1657</v>
      </c>
      <c r="H183" s="5" t="s">
        <v>40</v>
      </c>
      <c r="I183" s="5" t="s">
        <v>56</v>
      </c>
      <c r="J183" s="5" t="s">
        <v>1063</v>
      </c>
      <c r="K183" s="5" t="s">
        <v>1658</v>
      </c>
      <c r="L183" s="11">
        <v>1</v>
      </c>
      <c r="M183" s="5" t="s">
        <v>1334</v>
      </c>
    </row>
    <row r="184" spans="2:13" ht="21.75" customHeight="1" x14ac:dyDescent="0.35">
      <c r="B184" s="12">
        <v>11</v>
      </c>
      <c r="C184" s="7" t="s">
        <v>1327</v>
      </c>
      <c r="D184" s="12">
        <v>87</v>
      </c>
      <c r="E184" s="7" t="s">
        <v>1659</v>
      </c>
      <c r="F184" s="7" t="s">
        <v>1660</v>
      </c>
      <c r="G184" s="7" t="s">
        <v>1661</v>
      </c>
      <c r="H184" s="7" t="s">
        <v>43</v>
      </c>
      <c r="I184" s="7" t="s">
        <v>1578</v>
      </c>
      <c r="J184" s="7" t="s">
        <v>404</v>
      </c>
      <c r="K184" s="7" t="s">
        <v>1662</v>
      </c>
      <c r="L184" s="12">
        <v>1</v>
      </c>
      <c r="M184" s="7" t="s">
        <v>1334</v>
      </c>
    </row>
    <row r="185" spans="2:13" ht="37.5" customHeight="1" x14ac:dyDescent="0.35">
      <c r="B185" s="11">
        <v>11</v>
      </c>
      <c r="C185" s="5" t="s">
        <v>1327</v>
      </c>
      <c r="D185" s="11">
        <v>88</v>
      </c>
      <c r="E185" s="5" t="s">
        <v>1663</v>
      </c>
      <c r="F185" s="5" t="s">
        <v>1664</v>
      </c>
      <c r="G185" s="5" t="s">
        <v>701</v>
      </c>
      <c r="H185" s="5" t="s">
        <v>43</v>
      </c>
      <c r="I185" s="5" t="s">
        <v>806</v>
      </c>
      <c r="J185" s="5" t="s">
        <v>404</v>
      </c>
      <c r="K185" s="5" t="s">
        <v>807</v>
      </c>
      <c r="L185" s="11">
        <v>1</v>
      </c>
      <c r="M185" s="5" t="s">
        <v>1334</v>
      </c>
    </row>
    <row r="186" spans="2:13" ht="21.75" customHeight="1" x14ac:dyDescent="0.35">
      <c r="B186" s="12">
        <v>11</v>
      </c>
      <c r="C186" s="7" t="s">
        <v>1327</v>
      </c>
      <c r="D186" s="12">
        <v>89</v>
      </c>
      <c r="E186" s="7" t="s">
        <v>1665</v>
      </c>
      <c r="F186" s="7" t="s">
        <v>1666</v>
      </c>
      <c r="G186" s="7" t="s">
        <v>1667</v>
      </c>
      <c r="H186" s="7" t="s">
        <v>40</v>
      </c>
      <c r="I186" s="7" t="s">
        <v>56</v>
      </c>
      <c r="J186" s="7" t="s">
        <v>1063</v>
      </c>
      <c r="K186" s="7" t="s">
        <v>1658</v>
      </c>
      <c r="L186" s="12">
        <v>1</v>
      </c>
      <c r="M186" s="7" t="s">
        <v>1334</v>
      </c>
    </row>
    <row r="187" spans="2:13" ht="52.5" customHeight="1" x14ac:dyDescent="0.35">
      <c r="B187" s="11">
        <v>11</v>
      </c>
      <c r="C187" s="5" t="s">
        <v>1327</v>
      </c>
      <c r="D187" s="11">
        <v>90</v>
      </c>
      <c r="E187" s="5" t="s">
        <v>1668</v>
      </c>
      <c r="F187" s="5" t="s">
        <v>1669</v>
      </c>
      <c r="G187" s="5" t="s">
        <v>831</v>
      </c>
      <c r="H187" s="5" t="s">
        <v>591</v>
      </c>
      <c r="I187" s="5" t="s">
        <v>1670</v>
      </c>
      <c r="J187" s="5" t="s">
        <v>1671</v>
      </c>
      <c r="K187" s="5" t="s">
        <v>1672</v>
      </c>
      <c r="L187" s="11">
        <v>2</v>
      </c>
      <c r="M187" s="5" t="s">
        <v>1334</v>
      </c>
    </row>
    <row r="188" spans="2:13" ht="37.5" customHeight="1" x14ac:dyDescent="0.35">
      <c r="B188" s="12">
        <v>11</v>
      </c>
      <c r="C188" s="7" t="s">
        <v>1327</v>
      </c>
      <c r="D188" s="12">
        <v>91</v>
      </c>
      <c r="E188" s="7" t="s">
        <v>1673</v>
      </c>
      <c r="F188" s="7" t="s">
        <v>1674</v>
      </c>
      <c r="G188" s="7" t="s">
        <v>1675</v>
      </c>
      <c r="H188" s="7" t="s">
        <v>37</v>
      </c>
      <c r="I188" s="7" t="s">
        <v>1676</v>
      </c>
      <c r="J188" s="7" t="s">
        <v>1192</v>
      </c>
      <c r="K188" s="7" t="s">
        <v>1677</v>
      </c>
      <c r="L188" s="12">
        <v>1</v>
      </c>
      <c r="M188" s="7" t="s">
        <v>1334</v>
      </c>
    </row>
    <row r="189" spans="2:13" ht="21.75" customHeight="1" x14ac:dyDescent="0.35">
      <c r="B189" s="11">
        <v>11</v>
      </c>
      <c r="C189" s="5" t="s">
        <v>1327</v>
      </c>
      <c r="D189" s="11">
        <v>92</v>
      </c>
      <c r="E189" s="5" t="s">
        <v>1678</v>
      </c>
      <c r="F189" s="5" t="s">
        <v>1679</v>
      </c>
      <c r="G189" s="5" t="s">
        <v>1680</v>
      </c>
      <c r="H189" s="5" t="s">
        <v>40</v>
      </c>
      <c r="I189" s="5" t="s">
        <v>56</v>
      </c>
      <c r="J189" s="5" t="s">
        <v>404</v>
      </c>
      <c r="K189" s="5" t="s">
        <v>1631</v>
      </c>
      <c r="L189" s="11">
        <v>1</v>
      </c>
      <c r="M189" s="5" t="s">
        <v>1334</v>
      </c>
    </row>
    <row r="190" spans="2:13" ht="37.5" customHeight="1" x14ac:dyDescent="0.35">
      <c r="B190" s="12">
        <v>11</v>
      </c>
      <c r="C190" s="7" t="s">
        <v>1327</v>
      </c>
      <c r="D190" s="12">
        <v>93</v>
      </c>
      <c r="E190" s="7" t="s">
        <v>1681</v>
      </c>
      <c r="F190" s="7" t="s">
        <v>1682</v>
      </c>
      <c r="G190" s="7" t="s">
        <v>224</v>
      </c>
      <c r="H190" s="7" t="s">
        <v>37</v>
      </c>
      <c r="I190" s="7" t="s">
        <v>1676</v>
      </c>
      <c r="J190" s="7" t="s">
        <v>1192</v>
      </c>
      <c r="K190" s="7" t="s">
        <v>1677</v>
      </c>
      <c r="L190" s="12">
        <v>1</v>
      </c>
      <c r="M190" s="7" t="s">
        <v>1334</v>
      </c>
    </row>
    <row r="191" spans="2:13" ht="37.5" customHeight="1" x14ac:dyDescent="0.35">
      <c r="B191" s="11">
        <v>11</v>
      </c>
      <c r="C191" s="5" t="s">
        <v>1327</v>
      </c>
      <c r="D191" s="11">
        <v>94</v>
      </c>
      <c r="E191" s="5" t="s">
        <v>1683</v>
      </c>
      <c r="F191" s="5" t="s">
        <v>1684</v>
      </c>
      <c r="G191" s="5" t="s">
        <v>1685</v>
      </c>
      <c r="H191" s="5" t="s">
        <v>43</v>
      </c>
      <c r="I191" s="5" t="s">
        <v>1093</v>
      </c>
      <c r="J191" s="5" t="s">
        <v>404</v>
      </c>
      <c r="K191" s="5" t="s">
        <v>1634</v>
      </c>
      <c r="L191" s="11">
        <v>1</v>
      </c>
      <c r="M191" s="5" t="s">
        <v>1334</v>
      </c>
    </row>
    <row r="192" spans="2:13" ht="37.5" customHeight="1" x14ac:dyDescent="0.35">
      <c r="B192" s="12">
        <v>11</v>
      </c>
      <c r="C192" s="7" t="s">
        <v>1327</v>
      </c>
      <c r="D192" s="12">
        <v>95</v>
      </c>
      <c r="E192" s="7" t="s">
        <v>1686</v>
      </c>
      <c r="F192" s="7" t="s">
        <v>1687</v>
      </c>
      <c r="G192" s="7" t="s">
        <v>848</v>
      </c>
      <c r="H192" s="7" t="s">
        <v>817</v>
      </c>
      <c r="I192" s="7" t="s">
        <v>52</v>
      </c>
      <c r="J192" s="7" t="s">
        <v>404</v>
      </c>
      <c r="K192" s="7" t="s">
        <v>818</v>
      </c>
      <c r="L192" s="12">
        <v>1</v>
      </c>
      <c r="M192" s="7" t="s">
        <v>1334</v>
      </c>
    </row>
    <row r="193" spans="2:13" ht="37.5" customHeight="1" x14ac:dyDescent="0.35">
      <c r="B193" s="11">
        <v>11</v>
      </c>
      <c r="C193" s="5" t="s">
        <v>1327</v>
      </c>
      <c r="D193" s="11">
        <v>96</v>
      </c>
      <c r="E193" s="5" t="s">
        <v>1688</v>
      </c>
      <c r="F193" s="5" t="s">
        <v>1689</v>
      </c>
      <c r="G193" s="5" t="s">
        <v>851</v>
      </c>
      <c r="H193" s="5" t="s">
        <v>817</v>
      </c>
      <c r="I193" s="5" t="s">
        <v>52</v>
      </c>
      <c r="J193" s="5" t="s">
        <v>404</v>
      </c>
      <c r="K193" s="5" t="s">
        <v>818</v>
      </c>
      <c r="L193" s="11">
        <v>1</v>
      </c>
      <c r="M193" s="5" t="s">
        <v>1334</v>
      </c>
    </row>
    <row r="194" spans="2:13" ht="21.75" customHeight="1" x14ac:dyDescent="0.35">
      <c r="B194" s="12">
        <v>11</v>
      </c>
      <c r="C194" s="7" t="s">
        <v>1327</v>
      </c>
      <c r="D194" s="12">
        <v>97</v>
      </c>
      <c r="E194" s="7" t="s">
        <v>1690</v>
      </c>
      <c r="F194" s="7" t="s">
        <v>1691</v>
      </c>
      <c r="G194" s="7" t="s">
        <v>1692</v>
      </c>
      <c r="H194" s="7" t="s">
        <v>817</v>
      </c>
      <c r="I194" s="7" t="s">
        <v>52</v>
      </c>
      <c r="J194" s="7" t="s">
        <v>404</v>
      </c>
      <c r="K194" s="7" t="s">
        <v>818</v>
      </c>
      <c r="L194" s="12">
        <v>1</v>
      </c>
      <c r="M194" s="7" t="s">
        <v>1334</v>
      </c>
    </row>
    <row r="195" spans="2:13" ht="37.5" customHeight="1" x14ac:dyDescent="0.35">
      <c r="B195" s="11">
        <v>11</v>
      </c>
      <c r="C195" s="5" t="s">
        <v>1327</v>
      </c>
      <c r="D195" s="11">
        <v>98</v>
      </c>
      <c r="E195" s="5" t="s">
        <v>1693</v>
      </c>
      <c r="F195" s="5" t="s">
        <v>1694</v>
      </c>
      <c r="G195" s="5" t="s">
        <v>939</v>
      </c>
      <c r="H195" s="5" t="s">
        <v>817</v>
      </c>
      <c r="I195" s="5" t="s">
        <v>52</v>
      </c>
      <c r="J195" s="5" t="s">
        <v>404</v>
      </c>
      <c r="K195" s="5" t="s">
        <v>818</v>
      </c>
      <c r="L195" s="11">
        <v>1</v>
      </c>
      <c r="M195" s="5" t="s">
        <v>1334</v>
      </c>
    </row>
    <row r="196" spans="2:13" ht="21.75" customHeight="1" x14ac:dyDescent="0.35">
      <c r="B196" s="12">
        <v>11</v>
      </c>
      <c r="C196" s="7" t="s">
        <v>1327</v>
      </c>
      <c r="D196" s="12">
        <v>99</v>
      </c>
      <c r="E196" s="7" t="s">
        <v>1695</v>
      </c>
      <c r="F196" s="7" t="s">
        <v>1696</v>
      </c>
      <c r="G196" s="7" t="s">
        <v>862</v>
      </c>
      <c r="H196" s="7" t="s">
        <v>817</v>
      </c>
      <c r="I196" s="7" t="s">
        <v>52</v>
      </c>
      <c r="J196" s="7" t="s">
        <v>404</v>
      </c>
      <c r="K196" s="7" t="s">
        <v>818</v>
      </c>
      <c r="L196" s="12">
        <v>1</v>
      </c>
      <c r="M196" s="7" t="s">
        <v>1334</v>
      </c>
    </row>
    <row r="197" spans="2:13" ht="37.5" customHeight="1" x14ac:dyDescent="0.35">
      <c r="B197" s="11">
        <v>11</v>
      </c>
      <c r="C197" s="5" t="s">
        <v>1327</v>
      </c>
      <c r="D197" s="11">
        <v>100</v>
      </c>
      <c r="E197" s="5" t="s">
        <v>1697</v>
      </c>
      <c r="F197" s="5" t="s">
        <v>1698</v>
      </c>
      <c r="G197" s="5" t="s">
        <v>1699</v>
      </c>
      <c r="H197" s="5" t="s">
        <v>817</v>
      </c>
      <c r="I197" s="5" t="s">
        <v>52</v>
      </c>
      <c r="J197" s="5" t="s">
        <v>404</v>
      </c>
      <c r="K197" s="5" t="s">
        <v>818</v>
      </c>
      <c r="L197" s="11">
        <v>1</v>
      </c>
      <c r="M197" s="5" t="s">
        <v>1334</v>
      </c>
    </row>
    <row r="198" spans="2:13" ht="21.75" customHeight="1" x14ac:dyDescent="0.35">
      <c r="B198" s="12">
        <v>11</v>
      </c>
      <c r="C198" s="7" t="s">
        <v>1327</v>
      </c>
      <c r="D198" s="12">
        <v>101</v>
      </c>
      <c r="E198" s="7" t="s">
        <v>1700</v>
      </c>
      <c r="F198" s="7" t="s">
        <v>1701</v>
      </c>
      <c r="G198" s="7" t="s">
        <v>791</v>
      </c>
      <c r="H198" s="7" t="s">
        <v>817</v>
      </c>
      <c r="I198" s="7" t="s">
        <v>52</v>
      </c>
      <c r="J198" s="7" t="s">
        <v>404</v>
      </c>
      <c r="K198" s="7" t="s">
        <v>818</v>
      </c>
      <c r="L198" s="12">
        <v>1</v>
      </c>
      <c r="M198" s="7" t="s">
        <v>1334</v>
      </c>
    </row>
    <row r="199" spans="2:13" ht="21.75" customHeight="1" x14ac:dyDescent="0.35">
      <c r="B199" s="11">
        <v>11</v>
      </c>
      <c r="C199" s="5" t="s">
        <v>1327</v>
      </c>
      <c r="D199" s="11">
        <v>102</v>
      </c>
      <c r="E199" s="5" t="s">
        <v>1702</v>
      </c>
      <c r="F199" s="5" t="s">
        <v>1703</v>
      </c>
      <c r="G199" s="5" t="s">
        <v>670</v>
      </c>
      <c r="H199" s="5" t="s">
        <v>817</v>
      </c>
      <c r="I199" s="5" t="s">
        <v>52</v>
      </c>
      <c r="J199" s="5" t="s">
        <v>404</v>
      </c>
      <c r="K199" s="5" t="s">
        <v>818</v>
      </c>
      <c r="L199" s="11">
        <v>1</v>
      </c>
      <c r="M199" s="5" t="s">
        <v>1334</v>
      </c>
    </row>
    <row r="200" spans="2:13" ht="37.5" customHeight="1" x14ac:dyDescent="0.35">
      <c r="B200" s="12">
        <v>11</v>
      </c>
      <c r="C200" s="7" t="s">
        <v>1327</v>
      </c>
      <c r="D200" s="12">
        <v>103</v>
      </c>
      <c r="E200" s="7" t="s">
        <v>1704</v>
      </c>
      <c r="F200" s="7" t="s">
        <v>1705</v>
      </c>
      <c r="G200" s="7" t="s">
        <v>1240</v>
      </c>
      <c r="H200" s="7" t="s">
        <v>817</v>
      </c>
      <c r="I200" s="7" t="s">
        <v>52</v>
      </c>
      <c r="J200" s="7" t="s">
        <v>404</v>
      </c>
      <c r="K200" s="7" t="s">
        <v>818</v>
      </c>
      <c r="L200" s="12">
        <v>1</v>
      </c>
      <c r="M200" s="7" t="s">
        <v>1334</v>
      </c>
    </row>
    <row r="201" spans="2:13" ht="37.5" customHeight="1" x14ac:dyDescent="0.35">
      <c r="B201" s="11">
        <v>11</v>
      </c>
      <c r="C201" s="5" t="s">
        <v>1327</v>
      </c>
      <c r="D201" s="11">
        <v>104</v>
      </c>
      <c r="E201" s="5" t="s">
        <v>1706</v>
      </c>
      <c r="F201" s="5" t="s">
        <v>1707</v>
      </c>
      <c r="G201" s="5" t="s">
        <v>871</v>
      </c>
      <c r="H201" s="5" t="s">
        <v>40</v>
      </c>
      <c r="I201" s="5" t="s">
        <v>56</v>
      </c>
      <c r="J201" s="5" t="s">
        <v>404</v>
      </c>
      <c r="K201" s="5" t="s">
        <v>1631</v>
      </c>
      <c r="L201" s="11">
        <v>1</v>
      </c>
      <c r="M201" s="5" t="s">
        <v>1334</v>
      </c>
    </row>
    <row r="202" spans="2:13" ht="37.5" customHeight="1" x14ac:dyDescent="0.35">
      <c r="B202" s="12">
        <v>11</v>
      </c>
      <c r="C202" s="7" t="s">
        <v>1327</v>
      </c>
      <c r="D202" s="12">
        <v>105</v>
      </c>
      <c r="E202" s="7" t="s">
        <v>1708</v>
      </c>
      <c r="F202" s="7" t="s">
        <v>1709</v>
      </c>
      <c r="G202" s="7" t="s">
        <v>1710</v>
      </c>
      <c r="H202" s="7" t="s">
        <v>40</v>
      </c>
      <c r="I202" s="7" t="s">
        <v>56</v>
      </c>
      <c r="J202" s="7" t="s">
        <v>404</v>
      </c>
      <c r="K202" s="7" t="s">
        <v>1631</v>
      </c>
      <c r="L202" s="12">
        <v>1</v>
      </c>
      <c r="M202" s="7" t="s">
        <v>1334</v>
      </c>
    </row>
    <row r="203" spans="2:13" ht="21.75" customHeight="1" x14ac:dyDescent="0.35">
      <c r="B203" s="11">
        <v>11</v>
      </c>
      <c r="C203" s="5" t="s">
        <v>1327</v>
      </c>
      <c r="D203" s="11">
        <v>106</v>
      </c>
      <c r="E203" s="5" t="s">
        <v>1711</v>
      </c>
      <c r="F203" s="5" t="s">
        <v>1712</v>
      </c>
      <c r="G203" s="5" t="s">
        <v>1713</v>
      </c>
      <c r="H203" s="5" t="s">
        <v>40</v>
      </c>
      <c r="I203" s="5" t="s">
        <v>56</v>
      </c>
      <c r="J203" s="5" t="s">
        <v>404</v>
      </c>
      <c r="K203" s="5" t="s">
        <v>1631</v>
      </c>
      <c r="L203" s="11">
        <v>1</v>
      </c>
      <c r="M203" s="5" t="s">
        <v>1334</v>
      </c>
    </row>
    <row r="204" spans="2:13" ht="37.5" customHeight="1" x14ac:dyDescent="0.35">
      <c r="B204" s="12">
        <v>11</v>
      </c>
      <c r="C204" s="7" t="s">
        <v>1327</v>
      </c>
      <c r="D204" s="12">
        <v>107</v>
      </c>
      <c r="E204" s="7" t="s">
        <v>1714</v>
      </c>
      <c r="F204" s="7" t="s">
        <v>1715</v>
      </c>
      <c r="G204" s="7" t="s">
        <v>962</v>
      </c>
      <c r="H204" s="7" t="s">
        <v>40</v>
      </c>
      <c r="I204" s="7" t="s">
        <v>56</v>
      </c>
      <c r="J204" s="7" t="s">
        <v>404</v>
      </c>
      <c r="K204" s="7" t="s">
        <v>1631</v>
      </c>
      <c r="L204" s="12">
        <v>1</v>
      </c>
      <c r="M204" s="7" t="s">
        <v>1334</v>
      </c>
    </row>
    <row r="205" spans="2:13" ht="37.5" customHeight="1" x14ac:dyDescent="0.35">
      <c r="B205" s="11">
        <v>11</v>
      </c>
      <c r="C205" s="5" t="s">
        <v>1327</v>
      </c>
      <c r="D205" s="11">
        <v>108</v>
      </c>
      <c r="E205" s="5" t="s">
        <v>1716</v>
      </c>
      <c r="F205" s="5" t="s">
        <v>1717</v>
      </c>
      <c r="G205" s="5" t="s">
        <v>956</v>
      </c>
      <c r="H205" s="5" t="s">
        <v>838</v>
      </c>
      <c r="I205" s="5" t="s">
        <v>52</v>
      </c>
      <c r="J205" s="5" t="s">
        <v>404</v>
      </c>
      <c r="K205" s="5" t="s">
        <v>839</v>
      </c>
      <c r="L205" s="11">
        <v>1</v>
      </c>
      <c r="M205" s="5" t="s">
        <v>1334</v>
      </c>
    </row>
    <row r="206" spans="2:13" ht="37.5" customHeight="1" x14ac:dyDescent="0.35">
      <c r="B206" s="12">
        <v>11</v>
      </c>
      <c r="C206" s="7" t="s">
        <v>1327</v>
      </c>
      <c r="D206" s="12">
        <v>109</v>
      </c>
      <c r="E206" s="7" t="s">
        <v>1718</v>
      </c>
      <c r="F206" s="7" t="s">
        <v>1719</v>
      </c>
      <c r="G206" s="7" t="s">
        <v>1720</v>
      </c>
      <c r="H206" s="7" t="s">
        <v>838</v>
      </c>
      <c r="I206" s="7" t="s">
        <v>52</v>
      </c>
      <c r="J206" s="7" t="s">
        <v>404</v>
      </c>
      <c r="K206" s="7" t="s">
        <v>839</v>
      </c>
      <c r="L206" s="12">
        <v>1</v>
      </c>
      <c r="M206" s="7" t="s">
        <v>1334</v>
      </c>
    </row>
    <row r="207" spans="2:13" ht="37.5" customHeight="1" x14ac:dyDescent="0.35">
      <c r="B207" s="11">
        <v>11</v>
      </c>
      <c r="C207" s="5" t="s">
        <v>1327</v>
      </c>
      <c r="D207" s="11">
        <v>110</v>
      </c>
      <c r="E207" s="5" t="s">
        <v>1721</v>
      </c>
      <c r="F207" s="5" t="s">
        <v>1722</v>
      </c>
      <c r="G207" s="5" t="s">
        <v>1180</v>
      </c>
      <c r="H207" s="5" t="s">
        <v>838</v>
      </c>
      <c r="I207" s="5" t="s">
        <v>52</v>
      </c>
      <c r="J207" s="5" t="s">
        <v>404</v>
      </c>
      <c r="K207" s="5" t="s">
        <v>839</v>
      </c>
      <c r="L207" s="11">
        <v>1</v>
      </c>
      <c r="M207" s="5" t="s">
        <v>1334</v>
      </c>
    </row>
    <row r="208" spans="2:13" ht="21.75" customHeight="1" x14ac:dyDescent="0.35">
      <c r="B208" s="12">
        <v>11</v>
      </c>
      <c r="C208" s="7" t="s">
        <v>1327</v>
      </c>
      <c r="D208" s="12">
        <v>111</v>
      </c>
      <c r="E208" s="7" t="s">
        <v>1723</v>
      </c>
      <c r="F208" s="7" t="s">
        <v>1724</v>
      </c>
      <c r="G208" s="7" t="s">
        <v>1725</v>
      </c>
      <c r="H208" s="7" t="s">
        <v>43</v>
      </c>
      <c r="I208" s="7" t="s">
        <v>1093</v>
      </c>
      <c r="J208" s="7" t="s">
        <v>404</v>
      </c>
      <c r="K208" s="7" t="s">
        <v>1634</v>
      </c>
      <c r="L208" s="12">
        <v>1</v>
      </c>
      <c r="M208" s="7" t="s">
        <v>1334</v>
      </c>
    </row>
    <row r="209" spans="2:13" ht="37.5" customHeight="1" x14ac:dyDescent="0.35">
      <c r="B209" s="11">
        <v>11</v>
      </c>
      <c r="C209" s="5" t="s">
        <v>1327</v>
      </c>
      <c r="D209" s="11">
        <v>112</v>
      </c>
      <c r="E209" s="5" t="s">
        <v>1726</v>
      </c>
      <c r="F209" s="5" t="s">
        <v>1727</v>
      </c>
      <c r="G209" s="5" t="s">
        <v>993</v>
      </c>
      <c r="H209" s="5" t="s">
        <v>37</v>
      </c>
      <c r="I209" s="5" t="s">
        <v>1264</v>
      </c>
      <c r="J209" s="5" t="s">
        <v>1192</v>
      </c>
      <c r="K209" s="5" t="s">
        <v>1654</v>
      </c>
      <c r="L209" s="11">
        <v>1</v>
      </c>
      <c r="M209" s="5" t="s">
        <v>1334</v>
      </c>
    </row>
    <row r="210" spans="2:13" ht="37.5" customHeight="1" x14ac:dyDescent="0.35">
      <c r="B210" s="12">
        <v>11</v>
      </c>
      <c r="C210" s="7" t="s">
        <v>1327</v>
      </c>
      <c r="D210" s="12">
        <v>113</v>
      </c>
      <c r="E210" s="7" t="s">
        <v>1728</v>
      </c>
      <c r="F210" s="7" t="s">
        <v>1729</v>
      </c>
      <c r="G210" s="7" t="s">
        <v>1730</v>
      </c>
      <c r="H210" s="7" t="s">
        <v>1479</v>
      </c>
      <c r="I210" s="7" t="s">
        <v>1731</v>
      </c>
      <c r="J210" s="7" t="s">
        <v>1671</v>
      </c>
      <c r="K210" s="7" t="s">
        <v>1732</v>
      </c>
      <c r="L210" s="12">
        <v>2</v>
      </c>
      <c r="M210" s="7" t="s">
        <v>1334</v>
      </c>
    </row>
    <row r="211" spans="2:13" ht="21.75" customHeight="1" x14ac:dyDescent="0.35">
      <c r="B211" s="11">
        <v>11</v>
      </c>
      <c r="C211" s="5" t="s">
        <v>1327</v>
      </c>
      <c r="D211" s="11">
        <v>114</v>
      </c>
      <c r="E211" s="5" t="s">
        <v>1733</v>
      </c>
      <c r="F211" s="5" t="s">
        <v>1734</v>
      </c>
      <c r="G211" s="5" t="s">
        <v>1148</v>
      </c>
      <c r="H211" s="5" t="s">
        <v>37</v>
      </c>
      <c r="I211" s="5" t="s">
        <v>998</v>
      </c>
      <c r="J211" s="5" t="s">
        <v>1192</v>
      </c>
      <c r="K211" s="5" t="s">
        <v>1735</v>
      </c>
      <c r="L211" s="11">
        <v>1</v>
      </c>
      <c r="M211" s="5" t="s">
        <v>1334</v>
      </c>
    </row>
    <row r="212" spans="2:13" ht="52.5" customHeight="1" x14ac:dyDescent="0.35">
      <c r="B212" s="12">
        <v>11</v>
      </c>
      <c r="C212" s="7" t="s">
        <v>1327</v>
      </c>
      <c r="D212" s="12">
        <v>115</v>
      </c>
      <c r="E212" s="7" t="s">
        <v>1736</v>
      </c>
      <c r="F212" s="7" t="s">
        <v>1737</v>
      </c>
      <c r="G212" s="7" t="s">
        <v>32</v>
      </c>
      <c r="H212" s="7" t="s">
        <v>1738</v>
      </c>
      <c r="I212" s="7" t="s">
        <v>1584</v>
      </c>
      <c r="J212" s="7" t="s">
        <v>404</v>
      </c>
      <c r="K212" s="7" t="s">
        <v>1739</v>
      </c>
      <c r="L212" s="12">
        <v>2</v>
      </c>
      <c r="M212" s="7" t="s">
        <v>1334</v>
      </c>
    </row>
    <row r="213" spans="2:13" ht="52.5" customHeight="1" x14ac:dyDescent="0.35">
      <c r="B213" s="11">
        <v>11</v>
      </c>
      <c r="C213" s="5" t="s">
        <v>1327</v>
      </c>
      <c r="D213" s="11">
        <v>116</v>
      </c>
      <c r="E213" s="5" t="s">
        <v>1740</v>
      </c>
      <c r="F213" s="5" t="s">
        <v>1741</v>
      </c>
      <c r="G213" s="5" t="s">
        <v>1742</v>
      </c>
      <c r="H213" s="5" t="s">
        <v>1738</v>
      </c>
      <c r="I213" s="5" t="s">
        <v>1584</v>
      </c>
      <c r="J213" s="5" t="s">
        <v>404</v>
      </c>
      <c r="K213" s="5" t="s">
        <v>1739</v>
      </c>
      <c r="L213" s="11">
        <v>2</v>
      </c>
      <c r="M213" s="5" t="s">
        <v>1334</v>
      </c>
    </row>
    <row r="214" spans="2:13" ht="37.5" customHeight="1" x14ac:dyDescent="0.35">
      <c r="B214" s="12">
        <v>11</v>
      </c>
      <c r="C214" s="7" t="s">
        <v>1327</v>
      </c>
      <c r="D214" s="12">
        <v>117</v>
      </c>
      <c r="E214" s="7" t="s">
        <v>1743</v>
      </c>
      <c r="F214" s="7" t="s">
        <v>1744</v>
      </c>
      <c r="G214" s="7" t="s">
        <v>749</v>
      </c>
      <c r="H214" s="7" t="s">
        <v>838</v>
      </c>
      <c r="I214" s="7" t="s">
        <v>52</v>
      </c>
      <c r="J214" s="7" t="s">
        <v>404</v>
      </c>
      <c r="K214" s="7" t="s">
        <v>839</v>
      </c>
      <c r="L214" s="12">
        <v>1</v>
      </c>
      <c r="M214" s="7" t="s">
        <v>1334</v>
      </c>
    </row>
    <row r="215" spans="2:13" ht="37.5" customHeight="1" x14ac:dyDescent="0.35">
      <c r="B215" s="11">
        <v>11</v>
      </c>
      <c r="C215" s="5" t="s">
        <v>1327</v>
      </c>
      <c r="D215" s="11">
        <v>118</v>
      </c>
      <c r="E215" s="5" t="s">
        <v>1745</v>
      </c>
      <c r="F215" s="5" t="s">
        <v>1746</v>
      </c>
      <c r="G215" s="5" t="s">
        <v>1747</v>
      </c>
      <c r="H215" s="5" t="s">
        <v>838</v>
      </c>
      <c r="I215" s="5" t="s">
        <v>52</v>
      </c>
      <c r="J215" s="5" t="s">
        <v>404</v>
      </c>
      <c r="K215" s="5" t="s">
        <v>839</v>
      </c>
      <c r="L215" s="11">
        <v>1</v>
      </c>
      <c r="M215" s="5" t="s">
        <v>1334</v>
      </c>
    </row>
    <row r="216" spans="2:13" ht="67.5" customHeight="1" x14ac:dyDescent="0.35">
      <c r="B216" s="12">
        <v>11</v>
      </c>
      <c r="C216" s="7" t="s">
        <v>1327</v>
      </c>
      <c r="D216" s="12">
        <v>119</v>
      </c>
      <c r="E216" s="7" t="s">
        <v>1748</v>
      </c>
      <c r="F216" s="7" t="s">
        <v>1749</v>
      </c>
      <c r="G216" s="7" t="s">
        <v>29</v>
      </c>
      <c r="H216" s="7" t="s">
        <v>1750</v>
      </c>
      <c r="I216" s="7" t="s">
        <v>1751</v>
      </c>
      <c r="J216" s="7" t="s">
        <v>1752</v>
      </c>
      <c r="K216" s="7" t="s">
        <v>1753</v>
      </c>
      <c r="L216" s="12">
        <v>3</v>
      </c>
      <c r="M216" s="7" t="s">
        <v>1334</v>
      </c>
    </row>
    <row r="217" spans="2:13" ht="37.5" customHeight="1" x14ac:dyDescent="0.35">
      <c r="B217" s="11">
        <v>11</v>
      </c>
      <c r="C217" s="5" t="s">
        <v>1327</v>
      </c>
      <c r="D217" s="11">
        <v>120</v>
      </c>
      <c r="E217" s="5" t="s">
        <v>1754</v>
      </c>
      <c r="F217" s="5" t="s">
        <v>1755</v>
      </c>
      <c r="G217" s="5" t="s">
        <v>842</v>
      </c>
      <c r="H217" s="5" t="s">
        <v>838</v>
      </c>
      <c r="I217" s="5" t="s">
        <v>52</v>
      </c>
      <c r="J217" s="5" t="s">
        <v>404</v>
      </c>
      <c r="K217" s="5" t="s">
        <v>839</v>
      </c>
      <c r="L217" s="11">
        <v>1</v>
      </c>
      <c r="M217" s="5" t="s">
        <v>1334</v>
      </c>
    </row>
    <row r="218" spans="2:13" ht="52.5" customHeight="1" x14ac:dyDescent="0.35">
      <c r="B218" s="12">
        <v>11</v>
      </c>
      <c r="C218" s="7" t="s">
        <v>1327</v>
      </c>
      <c r="D218" s="12">
        <v>121</v>
      </c>
      <c r="E218" s="7" t="s">
        <v>1756</v>
      </c>
      <c r="F218" s="7" t="s">
        <v>1757</v>
      </c>
      <c r="G218" s="7" t="s">
        <v>30</v>
      </c>
      <c r="H218" s="7" t="s">
        <v>1758</v>
      </c>
      <c r="I218" s="7" t="s">
        <v>1759</v>
      </c>
      <c r="J218" s="7" t="s">
        <v>1760</v>
      </c>
      <c r="K218" s="7" t="s">
        <v>1761</v>
      </c>
      <c r="L218" s="12">
        <v>3</v>
      </c>
      <c r="M218" s="7" t="s">
        <v>1334</v>
      </c>
    </row>
    <row r="219" spans="2:13" ht="37.5" customHeight="1" x14ac:dyDescent="0.35">
      <c r="B219" s="11">
        <v>11</v>
      </c>
      <c r="C219" s="5" t="s">
        <v>1327</v>
      </c>
      <c r="D219" s="11">
        <v>122</v>
      </c>
      <c r="E219" s="5" t="s">
        <v>1762</v>
      </c>
      <c r="F219" s="5" t="s">
        <v>1763</v>
      </c>
      <c r="G219" s="5" t="s">
        <v>497</v>
      </c>
      <c r="H219" s="5" t="s">
        <v>37</v>
      </c>
      <c r="I219" s="5" t="s">
        <v>1676</v>
      </c>
      <c r="J219" s="5" t="s">
        <v>1579</v>
      </c>
      <c r="K219" s="5" t="s">
        <v>1764</v>
      </c>
      <c r="L219" s="11">
        <v>1</v>
      </c>
      <c r="M219" s="5" t="s">
        <v>1334</v>
      </c>
    </row>
    <row r="220" spans="2:13" ht="37.5" customHeight="1" x14ac:dyDescent="0.35">
      <c r="B220" s="12">
        <v>11</v>
      </c>
      <c r="C220" s="7" t="s">
        <v>1327</v>
      </c>
      <c r="D220" s="12">
        <v>123</v>
      </c>
      <c r="E220" s="7" t="s">
        <v>1765</v>
      </c>
      <c r="F220" s="7" t="s">
        <v>1766</v>
      </c>
      <c r="G220" s="7" t="s">
        <v>1127</v>
      </c>
      <c r="H220" s="7" t="s">
        <v>1574</v>
      </c>
      <c r="I220" s="7" t="s">
        <v>56</v>
      </c>
      <c r="J220" s="7" t="s">
        <v>404</v>
      </c>
      <c r="K220" s="7" t="s">
        <v>1625</v>
      </c>
      <c r="L220" s="12">
        <v>1</v>
      </c>
      <c r="M220" s="7" t="s">
        <v>1334</v>
      </c>
    </row>
    <row r="221" spans="2:13" ht="37.5" customHeight="1" x14ac:dyDescent="0.35">
      <c r="B221" s="11">
        <v>11</v>
      </c>
      <c r="C221" s="5" t="s">
        <v>1327</v>
      </c>
      <c r="D221" s="11">
        <v>124</v>
      </c>
      <c r="E221" s="5" t="s">
        <v>1767</v>
      </c>
      <c r="F221" s="5" t="s">
        <v>1768</v>
      </c>
      <c r="G221" s="5" t="s">
        <v>33</v>
      </c>
      <c r="H221" s="5" t="s">
        <v>1574</v>
      </c>
      <c r="I221" s="5" t="s">
        <v>56</v>
      </c>
      <c r="J221" s="5" t="s">
        <v>404</v>
      </c>
      <c r="K221" s="5" t="s">
        <v>1625</v>
      </c>
      <c r="L221" s="11">
        <v>1</v>
      </c>
      <c r="M221" s="5" t="s">
        <v>1334</v>
      </c>
    </row>
    <row r="222" spans="2:13" ht="37.5" customHeight="1" x14ac:dyDescent="0.35">
      <c r="B222" s="12">
        <v>11</v>
      </c>
      <c r="C222" s="7" t="s">
        <v>1327</v>
      </c>
      <c r="D222" s="12">
        <v>125</v>
      </c>
      <c r="E222" s="7" t="s">
        <v>1769</v>
      </c>
      <c r="F222" s="7" t="s">
        <v>1770</v>
      </c>
      <c r="G222" s="7" t="s">
        <v>552</v>
      </c>
      <c r="H222" s="7" t="s">
        <v>1574</v>
      </c>
      <c r="I222" s="7" t="s">
        <v>56</v>
      </c>
      <c r="J222" s="7" t="s">
        <v>404</v>
      </c>
      <c r="K222" s="7" t="s">
        <v>1625</v>
      </c>
      <c r="L222" s="12">
        <v>1</v>
      </c>
      <c r="M222" s="7" t="s">
        <v>1334</v>
      </c>
    </row>
    <row r="223" spans="2:13" ht="37.5" customHeight="1" x14ac:dyDescent="0.35">
      <c r="B223" s="11">
        <v>11</v>
      </c>
      <c r="C223" s="5" t="s">
        <v>1327</v>
      </c>
      <c r="D223" s="11">
        <v>126</v>
      </c>
      <c r="E223" s="5" t="s">
        <v>1771</v>
      </c>
      <c r="F223" s="5" t="s">
        <v>1772</v>
      </c>
      <c r="G223" s="5" t="s">
        <v>439</v>
      </c>
      <c r="H223" s="5" t="s">
        <v>838</v>
      </c>
      <c r="I223" s="5" t="s">
        <v>52</v>
      </c>
      <c r="J223" s="5" t="s">
        <v>404</v>
      </c>
      <c r="K223" s="5" t="s">
        <v>839</v>
      </c>
      <c r="L223" s="11">
        <v>1</v>
      </c>
      <c r="M223" s="5" t="s">
        <v>1334</v>
      </c>
    </row>
    <row r="224" spans="2:13" ht="52.5" customHeight="1" x14ac:dyDescent="0.35">
      <c r="B224" s="12">
        <v>11</v>
      </c>
      <c r="C224" s="7" t="s">
        <v>1327</v>
      </c>
      <c r="D224" s="12">
        <v>127</v>
      </c>
      <c r="E224" s="7" t="s">
        <v>1773</v>
      </c>
      <c r="F224" s="7" t="s">
        <v>1774</v>
      </c>
      <c r="G224" s="7" t="s">
        <v>282</v>
      </c>
      <c r="H224" s="7" t="s">
        <v>1775</v>
      </c>
      <c r="I224" s="7" t="s">
        <v>1485</v>
      </c>
      <c r="J224" s="7" t="s">
        <v>404</v>
      </c>
      <c r="K224" s="7" t="s">
        <v>1776</v>
      </c>
      <c r="L224" s="12">
        <v>2</v>
      </c>
      <c r="M224" s="7" t="s">
        <v>1334</v>
      </c>
    </row>
    <row r="225" spans="2:13" ht="21.75" customHeight="1" x14ac:dyDescent="0.35">
      <c r="B225" s="11">
        <v>11</v>
      </c>
      <c r="C225" s="5" t="s">
        <v>1327</v>
      </c>
      <c r="D225" s="11">
        <v>128</v>
      </c>
      <c r="E225" s="5" t="s">
        <v>1777</v>
      </c>
      <c r="F225" s="5" t="s">
        <v>1778</v>
      </c>
      <c r="G225" s="5" t="s">
        <v>1653</v>
      </c>
      <c r="H225" s="5" t="s">
        <v>45</v>
      </c>
      <c r="I225" s="5" t="s">
        <v>1390</v>
      </c>
      <c r="J225" s="5" t="s">
        <v>1063</v>
      </c>
      <c r="K225" s="5" t="s">
        <v>1391</v>
      </c>
      <c r="L225" s="11">
        <v>1</v>
      </c>
      <c r="M225" s="5" t="s">
        <v>1334</v>
      </c>
    </row>
    <row r="226" spans="2:13" ht="21.75" customHeight="1" x14ac:dyDescent="0.35">
      <c r="B226" s="12">
        <v>11</v>
      </c>
      <c r="C226" s="7" t="s">
        <v>1327</v>
      </c>
      <c r="D226" s="12">
        <v>129</v>
      </c>
      <c r="E226" s="7" t="s">
        <v>1779</v>
      </c>
      <c r="F226" s="7" t="s">
        <v>1780</v>
      </c>
      <c r="G226" s="7" t="s">
        <v>1781</v>
      </c>
      <c r="H226" s="7" t="s">
        <v>45</v>
      </c>
      <c r="I226" s="7" t="s">
        <v>1390</v>
      </c>
      <c r="J226" s="7" t="s">
        <v>1063</v>
      </c>
      <c r="K226" s="7" t="s">
        <v>1391</v>
      </c>
      <c r="L226" s="12">
        <v>1</v>
      </c>
      <c r="M226" s="7" t="s">
        <v>1334</v>
      </c>
    </row>
    <row r="227" spans="2:13" ht="21.75" customHeight="1" x14ac:dyDescent="0.35">
      <c r="B227" s="11">
        <v>11</v>
      </c>
      <c r="C227" s="5" t="s">
        <v>1327</v>
      </c>
      <c r="D227" s="11">
        <v>130</v>
      </c>
      <c r="E227" s="5" t="s">
        <v>1782</v>
      </c>
      <c r="F227" s="5" t="s">
        <v>1783</v>
      </c>
      <c r="G227" s="5" t="s">
        <v>1784</v>
      </c>
      <c r="H227" s="5" t="s">
        <v>37</v>
      </c>
      <c r="I227" s="5" t="s">
        <v>998</v>
      </c>
      <c r="J227" s="5" t="s">
        <v>1192</v>
      </c>
      <c r="K227" s="5" t="s">
        <v>1735</v>
      </c>
      <c r="L227" s="11">
        <v>1</v>
      </c>
      <c r="M227" s="5" t="s">
        <v>1334</v>
      </c>
    </row>
    <row r="228" spans="2:13" ht="21.75" customHeight="1" x14ac:dyDescent="0.35">
      <c r="B228" s="12">
        <v>11</v>
      </c>
      <c r="C228" s="7" t="s">
        <v>1327</v>
      </c>
      <c r="D228" s="12">
        <v>131</v>
      </c>
      <c r="E228" s="7" t="s">
        <v>1785</v>
      </c>
      <c r="F228" s="7" t="s">
        <v>1786</v>
      </c>
      <c r="G228" s="7" t="s">
        <v>1787</v>
      </c>
      <c r="H228" s="7" t="s">
        <v>37</v>
      </c>
      <c r="I228" s="7" t="s">
        <v>998</v>
      </c>
      <c r="J228" s="7" t="s">
        <v>1192</v>
      </c>
      <c r="K228" s="7" t="s">
        <v>1735</v>
      </c>
      <c r="L228" s="12">
        <v>1</v>
      </c>
      <c r="M228" s="7" t="s">
        <v>1334</v>
      </c>
    </row>
    <row r="229" spans="2:13" ht="21.75" customHeight="1" x14ac:dyDescent="0.35">
      <c r="B229" s="11">
        <v>11</v>
      </c>
      <c r="C229" s="5" t="s">
        <v>1327</v>
      </c>
      <c r="D229" s="11">
        <v>132</v>
      </c>
      <c r="E229" s="5" t="s">
        <v>1788</v>
      </c>
      <c r="F229" s="5" t="s">
        <v>1789</v>
      </c>
      <c r="G229" s="5" t="s">
        <v>1790</v>
      </c>
      <c r="H229" s="5" t="s">
        <v>37</v>
      </c>
      <c r="I229" s="5" t="s">
        <v>998</v>
      </c>
      <c r="J229" s="5" t="s">
        <v>1192</v>
      </c>
      <c r="K229" s="5" t="s">
        <v>1735</v>
      </c>
      <c r="L229" s="11">
        <v>1</v>
      </c>
      <c r="M229" s="5" t="s">
        <v>1334</v>
      </c>
    </row>
    <row r="230" spans="2:13" ht="37.5" customHeight="1" x14ac:dyDescent="0.35">
      <c r="B230" s="12">
        <v>11</v>
      </c>
      <c r="C230" s="7" t="s">
        <v>1327</v>
      </c>
      <c r="D230" s="12">
        <v>133</v>
      </c>
      <c r="E230" s="7" t="s">
        <v>1791</v>
      </c>
      <c r="F230" s="7" t="s">
        <v>1792</v>
      </c>
      <c r="G230" s="7" t="s">
        <v>1793</v>
      </c>
      <c r="H230" s="7" t="s">
        <v>37</v>
      </c>
      <c r="I230" s="7" t="s">
        <v>998</v>
      </c>
      <c r="J230" s="7" t="s">
        <v>1192</v>
      </c>
      <c r="K230" s="7" t="s">
        <v>1735</v>
      </c>
      <c r="L230" s="12">
        <v>1</v>
      </c>
      <c r="M230" s="7" t="s">
        <v>1334</v>
      </c>
    </row>
    <row r="231" spans="2:13" ht="52.5" customHeight="1" x14ac:dyDescent="0.35">
      <c r="B231" s="11">
        <v>11</v>
      </c>
      <c r="C231" s="5" t="s">
        <v>1327</v>
      </c>
      <c r="D231" s="11">
        <v>134</v>
      </c>
      <c r="E231" s="5" t="s">
        <v>1794</v>
      </c>
      <c r="F231" s="5" t="s">
        <v>1795</v>
      </c>
      <c r="G231" s="5" t="s">
        <v>1190</v>
      </c>
      <c r="H231" s="5" t="s">
        <v>930</v>
      </c>
      <c r="I231" s="5" t="s">
        <v>1274</v>
      </c>
      <c r="J231" s="5" t="s">
        <v>1671</v>
      </c>
      <c r="K231" s="5" t="s">
        <v>1796</v>
      </c>
      <c r="L231" s="11">
        <v>2</v>
      </c>
      <c r="M231" s="5" t="s">
        <v>1334</v>
      </c>
    </row>
    <row r="232" spans="2:13" ht="37.5" customHeight="1" x14ac:dyDescent="0.35">
      <c r="B232" s="12">
        <v>11</v>
      </c>
      <c r="C232" s="7" t="s">
        <v>1327</v>
      </c>
      <c r="D232" s="12">
        <v>135</v>
      </c>
      <c r="E232" s="7" t="s">
        <v>1797</v>
      </c>
      <c r="F232" s="7" t="s">
        <v>1798</v>
      </c>
      <c r="G232" s="7" t="s">
        <v>1008</v>
      </c>
      <c r="H232" s="7" t="s">
        <v>1320</v>
      </c>
      <c r="I232" s="7" t="s">
        <v>1799</v>
      </c>
      <c r="J232" s="7" t="s">
        <v>1671</v>
      </c>
      <c r="K232" s="7" t="s">
        <v>1800</v>
      </c>
      <c r="L232" s="12">
        <v>2</v>
      </c>
      <c r="M232" s="7" t="s">
        <v>1334</v>
      </c>
    </row>
    <row r="233" spans="2:13" ht="21.75" customHeight="1" x14ac:dyDescent="0.35">
      <c r="B233" s="11">
        <v>11</v>
      </c>
      <c r="C233" s="5" t="s">
        <v>1327</v>
      </c>
      <c r="D233" s="11">
        <v>136</v>
      </c>
      <c r="E233" s="5" t="s">
        <v>1801</v>
      </c>
      <c r="F233" s="5" t="s">
        <v>1802</v>
      </c>
      <c r="G233" s="5" t="s">
        <v>1803</v>
      </c>
      <c r="H233" s="5" t="s">
        <v>37</v>
      </c>
      <c r="I233" s="5" t="s">
        <v>998</v>
      </c>
      <c r="J233" s="5" t="s">
        <v>1192</v>
      </c>
      <c r="K233" s="5" t="s">
        <v>1735</v>
      </c>
      <c r="L233" s="11">
        <v>1</v>
      </c>
      <c r="M233" s="5" t="s">
        <v>1334</v>
      </c>
    </row>
    <row r="234" spans="2:13" ht="37.5" customHeight="1" x14ac:dyDescent="0.35">
      <c r="B234" s="12">
        <v>11</v>
      </c>
      <c r="C234" s="7" t="s">
        <v>1327</v>
      </c>
      <c r="D234" s="12">
        <v>137</v>
      </c>
      <c r="E234" s="7" t="s">
        <v>1804</v>
      </c>
      <c r="F234" s="7" t="s">
        <v>1805</v>
      </c>
      <c r="G234" s="7" t="s">
        <v>176</v>
      </c>
      <c r="H234" s="7" t="s">
        <v>40</v>
      </c>
      <c r="I234" s="7" t="s">
        <v>56</v>
      </c>
      <c r="J234" s="7" t="s">
        <v>404</v>
      </c>
      <c r="K234" s="7" t="s">
        <v>1631</v>
      </c>
      <c r="L234" s="12">
        <v>1</v>
      </c>
      <c r="M234" s="7" t="s">
        <v>1334</v>
      </c>
    </row>
    <row r="235" spans="2:13" ht="21.75" customHeight="1" x14ac:dyDescent="0.35">
      <c r="B235" s="11">
        <v>11</v>
      </c>
      <c r="C235" s="5" t="s">
        <v>1327</v>
      </c>
      <c r="D235" s="11">
        <v>138</v>
      </c>
      <c r="E235" s="5" t="s">
        <v>1806</v>
      </c>
      <c r="F235" s="5" t="s">
        <v>1807</v>
      </c>
      <c r="G235" s="5" t="s">
        <v>1263</v>
      </c>
      <c r="H235" s="5" t="s">
        <v>43</v>
      </c>
      <c r="I235" s="5" t="s">
        <v>806</v>
      </c>
      <c r="J235" s="5" t="s">
        <v>404</v>
      </c>
      <c r="K235" s="5" t="s">
        <v>807</v>
      </c>
      <c r="L235" s="11">
        <v>1</v>
      </c>
      <c r="M235" s="5" t="s">
        <v>1334</v>
      </c>
    </row>
    <row r="236" spans="2:13" ht="37.5" customHeight="1" x14ac:dyDescent="0.35">
      <c r="B236" s="12">
        <v>11</v>
      </c>
      <c r="C236" s="7" t="s">
        <v>1327</v>
      </c>
      <c r="D236" s="12">
        <v>139</v>
      </c>
      <c r="E236" s="7" t="s">
        <v>1808</v>
      </c>
      <c r="F236" s="7" t="s">
        <v>1809</v>
      </c>
      <c r="G236" s="7" t="s">
        <v>1810</v>
      </c>
      <c r="H236" s="7" t="s">
        <v>838</v>
      </c>
      <c r="I236" s="7" t="s">
        <v>52</v>
      </c>
      <c r="J236" s="7" t="s">
        <v>404</v>
      </c>
      <c r="K236" s="7" t="s">
        <v>839</v>
      </c>
      <c r="L236" s="12">
        <v>1</v>
      </c>
      <c r="M236" s="7" t="s">
        <v>1334</v>
      </c>
    </row>
    <row r="237" spans="2:13" ht="37.5" customHeight="1" x14ac:dyDescent="0.35">
      <c r="B237" s="11">
        <v>11</v>
      </c>
      <c r="C237" s="5" t="s">
        <v>1327</v>
      </c>
      <c r="D237" s="11">
        <v>140</v>
      </c>
      <c r="E237" s="5" t="s">
        <v>1811</v>
      </c>
      <c r="F237" s="5" t="s">
        <v>1812</v>
      </c>
      <c r="G237" s="5" t="s">
        <v>1813</v>
      </c>
      <c r="H237" s="5" t="s">
        <v>838</v>
      </c>
      <c r="I237" s="5" t="s">
        <v>52</v>
      </c>
      <c r="J237" s="5" t="s">
        <v>404</v>
      </c>
      <c r="K237" s="5" t="s">
        <v>839</v>
      </c>
      <c r="L237" s="11">
        <v>1</v>
      </c>
      <c r="M237" s="5" t="s">
        <v>1334</v>
      </c>
    </row>
    <row r="238" spans="2:13" ht="52.5" customHeight="1" x14ac:dyDescent="0.35">
      <c r="B238" s="12">
        <v>11</v>
      </c>
      <c r="C238" s="7" t="s">
        <v>1327</v>
      </c>
      <c r="D238" s="12">
        <v>141</v>
      </c>
      <c r="E238" s="7" t="s">
        <v>1814</v>
      </c>
      <c r="F238" s="7" t="s">
        <v>1815</v>
      </c>
      <c r="G238" s="7" t="s">
        <v>1816</v>
      </c>
      <c r="H238" s="7" t="s">
        <v>1817</v>
      </c>
      <c r="I238" s="7" t="s">
        <v>52</v>
      </c>
      <c r="J238" s="7" t="s">
        <v>404</v>
      </c>
      <c r="K238" s="7" t="s">
        <v>1818</v>
      </c>
      <c r="L238" s="12">
        <v>2</v>
      </c>
      <c r="M238" s="7" t="s">
        <v>1334</v>
      </c>
    </row>
    <row r="239" spans="2:13" ht="37.5" customHeight="1" x14ac:dyDescent="0.35">
      <c r="B239" s="11">
        <v>11</v>
      </c>
      <c r="C239" s="5" t="s">
        <v>1327</v>
      </c>
      <c r="D239" s="11">
        <v>142</v>
      </c>
      <c r="E239" s="5" t="s">
        <v>1819</v>
      </c>
      <c r="F239" s="5" t="s">
        <v>1820</v>
      </c>
      <c r="G239" s="5" t="s">
        <v>900</v>
      </c>
      <c r="H239" s="5" t="s">
        <v>838</v>
      </c>
      <c r="I239" s="5" t="s">
        <v>52</v>
      </c>
      <c r="J239" s="5" t="s">
        <v>404</v>
      </c>
      <c r="K239" s="5" t="s">
        <v>839</v>
      </c>
      <c r="L239" s="11">
        <v>1</v>
      </c>
      <c r="M239" s="5" t="s">
        <v>1334</v>
      </c>
    </row>
    <row r="240" spans="2:13" ht="21.75" customHeight="1" x14ac:dyDescent="0.35">
      <c r="B240" s="12">
        <v>11</v>
      </c>
      <c r="C240" s="7" t="s">
        <v>1327</v>
      </c>
      <c r="D240" s="12">
        <v>143</v>
      </c>
      <c r="E240" s="7" t="s">
        <v>1821</v>
      </c>
      <c r="F240" s="7" t="s">
        <v>1822</v>
      </c>
      <c r="G240" s="7" t="s">
        <v>788</v>
      </c>
      <c r="H240" s="7" t="s">
        <v>39</v>
      </c>
      <c r="I240" s="7" t="s">
        <v>1823</v>
      </c>
      <c r="J240" s="7" t="s">
        <v>1063</v>
      </c>
      <c r="K240" s="7" t="s">
        <v>1824</v>
      </c>
      <c r="L240" s="12">
        <v>1</v>
      </c>
      <c r="M240" s="7" t="s">
        <v>1334</v>
      </c>
    </row>
    <row r="241" spans="2:13" ht="37.5" customHeight="1" x14ac:dyDescent="0.35">
      <c r="B241" s="11">
        <v>11</v>
      </c>
      <c r="C241" s="5" t="s">
        <v>1327</v>
      </c>
      <c r="D241" s="11">
        <v>144</v>
      </c>
      <c r="E241" s="5" t="s">
        <v>1825</v>
      </c>
      <c r="F241" s="5" t="s">
        <v>1826</v>
      </c>
      <c r="G241" s="5" t="s">
        <v>1161</v>
      </c>
      <c r="H241" s="5" t="s">
        <v>39</v>
      </c>
      <c r="I241" s="5" t="s">
        <v>1823</v>
      </c>
      <c r="J241" s="5" t="s">
        <v>1063</v>
      </c>
      <c r="K241" s="5" t="s">
        <v>1824</v>
      </c>
      <c r="L241" s="11">
        <v>1</v>
      </c>
      <c r="M241" s="5" t="s">
        <v>1334</v>
      </c>
    </row>
    <row r="242" spans="2:13" ht="21.75" customHeight="1" x14ac:dyDescent="0.35">
      <c r="B242" s="12">
        <v>11</v>
      </c>
      <c r="C242" s="7" t="s">
        <v>1327</v>
      </c>
      <c r="D242" s="12">
        <v>145</v>
      </c>
      <c r="E242" s="7" t="s">
        <v>1827</v>
      </c>
      <c r="F242" s="7" t="s">
        <v>1828</v>
      </c>
      <c r="G242" s="7" t="s">
        <v>1829</v>
      </c>
      <c r="H242" s="7" t="s">
        <v>42</v>
      </c>
      <c r="I242" s="7" t="s">
        <v>1830</v>
      </c>
      <c r="J242" s="7" t="s">
        <v>1831</v>
      </c>
      <c r="K242" s="7" t="s">
        <v>1832</v>
      </c>
      <c r="L242" s="12">
        <v>1</v>
      </c>
      <c r="M242" s="7" t="s">
        <v>1334</v>
      </c>
    </row>
    <row r="243" spans="2:13" ht="67.5" customHeight="1" x14ac:dyDescent="0.35">
      <c r="B243" s="11">
        <v>12</v>
      </c>
      <c r="C243" s="5" t="s">
        <v>1833</v>
      </c>
      <c r="D243" s="11">
        <v>1</v>
      </c>
      <c r="E243" s="5" t="s">
        <v>1834</v>
      </c>
      <c r="F243" s="5" t="s">
        <v>1835</v>
      </c>
      <c r="G243" s="5" t="s">
        <v>25</v>
      </c>
      <c r="H243" s="5" t="s">
        <v>1836</v>
      </c>
      <c r="I243" s="5" t="s">
        <v>1837</v>
      </c>
      <c r="J243" s="5" t="s">
        <v>1838</v>
      </c>
      <c r="K243" s="5" t="s">
        <v>1839</v>
      </c>
      <c r="L243" s="11">
        <v>4</v>
      </c>
      <c r="M243" s="5" t="s">
        <v>1334</v>
      </c>
    </row>
    <row r="244" spans="2:13" ht="37.5" customHeight="1" x14ac:dyDescent="0.35">
      <c r="B244" s="12">
        <v>12</v>
      </c>
      <c r="C244" s="7" t="s">
        <v>1833</v>
      </c>
      <c r="D244" s="12">
        <v>2</v>
      </c>
      <c r="E244" s="7" t="s">
        <v>1840</v>
      </c>
      <c r="F244" s="7" t="s">
        <v>1841</v>
      </c>
      <c r="G244" s="7" t="s">
        <v>897</v>
      </c>
      <c r="H244" s="7" t="s">
        <v>40</v>
      </c>
      <c r="I244" s="7" t="s">
        <v>56</v>
      </c>
      <c r="J244" s="7" t="s">
        <v>233</v>
      </c>
      <c r="K244" s="7" t="s">
        <v>1103</v>
      </c>
      <c r="L244" s="12">
        <v>1</v>
      </c>
      <c r="M244" s="7" t="s">
        <v>1334</v>
      </c>
    </row>
    <row r="245" spans="2:13" ht="37.5" customHeight="1" x14ac:dyDescent="0.35">
      <c r="B245" s="11"/>
      <c r="C245" s="5" t="s">
        <v>1842</v>
      </c>
      <c r="D245" s="11">
        <v>3</v>
      </c>
      <c r="E245" s="5" t="s">
        <v>1843</v>
      </c>
      <c r="F245" s="5" t="s">
        <v>1844</v>
      </c>
      <c r="G245" s="5" t="s">
        <v>566</v>
      </c>
      <c r="H245" s="5" t="s">
        <v>37</v>
      </c>
      <c r="I245" s="5" t="s">
        <v>1845</v>
      </c>
      <c r="J245" s="5" t="s">
        <v>1107</v>
      </c>
      <c r="K245" s="5" t="s">
        <v>1846</v>
      </c>
      <c r="L245" s="11">
        <v>1</v>
      </c>
      <c r="M245" s="5"/>
    </row>
    <row r="246" spans="2:13" ht="37.5" customHeight="1" x14ac:dyDescent="0.35">
      <c r="B246" s="12">
        <v>13</v>
      </c>
      <c r="C246" s="7" t="s">
        <v>1847</v>
      </c>
      <c r="D246" s="12">
        <v>1</v>
      </c>
      <c r="E246" s="7" t="s">
        <v>1848</v>
      </c>
      <c r="F246" s="7" t="s">
        <v>1849</v>
      </c>
      <c r="G246" s="7" t="s">
        <v>1214</v>
      </c>
      <c r="H246" s="7" t="s">
        <v>37</v>
      </c>
      <c r="I246" s="7" t="s">
        <v>1850</v>
      </c>
      <c r="J246" s="7" t="s">
        <v>663</v>
      </c>
      <c r="K246" s="7" t="s">
        <v>1851</v>
      </c>
      <c r="L246" s="12">
        <v>1</v>
      </c>
      <c r="M246" s="7" t="s">
        <v>1334</v>
      </c>
    </row>
    <row r="247" spans="2:13" ht="52.5" customHeight="1" x14ac:dyDescent="0.35">
      <c r="B247" s="11">
        <v>14</v>
      </c>
      <c r="C247" s="5" t="s">
        <v>1852</v>
      </c>
      <c r="D247" s="11">
        <v>1</v>
      </c>
      <c r="E247" s="5" t="s">
        <v>1853</v>
      </c>
      <c r="F247" s="5" t="s">
        <v>1854</v>
      </c>
      <c r="G247" s="5" t="s">
        <v>1855</v>
      </c>
      <c r="H247" s="5" t="s">
        <v>1856</v>
      </c>
      <c r="I247" s="5" t="s">
        <v>1857</v>
      </c>
      <c r="J247" s="5" t="s">
        <v>1858</v>
      </c>
      <c r="K247" s="5" t="s">
        <v>1859</v>
      </c>
      <c r="L247" s="11">
        <v>2</v>
      </c>
      <c r="M247" s="5" t="s">
        <v>1334</v>
      </c>
    </row>
    <row r="248" spans="2:13" ht="52.5" customHeight="1" x14ac:dyDescent="0.35">
      <c r="B248" s="12">
        <v>14</v>
      </c>
      <c r="C248" s="7" t="s">
        <v>1852</v>
      </c>
      <c r="D248" s="12">
        <v>2</v>
      </c>
      <c r="E248" s="7" t="s">
        <v>1860</v>
      </c>
      <c r="F248" s="7" t="s">
        <v>1861</v>
      </c>
      <c r="G248" s="7" t="s">
        <v>1175</v>
      </c>
      <c r="H248" s="7" t="s">
        <v>43</v>
      </c>
      <c r="I248" s="7" t="s">
        <v>806</v>
      </c>
      <c r="J248" s="7" t="s">
        <v>1862</v>
      </c>
      <c r="K248" s="7" t="s">
        <v>1863</v>
      </c>
      <c r="L248" s="12">
        <v>1</v>
      </c>
      <c r="M248" s="7" t="s">
        <v>1334</v>
      </c>
    </row>
    <row r="249" spans="2:13" ht="52.5" customHeight="1" x14ac:dyDescent="0.35">
      <c r="B249" s="11">
        <v>14</v>
      </c>
      <c r="C249" s="5" t="s">
        <v>1852</v>
      </c>
      <c r="D249" s="11">
        <v>3</v>
      </c>
      <c r="E249" s="5" t="s">
        <v>1864</v>
      </c>
      <c r="F249" s="5" t="s">
        <v>1865</v>
      </c>
      <c r="G249" s="5" t="s">
        <v>1123</v>
      </c>
      <c r="H249" s="5" t="s">
        <v>1856</v>
      </c>
      <c r="I249" s="5" t="s">
        <v>1857</v>
      </c>
      <c r="J249" s="5" t="s">
        <v>1866</v>
      </c>
      <c r="K249" s="5" t="s">
        <v>1867</v>
      </c>
      <c r="L249" s="11">
        <v>2</v>
      </c>
      <c r="M249" s="5" t="s">
        <v>1334</v>
      </c>
    </row>
    <row r="250" spans="2:13" ht="52.5" customHeight="1" x14ac:dyDescent="0.35">
      <c r="B250" s="12">
        <v>14</v>
      </c>
      <c r="C250" s="7" t="s">
        <v>1852</v>
      </c>
      <c r="D250" s="12">
        <v>4</v>
      </c>
      <c r="E250" s="7" t="s">
        <v>1868</v>
      </c>
      <c r="F250" s="7" t="s">
        <v>1869</v>
      </c>
      <c r="G250" s="7" t="s">
        <v>788</v>
      </c>
      <c r="H250" s="7" t="s">
        <v>37</v>
      </c>
      <c r="I250" s="7" t="s">
        <v>1845</v>
      </c>
      <c r="J250" s="7" t="s">
        <v>1579</v>
      </c>
      <c r="K250" s="7" t="s">
        <v>1870</v>
      </c>
      <c r="L250" s="12">
        <v>1</v>
      </c>
      <c r="M250" s="7" t="s">
        <v>1334</v>
      </c>
    </row>
    <row r="251" spans="2:13" ht="52.5" customHeight="1" x14ac:dyDescent="0.35">
      <c r="B251" s="11">
        <v>14</v>
      </c>
      <c r="C251" s="5" t="s">
        <v>1852</v>
      </c>
      <c r="D251" s="11">
        <v>5</v>
      </c>
      <c r="E251" s="5" t="s">
        <v>1871</v>
      </c>
      <c r="F251" s="5" t="s">
        <v>1872</v>
      </c>
      <c r="G251" s="5" t="s">
        <v>1873</v>
      </c>
      <c r="H251" s="5" t="s">
        <v>44</v>
      </c>
      <c r="I251" s="5" t="s">
        <v>49</v>
      </c>
      <c r="J251" s="5" t="s">
        <v>1874</v>
      </c>
      <c r="K251" s="5" t="s">
        <v>1875</v>
      </c>
      <c r="L251" s="11">
        <v>1</v>
      </c>
      <c r="M251" s="5" t="s">
        <v>1334</v>
      </c>
    </row>
    <row r="252" spans="2:13" ht="82.5" customHeight="1" x14ac:dyDescent="0.35">
      <c r="B252" s="12">
        <v>15</v>
      </c>
      <c r="C252" s="7" t="s">
        <v>1876</v>
      </c>
      <c r="D252" s="12">
        <v>1</v>
      </c>
      <c r="E252" s="7" t="s">
        <v>1877</v>
      </c>
      <c r="F252" s="7" t="s">
        <v>1878</v>
      </c>
      <c r="G252" s="7" t="s">
        <v>831</v>
      </c>
      <c r="H252" s="7" t="s">
        <v>930</v>
      </c>
      <c r="I252" s="7" t="s">
        <v>1879</v>
      </c>
      <c r="J252" s="7" t="s">
        <v>1880</v>
      </c>
      <c r="K252" s="7" t="s">
        <v>1881</v>
      </c>
      <c r="L252" s="12">
        <v>4</v>
      </c>
      <c r="M252" s="7" t="s">
        <v>1334</v>
      </c>
    </row>
    <row r="253" spans="2:13" ht="52.5" customHeight="1" x14ac:dyDescent="0.35">
      <c r="B253" s="11">
        <v>15</v>
      </c>
      <c r="C253" s="5" t="s">
        <v>1876</v>
      </c>
      <c r="D253" s="11">
        <v>2</v>
      </c>
      <c r="E253" s="5" t="s">
        <v>1882</v>
      </c>
      <c r="F253" s="5" t="s">
        <v>1883</v>
      </c>
      <c r="G253" s="5" t="s">
        <v>1884</v>
      </c>
      <c r="H253" s="5" t="s">
        <v>36</v>
      </c>
      <c r="I253" s="5" t="s">
        <v>1885</v>
      </c>
      <c r="J253" s="5" t="s">
        <v>1579</v>
      </c>
      <c r="K253" s="5" t="s">
        <v>1886</v>
      </c>
      <c r="L253" s="11">
        <v>1</v>
      </c>
      <c r="M253" s="5" t="s">
        <v>1334</v>
      </c>
    </row>
    <row r="254" spans="2:13" ht="52.5" customHeight="1" x14ac:dyDescent="0.35">
      <c r="B254" s="12">
        <v>16</v>
      </c>
      <c r="C254" s="7" t="s">
        <v>1887</v>
      </c>
      <c r="D254" s="12">
        <v>1</v>
      </c>
      <c r="E254" s="7" t="s">
        <v>1888</v>
      </c>
      <c r="F254" s="7" t="s">
        <v>1889</v>
      </c>
      <c r="G254" s="7" t="s">
        <v>457</v>
      </c>
      <c r="H254" s="7" t="s">
        <v>44</v>
      </c>
      <c r="I254" s="7" t="s">
        <v>49</v>
      </c>
      <c r="J254" s="7" t="s">
        <v>1890</v>
      </c>
      <c r="K254" s="7" t="s">
        <v>1891</v>
      </c>
      <c r="L254" s="12">
        <v>1</v>
      </c>
      <c r="M254" s="7" t="s">
        <v>1892</v>
      </c>
    </row>
    <row r="255" spans="2:13" ht="52.5" customHeight="1" x14ac:dyDescent="0.35">
      <c r="B255" s="11">
        <v>17</v>
      </c>
      <c r="C255" s="5" t="s">
        <v>1893</v>
      </c>
      <c r="D255" s="11">
        <v>1</v>
      </c>
      <c r="E255" s="5" t="s">
        <v>1894</v>
      </c>
      <c r="F255" s="5" t="s">
        <v>1895</v>
      </c>
      <c r="G255" s="5" t="s">
        <v>244</v>
      </c>
      <c r="H255" s="5" t="s">
        <v>838</v>
      </c>
      <c r="I255" s="5" t="s">
        <v>52</v>
      </c>
      <c r="J255" s="5" t="s">
        <v>213</v>
      </c>
      <c r="K255" s="5" t="s">
        <v>1031</v>
      </c>
      <c r="L255" s="11">
        <v>1</v>
      </c>
      <c r="M255" s="5" t="s">
        <v>1896</v>
      </c>
    </row>
    <row r="256" spans="2:13" ht="37.5" customHeight="1" x14ac:dyDescent="0.35">
      <c r="B256" s="12">
        <v>18</v>
      </c>
      <c r="C256" s="7" t="s">
        <v>1897</v>
      </c>
      <c r="D256" s="12">
        <v>1</v>
      </c>
      <c r="E256" s="7" t="s">
        <v>1898</v>
      </c>
      <c r="F256" s="7" t="s">
        <v>1899</v>
      </c>
      <c r="G256" s="7" t="s">
        <v>1900</v>
      </c>
      <c r="H256" s="7" t="s">
        <v>37</v>
      </c>
      <c r="I256" s="7" t="s">
        <v>998</v>
      </c>
      <c r="J256" s="7" t="s">
        <v>1107</v>
      </c>
      <c r="K256" s="7" t="s">
        <v>1140</v>
      </c>
      <c r="L256" s="12">
        <v>1</v>
      </c>
      <c r="M256" s="7" t="s">
        <v>1334</v>
      </c>
    </row>
    <row r="257" spans="2:13" ht="37.5" customHeight="1" x14ac:dyDescent="0.35">
      <c r="B257" s="11">
        <v>18</v>
      </c>
      <c r="C257" s="5" t="s">
        <v>1897</v>
      </c>
      <c r="D257" s="11">
        <v>2</v>
      </c>
      <c r="E257" s="5" t="s">
        <v>1901</v>
      </c>
      <c r="F257" s="5" t="s">
        <v>1902</v>
      </c>
      <c r="G257" s="5" t="s">
        <v>560</v>
      </c>
      <c r="H257" s="5" t="s">
        <v>1046</v>
      </c>
      <c r="I257" s="5" t="s">
        <v>1047</v>
      </c>
      <c r="J257" s="5" t="s">
        <v>1903</v>
      </c>
      <c r="K257" s="5" t="s">
        <v>1904</v>
      </c>
      <c r="L257" s="11">
        <v>1</v>
      </c>
      <c r="M257" s="5" t="s">
        <v>1334</v>
      </c>
    </row>
    <row r="258" spans="2:13" ht="172.5" customHeight="1" x14ac:dyDescent="0.35">
      <c r="B258" s="12">
        <v>19</v>
      </c>
      <c r="C258" s="7" t="s">
        <v>1905</v>
      </c>
      <c r="D258" s="12">
        <v>1</v>
      </c>
      <c r="E258" s="7" t="s">
        <v>1906</v>
      </c>
      <c r="F258" s="7" t="s">
        <v>1907</v>
      </c>
      <c r="G258" s="7" t="s">
        <v>345</v>
      </c>
      <c r="H258" s="7" t="s">
        <v>1908</v>
      </c>
      <c r="I258" s="7" t="s">
        <v>1909</v>
      </c>
      <c r="J258" s="7" t="s">
        <v>1910</v>
      </c>
      <c r="K258" s="7" t="s">
        <v>1911</v>
      </c>
      <c r="L258" s="12">
        <v>7</v>
      </c>
      <c r="M258" s="7" t="s">
        <v>1302</v>
      </c>
    </row>
    <row r="259" spans="2:13" ht="127.5" customHeight="1" x14ac:dyDescent="0.35">
      <c r="B259" s="11">
        <v>19</v>
      </c>
      <c r="C259" s="5" t="s">
        <v>1905</v>
      </c>
      <c r="D259" s="11">
        <v>2</v>
      </c>
      <c r="E259" s="5" t="s">
        <v>1912</v>
      </c>
      <c r="F259" s="5" t="s">
        <v>1913</v>
      </c>
      <c r="G259" s="5" t="s">
        <v>345</v>
      </c>
      <c r="H259" s="5" t="s">
        <v>1914</v>
      </c>
      <c r="I259" s="5" t="s">
        <v>1915</v>
      </c>
      <c r="J259" s="5" t="s">
        <v>1916</v>
      </c>
      <c r="K259" s="5" t="s">
        <v>1917</v>
      </c>
      <c r="L259" s="11">
        <v>5</v>
      </c>
      <c r="M259" s="5" t="s">
        <v>1302</v>
      </c>
    </row>
    <row r="260" spans="2:13" ht="37.5" customHeight="1" x14ac:dyDescent="0.35">
      <c r="B260" s="12">
        <v>19</v>
      </c>
      <c r="C260" s="7" t="s">
        <v>1905</v>
      </c>
      <c r="D260" s="12">
        <v>3</v>
      </c>
      <c r="E260" s="7" t="s">
        <v>1918</v>
      </c>
      <c r="F260" s="7" t="s">
        <v>1919</v>
      </c>
      <c r="G260" s="7" t="s">
        <v>24</v>
      </c>
      <c r="H260" s="7" t="s">
        <v>39</v>
      </c>
      <c r="I260" s="7" t="s">
        <v>1920</v>
      </c>
      <c r="J260" s="7" t="s">
        <v>1921</v>
      </c>
      <c r="K260" s="7" t="s">
        <v>1922</v>
      </c>
      <c r="L260" s="12">
        <v>1</v>
      </c>
      <c r="M260" s="7" t="s">
        <v>1302</v>
      </c>
    </row>
    <row r="261" spans="2:13" ht="37.5" customHeight="1" x14ac:dyDescent="0.35">
      <c r="B261" s="11">
        <v>20</v>
      </c>
      <c r="C261" s="5" t="s">
        <v>1923</v>
      </c>
      <c r="D261" s="11">
        <v>1</v>
      </c>
      <c r="E261" s="5" t="s">
        <v>1924</v>
      </c>
      <c r="F261" s="5" t="s">
        <v>1925</v>
      </c>
      <c r="G261" s="5" t="s">
        <v>30</v>
      </c>
      <c r="H261" s="5" t="s">
        <v>1046</v>
      </c>
      <c r="I261" s="5" t="s">
        <v>1926</v>
      </c>
      <c r="J261" s="5" t="s">
        <v>1927</v>
      </c>
      <c r="K261" s="5" t="s">
        <v>1928</v>
      </c>
      <c r="L261" s="11">
        <v>1</v>
      </c>
      <c r="M261" s="5" t="s">
        <v>1302</v>
      </c>
    </row>
    <row r="262" spans="2:13" ht="37.5" customHeight="1" x14ac:dyDescent="0.35">
      <c r="B262" s="12">
        <v>21</v>
      </c>
      <c r="C262" s="7" t="s">
        <v>1929</v>
      </c>
      <c r="D262" s="12">
        <v>1</v>
      </c>
      <c r="E262" s="7" t="s">
        <v>1930</v>
      </c>
      <c r="F262" s="7" t="s">
        <v>1931</v>
      </c>
      <c r="G262" s="7" t="s">
        <v>653</v>
      </c>
      <c r="H262" s="7" t="s">
        <v>817</v>
      </c>
      <c r="I262" s="7" t="s">
        <v>52</v>
      </c>
      <c r="J262" s="7" t="s">
        <v>404</v>
      </c>
      <c r="K262" s="7" t="s">
        <v>818</v>
      </c>
      <c r="L262" s="12">
        <v>1</v>
      </c>
      <c r="M262" s="7" t="s">
        <v>1334</v>
      </c>
    </row>
    <row r="263" spans="2:13" ht="52.5" customHeight="1" x14ac:dyDescent="0.35">
      <c r="B263" s="11">
        <v>21</v>
      </c>
      <c r="C263" s="5" t="s">
        <v>1929</v>
      </c>
      <c r="D263" s="11">
        <v>2</v>
      </c>
      <c r="E263" s="5" t="s">
        <v>1932</v>
      </c>
      <c r="F263" s="5" t="s">
        <v>1933</v>
      </c>
      <c r="G263" s="5" t="s">
        <v>27</v>
      </c>
      <c r="H263" s="5" t="s">
        <v>1934</v>
      </c>
      <c r="I263" s="5" t="s">
        <v>1935</v>
      </c>
      <c r="J263" s="5" t="s">
        <v>1936</v>
      </c>
      <c r="K263" s="5" t="s">
        <v>1937</v>
      </c>
      <c r="L263" s="11">
        <v>3</v>
      </c>
      <c r="M263" s="5" t="s">
        <v>1334</v>
      </c>
    </row>
    <row r="264" spans="2:13" ht="37.5" customHeight="1" x14ac:dyDescent="0.35">
      <c r="B264" s="12">
        <v>21</v>
      </c>
      <c r="C264" s="7" t="s">
        <v>1929</v>
      </c>
      <c r="D264" s="12">
        <v>3</v>
      </c>
      <c r="E264" s="7" t="s">
        <v>1938</v>
      </c>
      <c r="F264" s="7" t="s">
        <v>1939</v>
      </c>
      <c r="G264" s="7" t="s">
        <v>395</v>
      </c>
      <c r="H264" s="7" t="s">
        <v>37</v>
      </c>
      <c r="I264" s="7" t="s">
        <v>998</v>
      </c>
      <c r="J264" s="7" t="s">
        <v>663</v>
      </c>
      <c r="K264" s="7" t="s">
        <v>1940</v>
      </c>
      <c r="L264" s="12">
        <v>1</v>
      </c>
      <c r="M264" s="7" t="s">
        <v>1334</v>
      </c>
    </row>
    <row r="265" spans="2:13" ht="37.5" customHeight="1" x14ac:dyDescent="0.35">
      <c r="B265" s="11">
        <v>21</v>
      </c>
      <c r="C265" s="5" t="s">
        <v>1929</v>
      </c>
      <c r="D265" s="11">
        <v>4</v>
      </c>
      <c r="E265" s="5" t="s">
        <v>1941</v>
      </c>
      <c r="F265" s="5" t="s">
        <v>1942</v>
      </c>
      <c r="G265" s="5" t="s">
        <v>701</v>
      </c>
      <c r="H265" s="5" t="s">
        <v>1943</v>
      </c>
      <c r="I265" s="5" t="s">
        <v>1944</v>
      </c>
      <c r="J265" s="5" t="s">
        <v>404</v>
      </c>
      <c r="K265" s="5" t="s">
        <v>1945</v>
      </c>
      <c r="L265" s="11">
        <v>1</v>
      </c>
      <c r="M265" s="5" t="s">
        <v>1334</v>
      </c>
    </row>
    <row r="266" spans="2:13" ht="37.5" customHeight="1" x14ac:dyDescent="0.35">
      <c r="B266" s="12">
        <v>21</v>
      </c>
      <c r="C266" s="7" t="s">
        <v>1929</v>
      </c>
      <c r="D266" s="12">
        <v>5</v>
      </c>
      <c r="E266" s="7" t="s">
        <v>1946</v>
      </c>
      <c r="F266" s="7" t="s">
        <v>1947</v>
      </c>
      <c r="G266" s="7" t="s">
        <v>160</v>
      </c>
      <c r="H266" s="7" t="s">
        <v>1948</v>
      </c>
      <c r="I266" s="7" t="s">
        <v>1949</v>
      </c>
      <c r="J266" s="7" t="s">
        <v>404</v>
      </c>
      <c r="K266" s="7" t="s">
        <v>1950</v>
      </c>
      <c r="L266" s="12">
        <v>1</v>
      </c>
      <c r="M266" s="7" t="s">
        <v>1334</v>
      </c>
    </row>
    <row r="267" spans="2:13" ht="37.5" customHeight="1" x14ac:dyDescent="0.35">
      <c r="B267" s="11">
        <v>21</v>
      </c>
      <c r="C267" s="5" t="s">
        <v>1929</v>
      </c>
      <c r="D267" s="11">
        <v>6</v>
      </c>
      <c r="E267" s="5" t="s">
        <v>1951</v>
      </c>
      <c r="F267" s="5" t="s">
        <v>1952</v>
      </c>
      <c r="G267" s="5" t="s">
        <v>1953</v>
      </c>
      <c r="H267" s="5" t="s">
        <v>37</v>
      </c>
      <c r="I267" s="5" t="s">
        <v>998</v>
      </c>
      <c r="J267" s="5" t="s">
        <v>1192</v>
      </c>
      <c r="K267" s="5" t="s">
        <v>1735</v>
      </c>
      <c r="L267" s="11">
        <v>1</v>
      </c>
      <c r="M267" s="5" t="s">
        <v>1334</v>
      </c>
    </row>
    <row r="268" spans="2:13" ht="67.5" customHeight="1" x14ac:dyDescent="0.35">
      <c r="B268" s="12">
        <v>21</v>
      </c>
      <c r="C268" s="7" t="s">
        <v>1929</v>
      </c>
      <c r="D268" s="12">
        <v>7</v>
      </c>
      <c r="E268" s="7" t="s">
        <v>1954</v>
      </c>
      <c r="F268" s="7" t="s">
        <v>1955</v>
      </c>
      <c r="G268" s="7" t="s">
        <v>993</v>
      </c>
      <c r="H268" s="7" t="s">
        <v>1956</v>
      </c>
      <c r="I268" s="7" t="s">
        <v>1957</v>
      </c>
      <c r="J268" s="7" t="s">
        <v>1671</v>
      </c>
      <c r="K268" s="7" t="s">
        <v>1958</v>
      </c>
      <c r="L268" s="12">
        <v>3</v>
      </c>
      <c r="M268" s="7" t="s">
        <v>1334</v>
      </c>
    </row>
    <row r="269" spans="2:13" ht="37.5" customHeight="1" x14ac:dyDescent="0.35">
      <c r="B269" s="11">
        <v>21</v>
      </c>
      <c r="C269" s="5" t="s">
        <v>1929</v>
      </c>
      <c r="D269" s="11">
        <v>8</v>
      </c>
      <c r="E269" s="5" t="s">
        <v>1959</v>
      </c>
      <c r="F269" s="5" t="s">
        <v>1960</v>
      </c>
      <c r="G269" s="5" t="s">
        <v>1961</v>
      </c>
      <c r="H269" s="5" t="s">
        <v>37</v>
      </c>
      <c r="I269" s="5" t="s">
        <v>998</v>
      </c>
      <c r="J269" s="5" t="s">
        <v>1192</v>
      </c>
      <c r="K269" s="5" t="s">
        <v>1735</v>
      </c>
      <c r="L269" s="11">
        <v>1</v>
      </c>
      <c r="M269" s="5" t="s">
        <v>1334</v>
      </c>
    </row>
    <row r="270" spans="2:13" ht="37.5" customHeight="1" x14ac:dyDescent="0.35">
      <c r="B270" s="12"/>
      <c r="C270" s="7" t="s">
        <v>1962</v>
      </c>
      <c r="D270" s="12">
        <v>9</v>
      </c>
      <c r="E270" s="7" t="s">
        <v>1963</v>
      </c>
      <c r="F270" s="7" t="s">
        <v>1964</v>
      </c>
      <c r="G270" s="7" t="s">
        <v>761</v>
      </c>
      <c r="H270" s="7" t="s">
        <v>37</v>
      </c>
      <c r="I270" s="7" t="s">
        <v>998</v>
      </c>
      <c r="J270" s="7" t="s">
        <v>663</v>
      </c>
      <c r="K270" s="7" t="s">
        <v>1940</v>
      </c>
      <c r="L270" s="12">
        <v>1</v>
      </c>
      <c r="M270" s="7" t="s">
        <v>1334</v>
      </c>
    </row>
    <row r="271" spans="2:13" ht="37.5" customHeight="1" x14ac:dyDescent="0.35">
      <c r="B271" s="11"/>
      <c r="C271" s="5" t="s">
        <v>1962</v>
      </c>
      <c r="D271" s="11">
        <v>10</v>
      </c>
      <c r="E271" s="5" t="s">
        <v>1965</v>
      </c>
      <c r="F271" s="5" t="s">
        <v>1966</v>
      </c>
      <c r="G271" s="5" t="s">
        <v>25</v>
      </c>
      <c r="H271" s="5" t="s">
        <v>306</v>
      </c>
      <c r="I271" s="5" t="s">
        <v>1967</v>
      </c>
      <c r="J271" s="5" t="s">
        <v>1968</v>
      </c>
      <c r="K271" s="5" t="s">
        <v>1969</v>
      </c>
      <c r="L271" s="11">
        <v>2</v>
      </c>
      <c r="M271" s="5" t="s">
        <v>1334</v>
      </c>
    </row>
    <row r="272" spans="2:13" ht="37.5" customHeight="1" x14ac:dyDescent="0.35">
      <c r="B272" s="12"/>
      <c r="C272" s="7" t="s">
        <v>1962</v>
      </c>
      <c r="D272" s="12">
        <v>11</v>
      </c>
      <c r="E272" s="7" t="s">
        <v>1970</v>
      </c>
      <c r="F272" s="7" t="s">
        <v>1971</v>
      </c>
      <c r="G272" s="7" t="s">
        <v>1244</v>
      </c>
      <c r="H272" s="7" t="s">
        <v>40</v>
      </c>
      <c r="I272" s="7" t="s">
        <v>56</v>
      </c>
      <c r="J272" s="7" t="s">
        <v>404</v>
      </c>
      <c r="K272" s="7" t="s">
        <v>1631</v>
      </c>
      <c r="L272" s="12">
        <v>1</v>
      </c>
      <c r="M272" s="7" t="s">
        <v>1334</v>
      </c>
    </row>
    <row r="273" spans="2:13" ht="37.5" customHeight="1" x14ac:dyDescent="0.35">
      <c r="B273" s="11"/>
      <c r="C273" s="5" t="s">
        <v>1962</v>
      </c>
      <c r="D273" s="11">
        <v>12</v>
      </c>
      <c r="E273" s="5" t="s">
        <v>1972</v>
      </c>
      <c r="F273" s="5" t="s">
        <v>1973</v>
      </c>
      <c r="G273" s="5" t="s">
        <v>973</v>
      </c>
      <c r="H273" s="5" t="s">
        <v>37</v>
      </c>
      <c r="I273" s="5" t="s">
        <v>998</v>
      </c>
      <c r="J273" s="5" t="s">
        <v>1192</v>
      </c>
      <c r="K273" s="5" t="s">
        <v>1735</v>
      </c>
      <c r="L273" s="11">
        <v>1</v>
      </c>
      <c r="M273" s="5" t="s">
        <v>1334</v>
      </c>
    </row>
    <row r="274" spans="2:13" ht="37.5" customHeight="1" x14ac:dyDescent="0.35">
      <c r="B274" s="12">
        <v>22</v>
      </c>
      <c r="C274" s="7" t="s">
        <v>1974</v>
      </c>
      <c r="D274" s="12">
        <v>1</v>
      </c>
      <c r="E274" s="7" t="s">
        <v>1975</v>
      </c>
      <c r="F274" s="7" t="s">
        <v>1976</v>
      </c>
      <c r="G274" s="7" t="s">
        <v>25</v>
      </c>
      <c r="H274" s="7" t="s">
        <v>1977</v>
      </c>
      <c r="I274" s="7" t="s">
        <v>1978</v>
      </c>
      <c r="J274" s="7" t="s">
        <v>1979</v>
      </c>
      <c r="K274" s="7" t="s">
        <v>1980</v>
      </c>
      <c r="L274" s="12">
        <v>2</v>
      </c>
      <c r="M274" s="7" t="s">
        <v>1981</v>
      </c>
    </row>
    <row r="275" spans="2:13" ht="21.75" customHeight="1" x14ac:dyDescent="0.35">
      <c r="B275" s="11">
        <v>22</v>
      </c>
      <c r="C275" s="5" t="s">
        <v>1974</v>
      </c>
      <c r="D275" s="11">
        <v>2</v>
      </c>
      <c r="E275" s="5" t="s">
        <v>1982</v>
      </c>
      <c r="F275" s="5" t="s">
        <v>1983</v>
      </c>
      <c r="G275" s="5" t="s">
        <v>1984</v>
      </c>
      <c r="H275" s="5" t="s">
        <v>38</v>
      </c>
      <c r="I275" s="5" t="s">
        <v>53</v>
      </c>
      <c r="J275" s="5" t="s">
        <v>404</v>
      </c>
      <c r="K275" s="5" t="s">
        <v>1306</v>
      </c>
      <c r="L275" s="11">
        <v>1</v>
      </c>
      <c r="M275" s="5" t="s">
        <v>1981</v>
      </c>
    </row>
    <row r="276" spans="2:13" ht="37.5" customHeight="1" x14ac:dyDescent="0.35">
      <c r="B276" s="12">
        <v>22</v>
      </c>
      <c r="C276" s="7" t="s">
        <v>1974</v>
      </c>
      <c r="D276" s="12">
        <v>3</v>
      </c>
      <c r="E276" s="7" t="s">
        <v>1985</v>
      </c>
      <c r="F276" s="7" t="s">
        <v>1986</v>
      </c>
      <c r="G276" s="7" t="s">
        <v>31</v>
      </c>
      <c r="H276" s="7" t="s">
        <v>37</v>
      </c>
      <c r="I276" s="7" t="s">
        <v>1987</v>
      </c>
      <c r="J276" s="7" t="s">
        <v>1988</v>
      </c>
      <c r="K276" s="7" t="s">
        <v>1989</v>
      </c>
      <c r="L276" s="12">
        <v>1</v>
      </c>
      <c r="M276" s="7" t="s">
        <v>1981</v>
      </c>
    </row>
    <row r="277" spans="2:13" ht="37.5" customHeight="1" x14ac:dyDescent="0.35">
      <c r="B277" s="11">
        <v>23</v>
      </c>
      <c r="C277" s="5" t="s">
        <v>1990</v>
      </c>
      <c r="D277" s="11">
        <v>1</v>
      </c>
      <c r="E277" s="5" t="s">
        <v>1991</v>
      </c>
      <c r="F277" s="5" t="s">
        <v>1992</v>
      </c>
      <c r="G277" s="5" t="s">
        <v>1294</v>
      </c>
      <c r="H277" s="5" t="s">
        <v>43</v>
      </c>
      <c r="I277" s="5" t="s">
        <v>1093</v>
      </c>
      <c r="J277" s="5" t="s">
        <v>404</v>
      </c>
      <c r="K277" s="5" t="s">
        <v>1634</v>
      </c>
      <c r="L277" s="11">
        <v>1</v>
      </c>
      <c r="M277" s="5" t="s">
        <v>1981</v>
      </c>
    </row>
    <row r="278" spans="2:13" ht="37.5" customHeight="1" x14ac:dyDescent="0.35">
      <c r="B278" s="12">
        <v>23</v>
      </c>
      <c r="C278" s="7" t="s">
        <v>1990</v>
      </c>
      <c r="D278" s="12">
        <v>2</v>
      </c>
      <c r="E278" s="7" t="s">
        <v>1993</v>
      </c>
      <c r="F278" s="7" t="s">
        <v>1994</v>
      </c>
      <c r="G278" s="7" t="s">
        <v>28</v>
      </c>
      <c r="H278" s="7" t="s">
        <v>1995</v>
      </c>
      <c r="I278" s="7" t="s">
        <v>1996</v>
      </c>
      <c r="J278" s="7" t="s">
        <v>1997</v>
      </c>
      <c r="K278" s="7" t="s">
        <v>1998</v>
      </c>
      <c r="L278" s="12">
        <v>2</v>
      </c>
      <c r="M278" s="7" t="s">
        <v>1981</v>
      </c>
    </row>
    <row r="279" spans="2:13" ht="37.5" customHeight="1" x14ac:dyDescent="0.35">
      <c r="B279" s="11">
        <v>23</v>
      </c>
      <c r="C279" s="5" t="s">
        <v>1990</v>
      </c>
      <c r="D279" s="11">
        <v>3</v>
      </c>
      <c r="E279" s="5" t="s">
        <v>1999</v>
      </c>
      <c r="F279" s="5" t="s">
        <v>2000</v>
      </c>
      <c r="G279" s="5" t="s">
        <v>395</v>
      </c>
      <c r="H279" s="5" t="s">
        <v>37</v>
      </c>
      <c r="I279" s="5" t="s">
        <v>1248</v>
      </c>
      <c r="J279" s="5" t="s">
        <v>2001</v>
      </c>
      <c r="K279" s="5" t="s">
        <v>2002</v>
      </c>
      <c r="L279" s="11">
        <v>1</v>
      </c>
      <c r="M279" s="5" t="s">
        <v>1981</v>
      </c>
    </row>
    <row r="280" spans="2:13" ht="37.5" customHeight="1" x14ac:dyDescent="0.35">
      <c r="B280" s="12">
        <v>23</v>
      </c>
      <c r="C280" s="7" t="s">
        <v>1990</v>
      </c>
      <c r="D280" s="12">
        <v>4</v>
      </c>
      <c r="E280" s="7" t="s">
        <v>2003</v>
      </c>
      <c r="F280" s="7" t="s">
        <v>2004</v>
      </c>
      <c r="G280" s="7" t="s">
        <v>188</v>
      </c>
      <c r="H280" s="7" t="s">
        <v>38</v>
      </c>
      <c r="I280" s="7" t="s">
        <v>53</v>
      </c>
      <c r="J280" s="7" t="s">
        <v>404</v>
      </c>
      <c r="K280" s="7" t="s">
        <v>1306</v>
      </c>
      <c r="L280" s="12">
        <v>1</v>
      </c>
      <c r="M280" s="7" t="s">
        <v>1981</v>
      </c>
    </row>
    <row r="281" spans="2:13" ht="112.5" customHeight="1" x14ac:dyDescent="0.35">
      <c r="B281" s="11">
        <v>24</v>
      </c>
      <c r="C281" s="5" t="s">
        <v>2005</v>
      </c>
      <c r="D281" s="11">
        <v>1</v>
      </c>
      <c r="E281" s="5" t="s">
        <v>2006</v>
      </c>
      <c r="F281" s="5" t="s">
        <v>2007</v>
      </c>
      <c r="G281" s="5" t="s">
        <v>1435</v>
      </c>
      <c r="H281" s="5" t="s">
        <v>2008</v>
      </c>
      <c r="I281" s="5" t="s">
        <v>2009</v>
      </c>
      <c r="J281" s="5" t="s">
        <v>2010</v>
      </c>
      <c r="K281" s="5" t="s">
        <v>2011</v>
      </c>
      <c r="L281" s="11">
        <v>6</v>
      </c>
      <c r="M281" s="5" t="s">
        <v>2012</v>
      </c>
    </row>
    <row r="282" spans="2:13" ht="37.5" customHeight="1" x14ac:dyDescent="0.35">
      <c r="B282" s="12">
        <v>24</v>
      </c>
      <c r="C282" s="7" t="s">
        <v>2005</v>
      </c>
      <c r="D282" s="12">
        <v>2</v>
      </c>
      <c r="E282" s="7" t="s">
        <v>2013</v>
      </c>
      <c r="F282" s="7" t="s">
        <v>2014</v>
      </c>
      <c r="G282" s="7" t="s">
        <v>576</v>
      </c>
      <c r="H282" s="7" t="s">
        <v>1426</v>
      </c>
      <c r="I282" s="7" t="s">
        <v>1427</v>
      </c>
      <c r="J282" s="7" t="s">
        <v>2015</v>
      </c>
      <c r="K282" s="7" t="s">
        <v>2016</v>
      </c>
      <c r="L282" s="12">
        <v>1</v>
      </c>
      <c r="M282" s="7" t="s">
        <v>2012</v>
      </c>
    </row>
    <row r="283" spans="2:13" ht="37.5" customHeight="1" x14ac:dyDescent="0.35">
      <c r="B283" s="11">
        <v>24</v>
      </c>
      <c r="C283" s="5" t="s">
        <v>2005</v>
      </c>
      <c r="D283" s="11">
        <v>3</v>
      </c>
      <c r="E283" s="5" t="s">
        <v>2017</v>
      </c>
      <c r="F283" s="5" t="s">
        <v>2018</v>
      </c>
      <c r="G283" s="5" t="s">
        <v>28</v>
      </c>
      <c r="H283" s="5" t="s">
        <v>38</v>
      </c>
      <c r="I283" s="5" t="s">
        <v>53</v>
      </c>
      <c r="J283" s="5" t="s">
        <v>2019</v>
      </c>
      <c r="K283" s="5" t="s">
        <v>2020</v>
      </c>
      <c r="L283" s="11">
        <v>1</v>
      </c>
      <c r="M283" s="5" t="s">
        <v>2012</v>
      </c>
    </row>
    <row r="284" spans="2:13" ht="37.5" customHeight="1" x14ac:dyDescent="0.35">
      <c r="B284" s="12">
        <v>24</v>
      </c>
      <c r="C284" s="7" t="s">
        <v>2005</v>
      </c>
      <c r="D284" s="12">
        <v>4</v>
      </c>
      <c r="E284" s="7" t="s">
        <v>2021</v>
      </c>
      <c r="F284" s="7" t="s">
        <v>2022</v>
      </c>
      <c r="G284" s="7" t="s">
        <v>206</v>
      </c>
      <c r="H284" s="7" t="s">
        <v>2023</v>
      </c>
      <c r="I284" s="7" t="s">
        <v>2024</v>
      </c>
      <c r="J284" s="7" t="s">
        <v>404</v>
      </c>
      <c r="K284" s="7" t="s">
        <v>2025</v>
      </c>
      <c r="L284" s="12">
        <v>2</v>
      </c>
      <c r="M284" s="7" t="s">
        <v>2012</v>
      </c>
    </row>
    <row r="285" spans="2:13" ht="37.5" customHeight="1" x14ac:dyDescent="0.35">
      <c r="B285" s="11">
        <v>24</v>
      </c>
      <c r="C285" s="5" t="s">
        <v>2005</v>
      </c>
      <c r="D285" s="11">
        <v>5</v>
      </c>
      <c r="E285" s="5" t="s">
        <v>2026</v>
      </c>
      <c r="F285" s="5" t="s">
        <v>2027</v>
      </c>
      <c r="G285" s="5" t="s">
        <v>176</v>
      </c>
      <c r="H285" s="5" t="s">
        <v>37</v>
      </c>
      <c r="I285" s="5" t="s">
        <v>2028</v>
      </c>
      <c r="J285" s="5" t="s">
        <v>1192</v>
      </c>
      <c r="K285" s="5" t="s">
        <v>2029</v>
      </c>
      <c r="L285" s="11">
        <v>1</v>
      </c>
      <c r="M285" s="5" t="s">
        <v>2012</v>
      </c>
    </row>
    <row r="286" spans="2:13" ht="37.5" customHeight="1" x14ac:dyDescent="0.35">
      <c r="B286" s="12">
        <v>24</v>
      </c>
      <c r="C286" s="7" t="s">
        <v>2005</v>
      </c>
      <c r="D286" s="12">
        <v>6</v>
      </c>
      <c r="E286" s="7" t="s">
        <v>2030</v>
      </c>
      <c r="F286" s="7" t="s">
        <v>2031</v>
      </c>
      <c r="G286" s="7" t="s">
        <v>27</v>
      </c>
      <c r="H286" s="7" t="s">
        <v>2032</v>
      </c>
      <c r="I286" s="7" t="s">
        <v>56</v>
      </c>
      <c r="J286" s="7" t="s">
        <v>404</v>
      </c>
      <c r="K286" s="7" t="s">
        <v>2033</v>
      </c>
      <c r="L286" s="12">
        <v>2</v>
      </c>
      <c r="M286" s="7" t="s">
        <v>2012</v>
      </c>
    </row>
    <row r="287" spans="2:13" ht="37.5" customHeight="1" x14ac:dyDescent="0.35">
      <c r="B287" s="11">
        <v>24</v>
      </c>
      <c r="C287" s="5" t="s">
        <v>2005</v>
      </c>
      <c r="D287" s="11">
        <v>7</v>
      </c>
      <c r="E287" s="5" t="s">
        <v>2034</v>
      </c>
      <c r="F287" s="5" t="s">
        <v>2035</v>
      </c>
      <c r="G287" s="5" t="s">
        <v>842</v>
      </c>
      <c r="H287" s="5" t="s">
        <v>40</v>
      </c>
      <c r="I287" s="5" t="s">
        <v>56</v>
      </c>
      <c r="J287" s="5" t="s">
        <v>404</v>
      </c>
      <c r="K287" s="5" t="s">
        <v>1631</v>
      </c>
      <c r="L287" s="11">
        <v>1</v>
      </c>
      <c r="M287" s="5" t="s">
        <v>2012</v>
      </c>
    </row>
    <row r="288" spans="2:13" ht="37.5" customHeight="1" x14ac:dyDescent="0.35">
      <c r="B288" s="12">
        <v>24</v>
      </c>
      <c r="C288" s="7" t="s">
        <v>2005</v>
      </c>
      <c r="D288" s="12">
        <v>8</v>
      </c>
      <c r="E288" s="7" t="s">
        <v>2036</v>
      </c>
      <c r="F288" s="7" t="s">
        <v>2037</v>
      </c>
      <c r="G288" s="7" t="s">
        <v>1435</v>
      </c>
      <c r="H288" s="7" t="s">
        <v>37</v>
      </c>
      <c r="I288" s="7" t="s">
        <v>1248</v>
      </c>
      <c r="J288" s="7" t="s">
        <v>2038</v>
      </c>
      <c r="K288" s="7" t="s">
        <v>2039</v>
      </c>
      <c r="L288" s="12">
        <v>1</v>
      </c>
      <c r="M288" s="7" t="s">
        <v>2012</v>
      </c>
    </row>
    <row r="289" spans="2:13" ht="82.5" customHeight="1" x14ac:dyDescent="0.35">
      <c r="B289" s="11">
        <v>25</v>
      </c>
      <c r="C289" s="5" t="s">
        <v>2040</v>
      </c>
      <c r="D289" s="11">
        <v>1</v>
      </c>
      <c r="E289" s="5" t="s">
        <v>2041</v>
      </c>
      <c r="F289" s="5" t="s">
        <v>2042</v>
      </c>
      <c r="G289" s="5" t="s">
        <v>25</v>
      </c>
      <c r="H289" s="5" t="s">
        <v>2043</v>
      </c>
      <c r="I289" s="5" t="s">
        <v>2044</v>
      </c>
      <c r="J289" s="5" t="s">
        <v>2045</v>
      </c>
      <c r="K289" s="5" t="s">
        <v>2046</v>
      </c>
      <c r="L289" s="11">
        <v>4</v>
      </c>
      <c r="M289" s="5" t="s">
        <v>2012</v>
      </c>
    </row>
    <row r="290" spans="2:13" ht="37.5" customHeight="1" x14ac:dyDescent="0.35">
      <c r="B290" s="12">
        <v>25</v>
      </c>
      <c r="C290" s="7" t="s">
        <v>2040</v>
      </c>
      <c r="D290" s="12">
        <v>2</v>
      </c>
      <c r="E290" s="7" t="s">
        <v>2047</v>
      </c>
      <c r="F290" s="7" t="s">
        <v>2048</v>
      </c>
      <c r="G290" s="7" t="s">
        <v>30</v>
      </c>
      <c r="H290" s="7" t="s">
        <v>2049</v>
      </c>
      <c r="I290" s="7" t="s">
        <v>2050</v>
      </c>
      <c r="J290" s="7" t="s">
        <v>2051</v>
      </c>
      <c r="K290" s="7" t="s">
        <v>2052</v>
      </c>
      <c r="L290" s="12">
        <v>2</v>
      </c>
      <c r="M290" s="7" t="s">
        <v>2012</v>
      </c>
    </row>
    <row r="291" spans="2:13" ht="37.5" customHeight="1" x14ac:dyDescent="0.35">
      <c r="B291" s="11">
        <v>25</v>
      </c>
      <c r="C291" s="5" t="s">
        <v>2040</v>
      </c>
      <c r="D291" s="11">
        <v>3</v>
      </c>
      <c r="E291" s="5" t="s">
        <v>2053</v>
      </c>
      <c r="F291" s="5" t="s">
        <v>2054</v>
      </c>
      <c r="G291" s="5" t="s">
        <v>188</v>
      </c>
      <c r="H291" s="5" t="s">
        <v>1977</v>
      </c>
      <c r="I291" s="5" t="s">
        <v>2055</v>
      </c>
      <c r="J291" s="5" t="s">
        <v>2056</v>
      </c>
      <c r="K291" s="5" t="s">
        <v>2057</v>
      </c>
      <c r="L291" s="11">
        <v>2</v>
      </c>
      <c r="M291" s="5" t="s">
        <v>2012</v>
      </c>
    </row>
    <row r="292" spans="2:13" ht="37.5" customHeight="1" x14ac:dyDescent="0.35">
      <c r="B292" s="12">
        <v>25</v>
      </c>
      <c r="C292" s="7" t="s">
        <v>2040</v>
      </c>
      <c r="D292" s="12">
        <v>4</v>
      </c>
      <c r="E292" s="7" t="s">
        <v>2058</v>
      </c>
      <c r="F292" s="7" t="s">
        <v>2059</v>
      </c>
      <c r="G292" s="7" t="s">
        <v>372</v>
      </c>
      <c r="H292" s="7" t="s">
        <v>37</v>
      </c>
      <c r="I292" s="7" t="s">
        <v>1248</v>
      </c>
      <c r="J292" s="7" t="s">
        <v>2060</v>
      </c>
      <c r="K292" s="7" t="s">
        <v>2061</v>
      </c>
      <c r="L292" s="12">
        <v>1</v>
      </c>
      <c r="M292" s="7" t="s">
        <v>2012</v>
      </c>
    </row>
    <row r="293" spans="2:13" ht="37.5" customHeight="1" x14ac:dyDescent="0.35">
      <c r="B293" s="11">
        <v>25</v>
      </c>
      <c r="C293" s="5" t="s">
        <v>2040</v>
      </c>
      <c r="D293" s="11">
        <v>5</v>
      </c>
      <c r="E293" s="5" t="s">
        <v>2062</v>
      </c>
      <c r="F293" s="5" t="s">
        <v>2063</v>
      </c>
      <c r="G293" s="5" t="s">
        <v>29</v>
      </c>
      <c r="H293" s="5" t="s">
        <v>37</v>
      </c>
      <c r="I293" s="5" t="s">
        <v>1248</v>
      </c>
      <c r="J293" s="5" t="s">
        <v>2060</v>
      </c>
      <c r="K293" s="5" t="s">
        <v>2061</v>
      </c>
      <c r="L293" s="11">
        <v>1</v>
      </c>
      <c r="M293" s="5" t="s">
        <v>2012</v>
      </c>
    </row>
    <row r="294" spans="2:13" ht="67.5" customHeight="1" x14ac:dyDescent="0.35">
      <c r="B294" s="12">
        <v>25</v>
      </c>
      <c r="C294" s="7" t="s">
        <v>2040</v>
      </c>
      <c r="D294" s="12">
        <v>6</v>
      </c>
      <c r="E294" s="7" t="s">
        <v>2064</v>
      </c>
      <c r="F294" s="7" t="s">
        <v>2065</v>
      </c>
      <c r="G294" s="7" t="s">
        <v>25</v>
      </c>
      <c r="H294" s="7" t="s">
        <v>2066</v>
      </c>
      <c r="I294" s="7" t="s">
        <v>2067</v>
      </c>
      <c r="J294" s="7" t="s">
        <v>2068</v>
      </c>
      <c r="K294" s="7" t="s">
        <v>2069</v>
      </c>
      <c r="L294" s="12">
        <v>4</v>
      </c>
      <c r="M294" s="7" t="s">
        <v>2012</v>
      </c>
    </row>
    <row r="295" spans="2:13" ht="37.5" customHeight="1" x14ac:dyDescent="0.35">
      <c r="B295" s="11">
        <v>25</v>
      </c>
      <c r="C295" s="5" t="s">
        <v>2040</v>
      </c>
      <c r="D295" s="11">
        <v>7</v>
      </c>
      <c r="E295" s="5" t="s">
        <v>2070</v>
      </c>
      <c r="F295" s="5" t="s">
        <v>2071</v>
      </c>
      <c r="G295" s="5" t="s">
        <v>28</v>
      </c>
      <c r="H295" s="5" t="s">
        <v>38</v>
      </c>
      <c r="I295" s="5" t="s">
        <v>53</v>
      </c>
      <c r="J295" s="5" t="s">
        <v>2072</v>
      </c>
      <c r="K295" s="5" t="s">
        <v>2073</v>
      </c>
      <c r="L295" s="11">
        <v>1</v>
      </c>
      <c r="M295" s="5" t="s">
        <v>2012</v>
      </c>
    </row>
    <row r="296" spans="2:13" ht="37.5" customHeight="1" x14ac:dyDescent="0.35">
      <c r="B296" s="12">
        <v>25</v>
      </c>
      <c r="C296" s="7" t="s">
        <v>2040</v>
      </c>
      <c r="D296" s="12">
        <v>8</v>
      </c>
      <c r="E296" s="7" t="s">
        <v>2074</v>
      </c>
      <c r="F296" s="7" t="s">
        <v>2075</v>
      </c>
      <c r="G296" s="7" t="s">
        <v>2076</v>
      </c>
      <c r="H296" s="7" t="s">
        <v>37</v>
      </c>
      <c r="I296" s="7" t="s">
        <v>1248</v>
      </c>
      <c r="J296" s="7" t="s">
        <v>2060</v>
      </c>
      <c r="K296" s="7" t="s">
        <v>2061</v>
      </c>
      <c r="L296" s="12">
        <v>1</v>
      </c>
      <c r="M296" s="7" t="s">
        <v>2012</v>
      </c>
    </row>
    <row r="297" spans="2:13" ht="37.5" customHeight="1" x14ac:dyDescent="0.35">
      <c r="B297" s="11">
        <v>25</v>
      </c>
      <c r="C297" s="5" t="s">
        <v>2040</v>
      </c>
      <c r="D297" s="11">
        <v>9</v>
      </c>
      <c r="E297" s="5" t="s">
        <v>2077</v>
      </c>
      <c r="F297" s="5" t="s">
        <v>2078</v>
      </c>
      <c r="G297" s="5" t="s">
        <v>513</v>
      </c>
      <c r="H297" s="5" t="s">
        <v>37</v>
      </c>
      <c r="I297" s="5" t="s">
        <v>1248</v>
      </c>
      <c r="J297" s="5" t="s">
        <v>2060</v>
      </c>
      <c r="K297" s="5" t="s">
        <v>2061</v>
      </c>
      <c r="L297" s="11">
        <v>1</v>
      </c>
      <c r="M297" s="5" t="s">
        <v>2012</v>
      </c>
    </row>
    <row r="298" spans="2:13" ht="37.5" customHeight="1" x14ac:dyDescent="0.35">
      <c r="B298" s="12">
        <v>25</v>
      </c>
      <c r="C298" s="7" t="s">
        <v>2040</v>
      </c>
      <c r="D298" s="12">
        <v>10</v>
      </c>
      <c r="E298" s="7" t="s">
        <v>2079</v>
      </c>
      <c r="F298" s="7" t="s">
        <v>2080</v>
      </c>
      <c r="G298" s="7" t="s">
        <v>206</v>
      </c>
      <c r="H298" s="7" t="s">
        <v>1479</v>
      </c>
      <c r="I298" s="7" t="s">
        <v>2081</v>
      </c>
      <c r="J298" s="7" t="s">
        <v>2082</v>
      </c>
      <c r="K298" s="7" t="s">
        <v>2083</v>
      </c>
      <c r="L298" s="12">
        <v>2</v>
      </c>
      <c r="M298" s="7" t="s">
        <v>2012</v>
      </c>
    </row>
    <row r="299" spans="2:13" ht="37.5" customHeight="1" x14ac:dyDescent="0.35">
      <c r="B299" s="11">
        <v>25</v>
      </c>
      <c r="C299" s="5" t="s">
        <v>2040</v>
      </c>
      <c r="D299" s="11">
        <v>11</v>
      </c>
      <c r="E299" s="5" t="s">
        <v>2084</v>
      </c>
      <c r="F299" s="5" t="s">
        <v>2085</v>
      </c>
      <c r="G299" s="5" t="s">
        <v>30</v>
      </c>
      <c r="H299" s="5" t="s">
        <v>37</v>
      </c>
      <c r="I299" s="5" t="s">
        <v>2086</v>
      </c>
      <c r="J299" s="5" t="s">
        <v>2060</v>
      </c>
      <c r="K299" s="5" t="s">
        <v>2087</v>
      </c>
      <c r="L299" s="11">
        <v>1</v>
      </c>
      <c r="M299" s="5" t="s">
        <v>2012</v>
      </c>
    </row>
    <row r="300" spans="2:13" ht="52.5" customHeight="1" x14ac:dyDescent="0.35">
      <c r="B300" s="12">
        <v>25</v>
      </c>
      <c r="C300" s="7" t="s">
        <v>2040</v>
      </c>
      <c r="D300" s="12">
        <v>12</v>
      </c>
      <c r="E300" s="7" t="s">
        <v>2088</v>
      </c>
      <c r="F300" s="7" t="s">
        <v>2089</v>
      </c>
      <c r="G300" s="7" t="s">
        <v>33</v>
      </c>
      <c r="H300" s="7" t="s">
        <v>2090</v>
      </c>
      <c r="I300" s="7" t="s">
        <v>2091</v>
      </c>
      <c r="J300" s="7" t="s">
        <v>2092</v>
      </c>
      <c r="K300" s="7" t="s">
        <v>2093</v>
      </c>
      <c r="L300" s="12">
        <v>2</v>
      </c>
      <c r="M300" s="7" t="s">
        <v>2012</v>
      </c>
    </row>
    <row r="301" spans="2:13" ht="37.5" customHeight="1" x14ac:dyDescent="0.35">
      <c r="B301" s="11">
        <v>25</v>
      </c>
      <c r="C301" s="5" t="s">
        <v>2040</v>
      </c>
      <c r="D301" s="11">
        <v>13</v>
      </c>
      <c r="E301" s="5" t="s">
        <v>2094</v>
      </c>
      <c r="F301" s="5" t="s">
        <v>2095</v>
      </c>
      <c r="G301" s="5" t="s">
        <v>402</v>
      </c>
      <c r="H301" s="5" t="s">
        <v>37</v>
      </c>
      <c r="I301" s="5" t="s">
        <v>2086</v>
      </c>
      <c r="J301" s="5" t="s">
        <v>2060</v>
      </c>
      <c r="K301" s="5" t="s">
        <v>2087</v>
      </c>
      <c r="L301" s="11">
        <v>1</v>
      </c>
      <c r="M301" s="5" t="s">
        <v>2012</v>
      </c>
    </row>
    <row r="302" spans="2:13" ht="37.5" customHeight="1" x14ac:dyDescent="0.35">
      <c r="B302" s="12">
        <v>25</v>
      </c>
      <c r="C302" s="7" t="s">
        <v>2040</v>
      </c>
      <c r="D302" s="12">
        <v>14</v>
      </c>
      <c r="E302" s="7" t="s">
        <v>2096</v>
      </c>
      <c r="F302" s="7" t="s">
        <v>2097</v>
      </c>
      <c r="G302" s="7" t="s">
        <v>1593</v>
      </c>
      <c r="H302" s="7" t="s">
        <v>43</v>
      </c>
      <c r="I302" s="7" t="s">
        <v>1093</v>
      </c>
      <c r="J302" s="7" t="s">
        <v>2098</v>
      </c>
      <c r="K302" s="7" t="s">
        <v>2099</v>
      </c>
      <c r="L302" s="12">
        <v>1</v>
      </c>
      <c r="M302" s="7" t="s">
        <v>2012</v>
      </c>
    </row>
    <row r="303" spans="2:13" ht="37.5" customHeight="1" x14ac:dyDescent="0.35">
      <c r="B303" s="11">
        <v>25</v>
      </c>
      <c r="C303" s="5" t="s">
        <v>2040</v>
      </c>
      <c r="D303" s="11">
        <v>15</v>
      </c>
      <c r="E303" s="5" t="s">
        <v>2100</v>
      </c>
      <c r="F303" s="5" t="s">
        <v>2101</v>
      </c>
      <c r="G303" s="5" t="s">
        <v>31</v>
      </c>
      <c r="H303" s="5" t="s">
        <v>1426</v>
      </c>
      <c r="I303" s="5" t="s">
        <v>1427</v>
      </c>
      <c r="J303" s="5" t="s">
        <v>2102</v>
      </c>
      <c r="K303" s="5" t="s">
        <v>2103</v>
      </c>
      <c r="L303" s="11">
        <v>1</v>
      </c>
      <c r="M303" s="5" t="s">
        <v>2012</v>
      </c>
    </row>
    <row r="304" spans="2:13" ht="37.5" customHeight="1" x14ac:dyDescent="0.35">
      <c r="B304" s="12">
        <v>25</v>
      </c>
      <c r="C304" s="7" t="s">
        <v>2040</v>
      </c>
      <c r="D304" s="12">
        <v>16</v>
      </c>
      <c r="E304" s="7" t="s">
        <v>2104</v>
      </c>
      <c r="F304" s="7" t="s">
        <v>2105</v>
      </c>
      <c r="G304" s="7" t="s">
        <v>648</v>
      </c>
      <c r="H304" s="7" t="s">
        <v>38</v>
      </c>
      <c r="I304" s="7" t="s">
        <v>53</v>
      </c>
      <c r="J304" s="7" t="s">
        <v>404</v>
      </c>
      <c r="K304" s="7" t="s">
        <v>1306</v>
      </c>
      <c r="L304" s="12">
        <v>1</v>
      </c>
      <c r="M304" s="7" t="s">
        <v>2012</v>
      </c>
    </row>
    <row r="305" spans="2:13" ht="52.5" customHeight="1" x14ac:dyDescent="0.35">
      <c r="B305" s="11">
        <v>25</v>
      </c>
      <c r="C305" s="5" t="s">
        <v>2040</v>
      </c>
      <c r="D305" s="11">
        <v>17</v>
      </c>
      <c r="E305" s="5" t="s">
        <v>2106</v>
      </c>
      <c r="F305" s="5" t="s">
        <v>2107</v>
      </c>
      <c r="G305" s="5" t="s">
        <v>625</v>
      </c>
      <c r="H305" s="5" t="s">
        <v>238</v>
      </c>
      <c r="I305" s="5" t="s">
        <v>2108</v>
      </c>
      <c r="J305" s="5" t="s">
        <v>2092</v>
      </c>
      <c r="K305" s="5" t="s">
        <v>2109</v>
      </c>
      <c r="L305" s="11">
        <v>2</v>
      </c>
      <c r="M305" s="5" t="s">
        <v>2012</v>
      </c>
    </row>
    <row r="306" spans="2:13" ht="37.5" customHeight="1" x14ac:dyDescent="0.35">
      <c r="B306" s="12">
        <v>25</v>
      </c>
      <c r="C306" s="7" t="s">
        <v>2040</v>
      </c>
      <c r="D306" s="12">
        <v>18</v>
      </c>
      <c r="E306" s="7" t="s">
        <v>2110</v>
      </c>
      <c r="F306" s="7" t="s">
        <v>2111</v>
      </c>
      <c r="G306" s="7" t="s">
        <v>1294</v>
      </c>
      <c r="H306" s="7" t="s">
        <v>817</v>
      </c>
      <c r="I306" s="7" t="s">
        <v>2112</v>
      </c>
      <c r="J306" s="7" t="s">
        <v>404</v>
      </c>
      <c r="K306" s="7" t="s">
        <v>2113</v>
      </c>
      <c r="L306" s="12">
        <v>1</v>
      </c>
      <c r="M306" s="7" t="s">
        <v>2012</v>
      </c>
    </row>
    <row r="307" spans="2:13" ht="37.5" customHeight="1" x14ac:dyDescent="0.35">
      <c r="B307" s="11">
        <v>25</v>
      </c>
      <c r="C307" s="5" t="s">
        <v>2040</v>
      </c>
      <c r="D307" s="11">
        <v>19</v>
      </c>
      <c r="E307" s="5" t="s">
        <v>2114</v>
      </c>
      <c r="F307" s="5" t="s">
        <v>2115</v>
      </c>
      <c r="G307" s="5" t="s">
        <v>439</v>
      </c>
      <c r="H307" s="5" t="s">
        <v>37</v>
      </c>
      <c r="I307" s="5" t="s">
        <v>2086</v>
      </c>
      <c r="J307" s="5" t="s">
        <v>2060</v>
      </c>
      <c r="K307" s="5" t="s">
        <v>2087</v>
      </c>
      <c r="L307" s="11">
        <v>1</v>
      </c>
      <c r="M307" s="5" t="s">
        <v>2012</v>
      </c>
    </row>
    <row r="308" spans="2:13" ht="37.5" customHeight="1" x14ac:dyDescent="0.35">
      <c r="B308" s="12">
        <v>25</v>
      </c>
      <c r="C308" s="7" t="s">
        <v>2040</v>
      </c>
      <c r="D308" s="12">
        <v>20</v>
      </c>
      <c r="E308" s="7" t="s">
        <v>2116</v>
      </c>
      <c r="F308" s="7" t="s">
        <v>2117</v>
      </c>
      <c r="G308" s="7" t="s">
        <v>345</v>
      </c>
      <c r="H308" s="7" t="s">
        <v>37</v>
      </c>
      <c r="I308" s="7" t="s">
        <v>2086</v>
      </c>
      <c r="J308" s="7" t="s">
        <v>2060</v>
      </c>
      <c r="K308" s="7" t="s">
        <v>2087</v>
      </c>
      <c r="L308" s="12">
        <v>1</v>
      </c>
      <c r="M308" s="7" t="s">
        <v>2012</v>
      </c>
    </row>
    <row r="309" spans="2:13" ht="37.5" customHeight="1" x14ac:dyDescent="0.35">
      <c r="B309" s="11">
        <v>25</v>
      </c>
      <c r="C309" s="5" t="s">
        <v>2040</v>
      </c>
      <c r="D309" s="11">
        <v>21</v>
      </c>
      <c r="E309" s="5" t="s">
        <v>2118</v>
      </c>
      <c r="F309" s="5" t="s">
        <v>2119</v>
      </c>
      <c r="G309" s="5" t="s">
        <v>1784</v>
      </c>
      <c r="H309" s="5" t="s">
        <v>37</v>
      </c>
      <c r="I309" s="5" t="s">
        <v>1248</v>
      </c>
      <c r="J309" s="5" t="s">
        <v>2060</v>
      </c>
      <c r="K309" s="5" t="s">
        <v>2061</v>
      </c>
      <c r="L309" s="11">
        <v>1</v>
      </c>
      <c r="M309" s="5" t="s">
        <v>2012</v>
      </c>
    </row>
    <row r="310" spans="2:13" ht="37.5" customHeight="1" x14ac:dyDescent="0.35">
      <c r="B310" s="12">
        <v>25</v>
      </c>
      <c r="C310" s="7" t="s">
        <v>2040</v>
      </c>
      <c r="D310" s="12">
        <v>22</v>
      </c>
      <c r="E310" s="7" t="s">
        <v>2120</v>
      </c>
      <c r="F310" s="7" t="s">
        <v>2121</v>
      </c>
      <c r="G310" s="7" t="s">
        <v>1294</v>
      </c>
      <c r="H310" s="7" t="s">
        <v>37</v>
      </c>
      <c r="I310" s="7" t="s">
        <v>1248</v>
      </c>
      <c r="J310" s="7" t="s">
        <v>2060</v>
      </c>
      <c r="K310" s="7" t="s">
        <v>2061</v>
      </c>
      <c r="L310" s="12">
        <v>1</v>
      </c>
      <c r="M310" s="7" t="s">
        <v>2012</v>
      </c>
    </row>
    <row r="311" spans="2:13" ht="37.5" customHeight="1" x14ac:dyDescent="0.35">
      <c r="B311" s="11">
        <v>25</v>
      </c>
      <c r="C311" s="5" t="s">
        <v>2040</v>
      </c>
      <c r="D311" s="11">
        <v>23</v>
      </c>
      <c r="E311" s="5" t="s">
        <v>2122</v>
      </c>
      <c r="F311" s="5" t="s">
        <v>2123</v>
      </c>
      <c r="G311" s="5" t="s">
        <v>198</v>
      </c>
      <c r="H311" s="5" t="s">
        <v>37</v>
      </c>
      <c r="I311" s="5" t="s">
        <v>1248</v>
      </c>
      <c r="J311" s="5" t="s">
        <v>2060</v>
      </c>
      <c r="K311" s="5" t="s">
        <v>2061</v>
      </c>
      <c r="L311" s="11">
        <v>1</v>
      </c>
      <c r="M311" s="5" t="s">
        <v>2012</v>
      </c>
    </row>
    <row r="312" spans="2:13" ht="37.5" customHeight="1" x14ac:dyDescent="0.35">
      <c r="B312" s="12">
        <v>25</v>
      </c>
      <c r="C312" s="7" t="s">
        <v>2040</v>
      </c>
      <c r="D312" s="12">
        <v>24</v>
      </c>
      <c r="E312" s="7" t="s">
        <v>2124</v>
      </c>
      <c r="F312" s="7" t="s">
        <v>2125</v>
      </c>
      <c r="G312" s="7" t="s">
        <v>2126</v>
      </c>
      <c r="H312" s="7" t="s">
        <v>37</v>
      </c>
      <c r="I312" s="7" t="s">
        <v>1248</v>
      </c>
      <c r="J312" s="7" t="s">
        <v>2060</v>
      </c>
      <c r="K312" s="7" t="s">
        <v>2061</v>
      </c>
      <c r="L312" s="12">
        <v>1</v>
      </c>
      <c r="M312" s="7" t="s">
        <v>2012</v>
      </c>
    </row>
    <row r="313" spans="2:13" ht="37.5" customHeight="1" x14ac:dyDescent="0.35">
      <c r="B313" s="11">
        <v>25</v>
      </c>
      <c r="C313" s="5" t="s">
        <v>2040</v>
      </c>
      <c r="D313" s="11">
        <v>25</v>
      </c>
      <c r="E313" s="5" t="s">
        <v>2127</v>
      </c>
      <c r="F313" s="5" t="s">
        <v>2128</v>
      </c>
      <c r="G313" s="5" t="s">
        <v>345</v>
      </c>
      <c r="H313" s="5" t="s">
        <v>44</v>
      </c>
      <c r="I313" s="5" t="s">
        <v>52</v>
      </c>
      <c r="J313" s="5" t="s">
        <v>2129</v>
      </c>
      <c r="K313" s="5" t="s">
        <v>2130</v>
      </c>
      <c r="L313" s="11">
        <v>1</v>
      </c>
      <c r="M313" s="5" t="s">
        <v>2012</v>
      </c>
    </row>
    <row r="314" spans="2:13" ht="37.5" customHeight="1" x14ac:dyDescent="0.35">
      <c r="B314" s="12">
        <v>25</v>
      </c>
      <c r="C314" s="7" t="s">
        <v>2040</v>
      </c>
      <c r="D314" s="12">
        <v>26</v>
      </c>
      <c r="E314" s="7" t="s">
        <v>2131</v>
      </c>
      <c r="F314" s="7" t="s">
        <v>2132</v>
      </c>
      <c r="G314" s="7" t="s">
        <v>212</v>
      </c>
      <c r="H314" s="7" t="s">
        <v>37</v>
      </c>
      <c r="I314" s="7" t="s">
        <v>1248</v>
      </c>
      <c r="J314" s="7" t="s">
        <v>2060</v>
      </c>
      <c r="K314" s="7" t="s">
        <v>2061</v>
      </c>
      <c r="L314" s="12">
        <v>1</v>
      </c>
      <c r="M314" s="7" t="s">
        <v>2012</v>
      </c>
    </row>
    <row r="315" spans="2:13" ht="37.5" customHeight="1" x14ac:dyDescent="0.35">
      <c r="B315" s="11">
        <v>25</v>
      </c>
      <c r="C315" s="5" t="s">
        <v>2040</v>
      </c>
      <c r="D315" s="11">
        <v>27</v>
      </c>
      <c r="E315" s="5" t="s">
        <v>2133</v>
      </c>
      <c r="F315" s="5" t="s">
        <v>2134</v>
      </c>
      <c r="G315" s="5" t="s">
        <v>2135</v>
      </c>
      <c r="H315" s="5" t="s">
        <v>37</v>
      </c>
      <c r="I315" s="5" t="s">
        <v>2136</v>
      </c>
      <c r="J315" s="5" t="s">
        <v>2060</v>
      </c>
      <c r="K315" s="5" t="s">
        <v>2137</v>
      </c>
      <c r="L315" s="11">
        <v>1</v>
      </c>
      <c r="M315" s="5" t="s">
        <v>2012</v>
      </c>
    </row>
    <row r="316" spans="2:13" ht="67.5" customHeight="1" x14ac:dyDescent="0.35">
      <c r="B316" s="12">
        <v>26</v>
      </c>
      <c r="C316" s="7" t="s">
        <v>2138</v>
      </c>
      <c r="D316" s="12">
        <v>1</v>
      </c>
      <c r="E316" s="7" t="s">
        <v>2139</v>
      </c>
      <c r="F316" s="7" t="s">
        <v>2140</v>
      </c>
      <c r="G316" s="7" t="s">
        <v>742</v>
      </c>
      <c r="H316" s="7" t="s">
        <v>2141</v>
      </c>
      <c r="I316" s="7" t="s">
        <v>2142</v>
      </c>
      <c r="J316" s="7" t="s">
        <v>404</v>
      </c>
      <c r="K316" s="7" t="s">
        <v>2143</v>
      </c>
      <c r="L316" s="12">
        <v>2</v>
      </c>
      <c r="M316" s="7" t="s">
        <v>2144</v>
      </c>
    </row>
    <row r="317" spans="2:13" ht="37.5" customHeight="1" x14ac:dyDescent="0.35">
      <c r="B317" s="11">
        <v>27</v>
      </c>
      <c r="C317" s="5" t="s">
        <v>2145</v>
      </c>
      <c r="D317" s="11">
        <v>1</v>
      </c>
      <c r="E317" s="5" t="s">
        <v>2146</v>
      </c>
      <c r="F317" s="5" t="s">
        <v>2147</v>
      </c>
      <c r="G317" s="5" t="s">
        <v>653</v>
      </c>
      <c r="H317" s="5" t="s">
        <v>2148</v>
      </c>
      <c r="I317" s="5" t="s">
        <v>2149</v>
      </c>
      <c r="J317" s="5" t="s">
        <v>233</v>
      </c>
      <c r="K317" s="5" t="s">
        <v>2150</v>
      </c>
      <c r="L317" s="11">
        <v>2</v>
      </c>
      <c r="M317" s="5" t="s">
        <v>1896</v>
      </c>
    </row>
    <row r="318" spans="2:13" ht="37.5" customHeight="1" x14ac:dyDescent="0.35">
      <c r="B318" s="12">
        <v>27</v>
      </c>
      <c r="C318" s="7" t="s">
        <v>2145</v>
      </c>
      <c r="D318" s="12">
        <v>2</v>
      </c>
      <c r="E318" s="7" t="s">
        <v>2151</v>
      </c>
      <c r="F318" s="7" t="s">
        <v>2152</v>
      </c>
      <c r="G318" s="7" t="s">
        <v>1589</v>
      </c>
      <c r="H318" s="7" t="s">
        <v>1426</v>
      </c>
      <c r="I318" s="7" t="s">
        <v>1427</v>
      </c>
      <c r="J318" s="7" t="s">
        <v>1063</v>
      </c>
      <c r="K318" s="7" t="s">
        <v>1514</v>
      </c>
      <c r="L318" s="12">
        <v>1</v>
      </c>
      <c r="M318" s="7" t="s">
        <v>1896</v>
      </c>
    </row>
    <row r="319" spans="2:13" ht="97.5" customHeight="1" x14ac:dyDescent="0.35">
      <c r="B319" s="11">
        <v>27</v>
      </c>
      <c r="C319" s="5" t="s">
        <v>2145</v>
      </c>
      <c r="D319" s="11">
        <v>3</v>
      </c>
      <c r="E319" s="5" t="s">
        <v>2153</v>
      </c>
      <c r="F319" s="5" t="s">
        <v>2154</v>
      </c>
      <c r="G319" s="5" t="s">
        <v>421</v>
      </c>
      <c r="H319" s="5" t="s">
        <v>2155</v>
      </c>
      <c r="I319" s="5" t="s">
        <v>2156</v>
      </c>
      <c r="J319" s="5" t="s">
        <v>2157</v>
      </c>
      <c r="K319" s="5" t="s">
        <v>2158</v>
      </c>
      <c r="L319" s="11">
        <v>6</v>
      </c>
      <c r="M319" s="5" t="s">
        <v>1896</v>
      </c>
    </row>
    <row r="320" spans="2:13" ht="37.5" customHeight="1" x14ac:dyDescent="0.35">
      <c r="B320" s="12">
        <v>27</v>
      </c>
      <c r="C320" s="7" t="s">
        <v>2145</v>
      </c>
      <c r="D320" s="12">
        <v>4</v>
      </c>
      <c r="E320" s="7" t="s">
        <v>2159</v>
      </c>
      <c r="F320" s="7" t="s">
        <v>2160</v>
      </c>
      <c r="G320" s="7" t="s">
        <v>648</v>
      </c>
      <c r="H320" s="7" t="s">
        <v>2161</v>
      </c>
      <c r="I320" s="7" t="s">
        <v>2162</v>
      </c>
      <c r="J320" s="7" t="s">
        <v>2163</v>
      </c>
      <c r="K320" s="7" t="s">
        <v>2164</v>
      </c>
      <c r="L320" s="12">
        <v>2</v>
      </c>
      <c r="M320" s="7" t="s">
        <v>1896</v>
      </c>
    </row>
    <row r="321" spans="2:13" ht="67.5" customHeight="1" x14ac:dyDescent="0.35">
      <c r="B321" s="11">
        <v>28</v>
      </c>
      <c r="C321" s="5" t="s">
        <v>2165</v>
      </c>
      <c r="D321" s="11">
        <v>1</v>
      </c>
      <c r="E321" s="5" t="s">
        <v>2166</v>
      </c>
      <c r="F321" s="5" t="s">
        <v>2167</v>
      </c>
      <c r="G321" s="5" t="s">
        <v>25</v>
      </c>
      <c r="H321" s="5" t="s">
        <v>2168</v>
      </c>
      <c r="I321" s="5" t="s">
        <v>2169</v>
      </c>
      <c r="J321" s="5" t="s">
        <v>2170</v>
      </c>
      <c r="K321" s="5" t="s">
        <v>2171</v>
      </c>
      <c r="L321" s="11">
        <v>3</v>
      </c>
      <c r="M321" s="5" t="s">
        <v>1896</v>
      </c>
    </row>
    <row r="322" spans="2:13" ht="37.5" customHeight="1" x14ac:dyDescent="0.35">
      <c r="B322" s="12">
        <v>28</v>
      </c>
      <c r="C322" s="7" t="s">
        <v>2165</v>
      </c>
      <c r="D322" s="12">
        <v>2</v>
      </c>
      <c r="E322" s="7" t="s">
        <v>2172</v>
      </c>
      <c r="F322" s="7" t="s">
        <v>2173</v>
      </c>
      <c r="G322" s="7" t="s">
        <v>1076</v>
      </c>
      <c r="H322" s="7" t="s">
        <v>36</v>
      </c>
      <c r="I322" s="7" t="s">
        <v>1259</v>
      </c>
      <c r="J322" s="7" t="s">
        <v>2174</v>
      </c>
      <c r="K322" s="7" t="s">
        <v>2175</v>
      </c>
      <c r="L322" s="12">
        <v>1</v>
      </c>
      <c r="M322" s="7" t="s">
        <v>1896</v>
      </c>
    </row>
    <row r="323" spans="2:13" ht="37.5" customHeight="1" x14ac:dyDescent="0.35">
      <c r="B323" s="11">
        <v>28</v>
      </c>
      <c r="C323" s="5" t="s">
        <v>2165</v>
      </c>
      <c r="D323" s="11">
        <v>3</v>
      </c>
      <c r="E323" s="5" t="s">
        <v>2176</v>
      </c>
      <c r="F323" s="5" t="s">
        <v>2177</v>
      </c>
      <c r="G323" s="5" t="s">
        <v>625</v>
      </c>
      <c r="H323" s="5" t="s">
        <v>40</v>
      </c>
      <c r="I323" s="5" t="s">
        <v>56</v>
      </c>
      <c r="J323" s="5" t="s">
        <v>154</v>
      </c>
      <c r="K323" s="5" t="s">
        <v>2178</v>
      </c>
      <c r="L323" s="11">
        <v>1</v>
      </c>
      <c r="M323" s="5" t="s">
        <v>1896</v>
      </c>
    </row>
    <row r="324" spans="2:13" ht="37.5" customHeight="1" x14ac:dyDescent="0.35">
      <c r="B324" s="12">
        <v>28</v>
      </c>
      <c r="C324" s="7" t="s">
        <v>2165</v>
      </c>
      <c r="D324" s="12">
        <v>4</v>
      </c>
      <c r="E324" s="7" t="s">
        <v>2179</v>
      </c>
      <c r="F324" s="7" t="s">
        <v>2180</v>
      </c>
      <c r="G324" s="7" t="s">
        <v>28</v>
      </c>
      <c r="H324" s="7" t="s">
        <v>2181</v>
      </c>
      <c r="I324" s="7" t="s">
        <v>2149</v>
      </c>
      <c r="J324" s="7" t="s">
        <v>233</v>
      </c>
      <c r="K324" s="7" t="s">
        <v>2182</v>
      </c>
      <c r="L324" s="12">
        <v>2</v>
      </c>
      <c r="M324" s="7" t="s">
        <v>1896</v>
      </c>
    </row>
    <row r="325" spans="2:13" ht="37.5" customHeight="1" x14ac:dyDescent="0.35">
      <c r="B325" s="11">
        <v>28</v>
      </c>
      <c r="C325" s="5" t="s">
        <v>2165</v>
      </c>
      <c r="D325" s="11">
        <v>5</v>
      </c>
      <c r="E325" s="5" t="s">
        <v>2183</v>
      </c>
      <c r="F325" s="5" t="s">
        <v>2184</v>
      </c>
      <c r="G325" s="5" t="s">
        <v>638</v>
      </c>
      <c r="H325" s="5" t="s">
        <v>36</v>
      </c>
      <c r="I325" s="5" t="s">
        <v>1259</v>
      </c>
      <c r="J325" s="5" t="s">
        <v>2174</v>
      </c>
      <c r="K325" s="5" t="s">
        <v>2175</v>
      </c>
      <c r="L325" s="11">
        <v>1</v>
      </c>
      <c r="M325" s="5" t="s">
        <v>1896</v>
      </c>
    </row>
    <row r="326" spans="2:13" ht="37.5" customHeight="1" x14ac:dyDescent="0.35">
      <c r="B326" s="12">
        <v>28</v>
      </c>
      <c r="C326" s="7" t="s">
        <v>2165</v>
      </c>
      <c r="D326" s="12">
        <v>6</v>
      </c>
      <c r="E326" s="7" t="s">
        <v>2185</v>
      </c>
      <c r="F326" s="7" t="s">
        <v>2186</v>
      </c>
      <c r="G326" s="7" t="s">
        <v>653</v>
      </c>
      <c r="H326" s="7" t="s">
        <v>40</v>
      </c>
      <c r="I326" s="7" t="s">
        <v>56</v>
      </c>
      <c r="J326" s="7" t="s">
        <v>233</v>
      </c>
      <c r="K326" s="7" t="s">
        <v>1103</v>
      </c>
      <c r="L326" s="12">
        <v>1</v>
      </c>
      <c r="M326" s="7" t="s">
        <v>1896</v>
      </c>
    </row>
    <row r="327" spans="2:13" ht="37.5" customHeight="1" x14ac:dyDescent="0.35">
      <c r="B327" s="11">
        <v>28</v>
      </c>
      <c r="C327" s="5" t="s">
        <v>2165</v>
      </c>
      <c r="D327" s="11">
        <v>7</v>
      </c>
      <c r="E327" s="5" t="s">
        <v>2187</v>
      </c>
      <c r="F327" s="5" t="s">
        <v>2188</v>
      </c>
      <c r="G327" s="5" t="s">
        <v>285</v>
      </c>
      <c r="H327" s="5" t="s">
        <v>37</v>
      </c>
      <c r="I327" s="5" t="s">
        <v>1264</v>
      </c>
      <c r="J327" s="5" t="s">
        <v>1107</v>
      </c>
      <c r="K327" s="5" t="s">
        <v>1265</v>
      </c>
      <c r="L327" s="11">
        <v>1</v>
      </c>
      <c r="M327" s="5" t="s">
        <v>1896</v>
      </c>
    </row>
    <row r="328" spans="2:13" ht="37.5" customHeight="1" x14ac:dyDescent="0.35">
      <c r="B328" s="12">
        <v>28</v>
      </c>
      <c r="C328" s="7" t="s">
        <v>2165</v>
      </c>
      <c r="D328" s="12">
        <v>8</v>
      </c>
      <c r="E328" s="7" t="s">
        <v>2189</v>
      </c>
      <c r="F328" s="7" t="s">
        <v>2190</v>
      </c>
      <c r="G328" s="7" t="s">
        <v>24</v>
      </c>
      <c r="H328" s="7" t="s">
        <v>37</v>
      </c>
      <c r="I328" s="7" t="s">
        <v>1264</v>
      </c>
      <c r="J328" s="7" t="s">
        <v>1107</v>
      </c>
      <c r="K328" s="7" t="s">
        <v>1265</v>
      </c>
      <c r="L328" s="12">
        <v>1</v>
      </c>
      <c r="M328" s="7" t="s">
        <v>1896</v>
      </c>
    </row>
    <row r="329" spans="2:13" ht="37.5" customHeight="1" x14ac:dyDescent="0.35">
      <c r="B329" s="11">
        <v>28</v>
      </c>
      <c r="C329" s="5" t="s">
        <v>2165</v>
      </c>
      <c r="D329" s="11">
        <v>9</v>
      </c>
      <c r="E329" s="5" t="s">
        <v>2191</v>
      </c>
      <c r="F329" s="5" t="s">
        <v>2192</v>
      </c>
      <c r="G329" s="5" t="s">
        <v>32</v>
      </c>
      <c r="H329" s="5" t="s">
        <v>1426</v>
      </c>
      <c r="I329" s="5" t="s">
        <v>1427</v>
      </c>
      <c r="J329" s="5" t="s">
        <v>233</v>
      </c>
      <c r="K329" s="5" t="s">
        <v>2193</v>
      </c>
      <c r="L329" s="11">
        <v>1</v>
      </c>
      <c r="M329" s="5" t="s">
        <v>1896</v>
      </c>
    </row>
    <row r="330" spans="2:13" ht="37.5" customHeight="1" x14ac:dyDescent="0.35">
      <c r="B330" s="12">
        <v>28</v>
      </c>
      <c r="C330" s="7" t="s">
        <v>2165</v>
      </c>
      <c r="D330" s="12">
        <v>10</v>
      </c>
      <c r="E330" s="7" t="s">
        <v>2194</v>
      </c>
      <c r="F330" s="7" t="s">
        <v>2195</v>
      </c>
      <c r="G330" s="7" t="s">
        <v>552</v>
      </c>
      <c r="H330" s="7" t="s">
        <v>817</v>
      </c>
      <c r="I330" s="7" t="s">
        <v>52</v>
      </c>
      <c r="J330" s="7" t="s">
        <v>154</v>
      </c>
      <c r="K330" s="7" t="s">
        <v>2196</v>
      </c>
      <c r="L330" s="12">
        <v>1</v>
      </c>
      <c r="M330" s="7" t="s">
        <v>1896</v>
      </c>
    </row>
    <row r="331" spans="2:13" ht="37.5" customHeight="1" x14ac:dyDescent="0.35">
      <c r="B331" s="11">
        <v>28</v>
      </c>
      <c r="C331" s="5" t="s">
        <v>2165</v>
      </c>
      <c r="D331" s="11">
        <v>11</v>
      </c>
      <c r="E331" s="5" t="s">
        <v>2197</v>
      </c>
      <c r="F331" s="5" t="s">
        <v>2198</v>
      </c>
      <c r="G331" s="5" t="s">
        <v>279</v>
      </c>
      <c r="H331" s="5" t="s">
        <v>817</v>
      </c>
      <c r="I331" s="5" t="s">
        <v>52</v>
      </c>
      <c r="J331" s="5" t="s">
        <v>154</v>
      </c>
      <c r="K331" s="5" t="s">
        <v>2196</v>
      </c>
      <c r="L331" s="11">
        <v>1</v>
      </c>
      <c r="M331" s="5" t="s">
        <v>1896</v>
      </c>
    </row>
    <row r="332" spans="2:13" ht="37.5" customHeight="1" x14ac:dyDescent="0.35">
      <c r="B332" s="12">
        <v>28</v>
      </c>
      <c r="C332" s="7" t="s">
        <v>2165</v>
      </c>
      <c r="D332" s="12">
        <v>12</v>
      </c>
      <c r="E332" s="7" t="s">
        <v>2199</v>
      </c>
      <c r="F332" s="7" t="s">
        <v>2200</v>
      </c>
      <c r="G332" s="7" t="s">
        <v>282</v>
      </c>
      <c r="H332" s="7" t="s">
        <v>817</v>
      </c>
      <c r="I332" s="7" t="s">
        <v>52</v>
      </c>
      <c r="J332" s="7" t="s">
        <v>154</v>
      </c>
      <c r="K332" s="7" t="s">
        <v>2196</v>
      </c>
      <c r="L332" s="12">
        <v>1</v>
      </c>
      <c r="M332" s="7" t="s">
        <v>1896</v>
      </c>
    </row>
    <row r="333" spans="2:13" ht="37.5" customHeight="1" x14ac:dyDescent="0.35">
      <c r="B333" s="11">
        <v>28</v>
      </c>
      <c r="C333" s="5" t="s">
        <v>2165</v>
      </c>
      <c r="D333" s="11">
        <v>13</v>
      </c>
      <c r="E333" s="5" t="s">
        <v>2201</v>
      </c>
      <c r="F333" s="5" t="s">
        <v>2202</v>
      </c>
      <c r="G333" s="5" t="s">
        <v>33</v>
      </c>
      <c r="H333" s="5" t="s">
        <v>817</v>
      </c>
      <c r="I333" s="5" t="s">
        <v>52</v>
      </c>
      <c r="J333" s="5" t="s">
        <v>154</v>
      </c>
      <c r="K333" s="5" t="s">
        <v>2196</v>
      </c>
      <c r="L333" s="11">
        <v>1</v>
      </c>
      <c r="M333" s="5" t="s">
        <v>1896</v>
      </c>
    </row>
    <row r="334" spans="2:13" ht="37.5" customHeight="1" x14ac:dyDescent="0.35">
      <c r="B334" s="12">
        <v>28</v>
      </c>
      <c r="C334" s="7" t="s">
        <v>2165</v>
      </c>
      <c r="D334" s="12">
        <v>14</v>
      </c>
      <c r="E334" s="7" t="s">
        <v>2203</v>
      </c>
      <c r="F334" s="7" t="s">
        <v>2204</v>
      </c>
      <c r="G334" s="7" t="s">
        <v>212</v>
      </c>
      <c r="H334" s="7" t="s">
        <v>1426</v>
      </c>
      <c r="I334" s="7" t="s">
        <v>1427</v>
      </c>
      <c r="J334" s="7" t="s">
        <v>233</v>
      </c>
      <c r="K334" s="7" t="s">
        <v>2193</v>
      </c>
      <c r="L334" s="12">
        <v>1</v>
      </c>
      <c r="M334" s="7" t="s">
        <v>1896</v>
      </c>
    </row>
    <row r="335" spans="2:13" ht="37.5" customHeight="1" x14ac:dyDescent="0.35">
      <c r="B335" s="11">
        <v>28</v>
      </c>
      <c r="C335" s="5" t="s">
        <v>2165</v>
      </c>
      <c r="D335" s="11">
        <v>15</v>
      </c>
      <c r="E335" s="5" t="s">
        <v>2205</v>
      </c>
      <c r="F335" s="5" t="s">
        <v>2206</v>
      </c>
      <c r="G335" s="5" t="s">
        <v>497</v>
      </c>
      <c r="H335" s="5" t="s">
        <v>40</v>
      </c>
      <c r="I335" s="5" t="s">
        <v>56</v>
      </c>
      <c r="J335" s="5" t="s">
        <v>233</v>
      </c>
      <c r="K335" s="5" t="s">
        <v>1103</v>
      </c>
      <c r="L335" s="11">
        <v>1</v>
      </c>
      <c r="M335" s="5" t="s">
        <v>1896</v>
      </c>
    </row>
    <row r="336" spans="2:13" ht="37.5" customHeight="1" x14ac:dyDescent="0.35">
      <c r="B336" s="12">
        <v>28</v>
      </c>
      <c r="C336" s="7" t="s">
        <v>2165</v>
      </c>
      <c r="D336" s="12">
        <v>16</v>
      </c>
      <c r="E336" s="7" t="s">
        <v>2207</v>
      </c>
      <c r="F336" s="7" t="s">
        <v>2208</v>
      </c>
      <c r="G336" s="7" t="s">
        <v>2209</v>
      </c>
      <c r="H336" s="7" t="s">
        <v>40</v>
      </c>
      <c r="I336" s="7" t="s">
        <v>56</v>
      </c>
      <c r="J336" s="7" t="s">
        <v>233</v>
      </c>
      <c r="K336" s="7" t="s">
        <v>1103</v>
      </c>
      <c r="L336" s="12">
        <v>1</v>
      </c>
      <c r="M336" s="7" t="s">
        <v>1896</v>
      </c>
    </row>
    <row r="337" spans="2:13" ht="37.5" customHeight="1" x14ac:dyDescent="0.35">
      <c r="B337" s="11">
        <v>28</v>
      </c>
      <c r="C337" s="5" t="s">
        <v>2165</v>
      </c>
      <c r="D337" s="11">
        <v>17</v>
      </c>
      <c r="E337" s="5" t="s">
        <v>2210</v>
      </c>
      <c r="F337" s="5" t="s">
        <v>2211</v>
      </c>
      <c r="G337" s="5" t="s">
        <v>755</v>
      </c>
      <c r="H337" s="5" t="s">
        <v>37</v>
      </c>
      <c r="I337" s="5" t="s">
        <v>1248</v>
      </c>
      <c r="J337" s="5" t="s">
        <v>1107</v>
      </c>
      <c r="K337" s="5" t="s">
        <v>1249</v>
      </c>
      <c r="L337" s="11">
        <v>1</v>
      </c>
      <c r="M337" s="5" t="s">
        <v>1896</v>
      </c>
    </row>
    <row r="338" spans="2:13" ht="52.5" customHeight="1" x14ac:dyDescent="0.35">
      <c r="B338" s="12">
        <v>28</v>
      </c>
      <c r="C338" s="7" t="s">
        <v>2165</v>
      </c>
      <c r="D338" s="12">
        <v>18</v>
      </c>
      <c r="E338" s="7" t="s">
        <v>2212</v>
      </c>
      <c r="F338" s="7" t="s">
        <v>2213</v>
      </c>
      <c r="G338" s="7" t="s">
        <v>566</v>
      </c>
      <c r="H338" s="7" t="s">
        <v>218</v>
      </c>
      <c r="I338" s="7" t="s">
        <v>2214</v>
      </c>
      <c r="J338" s="7" t="s">
        <v>1112</v>
      </c>
      <c r="K338" s="7" t="s">
        <v>2215</v>
      </c>
      <c r="L338" s="12">
        <v>2</v>
      </c>
      <c r="M338" s="7" t="s">
        <v>1896</v>
      </c>
    </row>
    <row r="339" spans="2:13" ht="37.5" customHeight="1" x14ac:dyDescent="0.35">
      <c r="B339" s="11">
        <v>28</v>
      </c>
      <c r="C339" s="5" t="s">
        <v>2165</v>
      </c>
      <c r="D339" s="11">
        <v>19</v>
      </c>
      <c r="E339" s="5" t="s">
        <v>2216</v>
      </c>
      <c r="F339" s="5" t="s">
        <v>2217</v>
      </c>
      <c r="G339" s="5" t="s">
        <v>300</v>
      </c>
      <c r="H339" s="5" t="s">
        <v>37</v>
      </c>
      <c r="I339" s="5" t="s">
        <v>1676</v>
      </c>
      <c r="J339" s="5" t="s">
        <v>1107</v>
      </c>
      <c r="K339" s="5" t="s">
        <v>2218</v>
      </c>
      <c r="L339" s="11">
        <v>1</v>
      </c>
      <c r="M339" s="5" t="s">
        <v>1896</v>
      </c>
    </row>
    <row r="340" spans="2:13" ht="37.5" customHeight="1" x14ac:dyDescent="0.35">
      <c r="B340" s="12">
        <v>28</v>
      </c>
      <c r="C340" s="7" t="s">
        <v>2165</v>
      </c>
      <c r="D340" s="12">
        <v>20</v>
      </c>
      <c r="E340" s="7" t="s">
        <v>2219</v>
      </c>
      <c r="F340" s="7" t="s">
        <v>2220</v>
      </c>
      <c r="G340" s="7" t="s">
        <v>678</v>
      </c>
      <c r="H340" s="7" t="s">
        <v>40</v>
      </c>
      <c r="I340" s="7" t="s">
        <v>56</v>
      </c>
      <c r="J340" s="7" t="s">
        <v>233</v>
      </c>
      <c r="K340" s="7" t="s">
        <v>1103</v>
      </c>
      <c r="L340" s="12">
        <v>1</v>
      </c>
      <c r="M340" s="7" t="s">
        <v>1896</v>
      </c>
    </row>
    <row r="341" spans="2:13" ht="37.5" customHeight="1" x14ac:dyDescent="0.35">
      <c r="B341" s="11">
        <v>28</v>
      </c>
      <c r="C341" s="5" t="s">
        <v>2165</v>
      </c>
      <c r="D341" s="11">
        <v>21</v>
      </c>
      <c r="E341" s="5" t="s">
        <v>2221</v>
      </c>
      <c r="F341" s="5" t="s">
        <v>2222</v>
      </c>
      <c r="G341" s="5" t="s">
        <v>956</v>
      </c>
      <c r="H341" s="5" t="s">
        <v>40</v>
      </c>
      <c r="I341" s="5" t="s">
        <v>56</v>
      </c>
      <c r="J341" s="5" t="s">
        <v>233</v>
      </c>
      <c r="K341" s="5" t="s">
        <v>1103</v>
      </c>
      <c r="L341" s="11">
        <v>1</v>
      </c>
      <c r="M341" s="5" t="s">
        <v>1896</v>
      </c>
    </row>
    <row r="342" spans="2:13" ht="37.5" customHeight="1" x14ac:dyDescent="0.35">
      <c r="B342" s="12">
        <v>28</v>
      </c>
      <c r="C342" s="7" t="s">
        <v>2165</v>
      </c>
      <c r="D342" s="12">
        <v>22</v>
      </c>
      <c r="E342" s="7" t="s">
        <v>2223</v>
      </c>
      <c r="F342" s="7" t="s">
        <v>2224</v>
      </c>
      <c r="G342" s="7" t="s">
        <v>1622</v>
      </c>
      <c r="H342" s="7" t="s">
        <v>2225</v>
      </c>
      <c r="I342" s="7" t="s">
        <v>52</v>
      </c>
      <c r="J342" s="7" t="s">
        <v>233</v>
      </c>
      <c r="K342" s="7" t="s">
        <v>2226</v>
      </c>
      <c r="L342" s="12">
        <v>1</v>
      </c>
      <c r="M342" s="7" t="s">
        <v>1896</v>
      </c>
    </row>
    <row r="343" spans="2:13" ht="37.5" customHeight="1" x14ac:dyDescent="0.35">
      <c r="B343" s="11">
        <v>28</v>
      </c>
      <c r="C343" s="5" t="s">
        <v>2165</v>
      </c>
      <c r="D343" s="11">
        <v>23</v>
      </c>
      <c r="E343" s="5" t="s">
        <v>2227</v>
      </c>
      <c r="F343" s="5" t="s">
        <v>2228</v>
      </c>
      <c r="G343" s="5" t="s">
        <v>2229</v>
      </c>
      <c r="H343" s="5" t="s">
        <v>2225</v>
      </c>
      <c r="I343" s="5" t="s">
        <v>52</v>
      </c>
      <c r="J343" s="5" t="s">
        <v>233</v>
      </c>
      <c r="K343" s="5" t="s">
        <v>2226</v>
      </c>
      <c r="L343" s="11">
        <v>1</v>
      </c>
      <c r="M343" s="5" t="s">
        <v>1896</v>
      </c>
    </row>
    <row r="344" spans="2:13" ht="37.5" customHeight="1" x14ac:dyDescent="0.35">
      <c r="B344" s="12">
        <v>28</v>
      </c>
      <c r="C344" s="7" t="s">
        <v>2165</v>
      </c>
      <c r="D344" s="12">
        <v>24</v>
      </c>
      <c r="E344" s="7" t="s">
        <v>2230</v>
      </c>
      <c r="F344" s="7" t="s">
        <v>2231</v>
      </c>
      <c r="G344" s="7" t="s">
        <v>2232</v>
      </c>
      <c r="H344" s="7" t="s">
        <v>2225</v>
      </c>
      <c r="I344" s="7" t="s">
        <v>52</v>
      </c>
      <c r="J344" s="7" t="s">
        <v>233</v>
      </c>
      <c r="K344" s="7" t="s">
        <v>2226</v>
      </c>
      <c r="L344" s="12">
        <v>1</v>
      </c>
      <c r="M344" s="7" t="s">
        <v>1896</v>
      </c>
    </row>
    <row r="345" spans="2:13" ht="37.5" customHeight="1" x14ac:dyDescent="0.35">
      <c r="B345" s="11">
        <v>28</v>
      </c>
      <c r="C345" s="5" t="s">
        <v>2165</v>
      </c>
      <c r="D345" s="11">
        <v>25</v>
      </c>
      <c r="E345" s="5" t="s">
        <v>2233</v>
      </c>
      <c r="F345" s="5" t="s">
        <v>2234</v>
      </c>
      <c r="G345" s="5" t="s">
        <v>1720</v>
      </c>
      <c r="H345" s="5" t="s">
        <v>2225</v>
      </c>
      <c r="I345" s="5" t="s">
        <v>52</v>
      </c>
      <c r="J345" s="5" t="s">
        <v>233</v>
      </c>
      <c r="K345" s="5" t="s">
        <v>2226</v>
      </c>
      <c r="L345" s="11">
        <v>1</v>
      </c>
      <c r="M345" s="5" t="s">
        <v>1896</v>
      </c>
    </row>
    <row r="346" spans="2:13" ht="37.5" customHeight="1" x14ac:dyDescent="0.35">
      <c r="B346" s="12">
        <v>28</v>
      </c>
      <c r="C346" s="7" t="s">
        <v>2165</v>
      </c>
      <c r="D346" s="12">
        <v>26</v>
      </c>
      <c r="E346" s="7" t="s">
        <v>2235</v>
      </c>
      <c r="F346" s="7" t="s">
        <v>2236</v>
      </c>
      <c r="G346" s="7" t="s">
        <v>244</v>
      </c>
      <c r="H346" s="7" t="s">
        <v>2225</v>
      </c>
      <c r="I346" s="7" t="s">
        <v>52</v>
      </c>
      <c r="J346" s="7" t="s">
        <v>233</v>
      </c>
      <c r="K346" s="7" t="s">
        <v>2226</v>
      </c>
      <c r="L346" s="12">
        <v>1</v>
      </c>
      <c r="M346" s="7" t="s">
        <v>1896</v>
      </c>
    </row>
    <row r="347" spans="2:13" ht="37.5" customHeight="1" x14ac:dyDescent="0.35">
      <c r="B347" s="11">
        <v>28</v>
      </c>
      <c r="C347" s="5" t="s">
        <v>2165</v>
      </c>
      <c r="D347" s="11">
        <v>27</v>
      </c>
      <c r="E347" s="5" t="s">
        <v>2237</v>
      </c>
      <c r="F347" s="5" t="s">
        <v>2238</v>
      </c>
      <c r="G347" s="5" t="s">
        <v>1829</v>
      </c>
      <c r="H347" s="5" t="s">
        <v>1426</v>
      </c>
      <c r="I347" s="5" t="s">
        <v>1427</v>
      </c>
      <c r="J347" s="5" t="s">
        <v>233</v>
      </c>
      <c r="K347" s="5" t="s">
        <v>2193</v>
      </c>
      <c r="L347" s="11">
        <v>1</v>
      </c>
      <c r="M347" s="5" t="s">
        <v>1896</v>
      </c>
    </row>
    <row r="348" spans="2:13" ht="37.5" customHeight="1" x14ac:dyDescent="0.35">
      <c r="B348" s="12">
        <v>28</v>
      </c>
      <c r="C348" s="7" t="s">
        <v>2165</v>
      </c>
      <c r="D348" s="12">
        <v>28</v>
      </c>
      <c r="E348" s="7" t="s">
        <v>2239</v>
      </c>
      <c r="F348" s="7" t="s">
        <v>2240</v>
      </c>
      <c r="G348" s="7" t="s">
        <v>1127</v>
      </c>
      <c r="H348" s="7" t="s">
        <v>473</v>
      </c>
      <c r="I348" s="7" t="s">
        <v>52</v>
      </c>
      <c r="J348" s="7" t="s">
        <v>233</v>
      </c>
      <c r="K348" s="7" t="s">
        <v>2241</v>
      </c>
      <c r="L348" s="12">
        <v>1</v>
      </c>
      <c r="M348" s="7" t="s">
        <v>1896</v>
      </c>
    </row>
    <row r="349" spans="2:13" ht="37.5" customHeight="1" x14ac:dyDescent="0.35">
      <c r="B349" s="11">
        <v>28</v>
      </c>
      <c r="C349" s="5" t="s">
        <v>2165</v>
      </c>
      <c r="D349" s="11">
        <v>29</v>
      </c>
      <c r="E349" s="5" t="s">
        <v>2242</v>
      </c>
      <c r="F349" s="5" t="s">
        <v>2243</v>
      </c>
      <c r="G349" s="5" t="s">
        <v>851</v>
      </c>
      <c r="H349" s="5" t="s">
        <v>473</v>
      </c>
      <c r="I349" s="5" t="s">
        <v>52</v>
      </c>
      <c r="J349" s="5" t="s">
        <v>233</v>
      </c>
      <c r="K349" s="5" t="s">
        <v>2241</v>
      </c>
      <c r="L349" s="11">
        <v>1</v>
      </c>
      <c r="M349" s="5" t="s">
        <v>1896</v>
      </c>
    </row>
    <row r="350" spans="2:13" ht="37.5" customHeight="1" x14ac:dyDescent="0.35">
      <c r="B350" s="12">
        <v>28</v>
      </c>
      <c r="C350" s="7" t="s">
        <v>2165</v>
      </c>
      <c r="D350" s="12">
        <v>30</v>
      </c>
      <c r="E350" s="7" t="s">
        <v>2244</v>
      </c>
      <c r="F350" s="7" t="s">
        <v>2245</v>
      </c>
      <c r="G350" s="7" t="s">
        <v>749</v>
      </c>
      <c r="H350" s="7" t="s">
        <v>473</v>
      </c>
      <c r="I350" s="7" t="s">
        <v>52</v>
      </c>
      <c r="J350" s="7" t="s">
        <v>233</v>
      </c>
      <c r="K350" s="7" t="s">
        <v>2241</v>
      </c>
      <c r="L350" s="12">
        <v>1</v>
      </c>
      <c r="M350" s="7" t="s">
        <v>1896</v>
      </c>
    </row>
    <row r="351" spans="2:13" ht="37.5" customHeight="1" x14ac:dyDescent="0.35">
      <c r="B351" s="11">
        <v>28</v>
      </c>
      <c r="C351" s="5" t="s">
        <v>2165</v>
      </c>
      <c r="D351" s="11">
        <v>31</v>
      </c>
      <c r="E351" s="5" t="s">
        <v>2246</v>
      </c>
      <c r="F351" s="5" t="s">
        <v>2247</v>
      </c>
      <c r="G351" s="5" t="s">
        <v>749</v>
      </c>
      <c r="H351" s="5" t="s">
        <v>473</v>
      </c>
      <c r="I351" s="5" t="s">
        <v>52</v>
      </c>
      <c r="J351" s="5" t="s">
        <v>233</v>
      </c>
      <c r="K351" s="5" t="s">
        <v>2241</v>
      </c>
      <c r="L351" s="11">
        <v>1</v>
      </c>
      <c r="M351" s="5" t="s">
        <v>1896</v>
      </c>
    </row>
    <row r="352" spans="2:13" ht="37.5" customHeight="1" x14ac:dyDescent="0.35">
      <c r="B352" s="12">
        <v>28</v>
      </c>
      <c r="C352" s="7" t="s">
        <v>2165</v>
      </c>
      <c r="D352" s="12">
        <v>32</v>
      </c>
      <c r="E352" s="7" t="s">
        <v>2248</v>
      </c>
      <c r="F352" s="7" t="s">
        <v>2249</v>
      </c>
      <c r="G352" s="7" t="s">
        <v>224</v>
      </c>
      <c r="H352" s="7" t="s">
        <v>37</v>
      </c>
      <c r="I352" s="7" t="s">
        <v>1264</v>
      </c>
      <c r="J352" s="7" t="s">
        <v>1107</v>
      </c>
      <c r="K352" s="7" t="s">
        <v>1265</v>
      </c>
      <c r="L352" s="12">
        <v>1</v>
      </c>
      <c r="M352" s="7" t="s">
        <v>1896</v>
      </c>
    </row>
    <row r="353" spans="2:13" ht="37.5" customHeight="1" x14ac:dyDescent="0.35">
      <c r="B353" s="11">
        <v>28</v>
      </c>
      <c r="C353" s="5" t="s">
        <v>2165</v>
      </c>
      <c r="D353" s="11">
        <v>33</v>
      </c>
      <c r="E353" s="5" t="s">
        <v>2250</v>
      </c>
      <c r="F353" s="5" t="s">
        <v>2251</v>
      </c>
      <c r="G353" s="5" t="s">
        <v>733</v>
      </c>
      <c r="H353" s="5" t="s">
        <v>37</v>
      </c>
      <c r="I353" s="5" t="s">
        <v>1264</v>
      </c>
      <c r="J353" s="5" t="s">
        <v>1107</v>
      </c>
      <c r="K353" s="5" t="s">
        <v>1265</v>
      </c>
      <c r="L353" s="11">
        <v>1</v>
      </c>
      <c r="M353" s="5" t="s">
        <v>1896</v>
      </c>
    </row>
    <row r="354" spans="2:13" ht="37.5" customHeight="1" x14ac:dyDescent="0.35">
      <c r="B354" s="12">
        <v>28</v>
      </c>
      <c r="C354" s="7" t="s">
        <v>2165</v>
      </c>
      <c r="D354" s="12">
        <v>34</v>
      </c>
      <c r="E354" s="7" t="s">
        <v>2252</v>
      </c>
      <c r="F354" s="7" t="s">
        <v>2253</v>
      </c>
      <c r="G354" s="7" t="s">
        <v>2254</v>
      </c>
      <c r="H354" s="7" t="s">
        <v>37</v>
      </c>
      <c r="I354" s="7" t="s">
        <v>998</v>
      </c>
      <c r="J354" s="7" t="s">
        <v>1107</v>
      </c>
      <c r="K354" s="7" t="s">
        <v>1140</v>
      </c>
      <c r="L354" s="12">
        <v>1</v>
      </c>
      <c r="M354" s="7" t="s">
        <v>1896</v>
      </c>
    </row>
    <row r="355" spans="2:13" ht="37.5" customHeight="1" x14ac:dyDescent="0.35">
      <c r="B355" s="11">
        <v>28</v>
      </c>
      <c r="C355" s="5" t="s">
        <v>2165</v>
      </c>
      <c r="D355" s="11">
        <v>35</v>
      </c>
      <c r="E355" s="5" t="s">
        <v>2255</v>
      </c>
      <c r="F355" s="5" t="s">
        <v>2256</v>
      </c>
      <c r="G355" s="5" t="s">
        <v>541</v>
      </c>
      <c r="H355" s="5" t="s">
        <v>314</v>
      </c>
      <c r="I355" s="5" t="s">
        <v>1731</v>
      </c>
      <c r="J355" s="5" t="s">
        <v>2257</v>
      </c>
      <c r="K355" s="5" t="s">
        <v>2258</v>
      </c>
      <c r="L355" s="11">
        <v>2</v>
      </c>
      <c r="M355" s="5" t="s">
        <v>1896</v>
      </c>
    </row>
    <row r="356" spans="2:13" ht="37.5" customHeight="1" x14ac:dyDescent="0.35">
      <c r="B356" s="12">
        <v>28</v>
      </c>
      <c r="C356" s="7" t="s">
        <v>2165</v>
      </c>
      <c r="D356" s="12">
        <v>36</v>
      </c>
      <c r="E356" s="7" t="s">
        <v>2259</v>
      </c>
      <c r="F356" s="7" t="s">
        <v>2260</v>
      </c>
      <c r="G356" s="7" t="s">
        <v>2261</v>
      </c>
      <c r="H356" s="7" t="s">
        <v>37</v>
      </c>
      <c r="I356" s="7" t="s">
        <v>998</v>
      </c>
      <c r="J356" s="7" t="s">
        <v>177</v>
      </c>
      <c r="K356" s="7" t="s">
        <v>2262</v>
      </c>
      <c r="L356" s="12">
        <v>1</v>
      </c>
      <c r="M356" s="7" t="s">
        <v>1896</v>
      </c>
    </row>
    <row r="357" spans="2:13" ht="37.5" customHeight="1" x14ac:dyDescent="0.35">
      <c r="B357" s="11">
        <v>28</v>
      </c>
      <c r="C357" s="5" t="s">
        <v>2165</v>
      </c>
      <c r="D357" s="11">
        <v>37</v>
      </c>
      <c r="E357" s="5" t="s">
        <v>2263</v>
      </c>
      <c r="F357" s="5" t="s">
        <v>2264</v>
      </c>
      <c r="G357" s="5" t="s">
        <v>962</v>
      </c>
      <c r="H357" s="5" t="s">
        <v>2225</v>
      </c>
      <c r="I357" s="5" t="s">
        <v>52</v>
      </c>
      <c r="J357" s="5" t="s">
        <v>213</v>
      </c>
      <c r="K357" s="5" t="s">
        <v>2265</v>
      </c>
      <c r="L357" s="11">
        <v>1</v>
      </c>
      <c r="M357" s="5" t="s">
        <v>1896</v>
      </c>
    </row>
    <row r="358" spans="2:13" ht="67.5" customHeight="1" x14ac:dyDescent="0.35">
      <c r="B358" s="12">
        <v>28</v>
      </c>
      <c r="C358" s="7" t="s">
        <v>2165</v>
      </c>
      <c r="D358" s="12">
        <v>38</v>
      </c>
      <c r="E358" s="7" t="s">
        <v>2266</v>
      </c>
      <c r="F358" s="7" t="s">
        <v>2267</v>
      </c>
      <c r="G358" s="7" t="s">
        <v>30</v>
      </c>
      <c r="H358" s="7" t="s">
        <v>2268</v>
      </c>
      <c r="I358" s="7" t="s">
        <v>2269</v>
      </c>
      <c r="J358" s="7" t="s">
        <v>2270</v>
      </c>
      <c r="K358" s="7" t="s">
        <v>2271</v>
      </c>
      <c r="L358" s="12">
        <v>4</v>
      </c>
      <c r="M358" s="7" t="s">
        <v>1896</v>
      </c>
    </row>
    <row r="359" spans="2:13" ht="37.5" customHeight="1" x14ac:dyDescent="0.35">
      <c r="B359" s="11">
        <v>28</v>
      </c>
      <c r="C359" s="5" t="s">
        <v>2165</v>
      </c>
      <c r="D359" s="11">
        <v>39</v>
      </c>
      <c r="E359" s="5" t="s">
        <v>2272</v>
      </c>
      <c r="F359" s="5" t="s">
        <v>2273</v>
      </c>
      <c r="G359" s="5" t="s">
        <v>1045</v>
      </c>
      <c r="H359" s="5" t="s">
        <v>40</v>
      </c>
      <c r="I359" s="5" t="s">
        <v>56</v>
      </c>
      <c r="J359" s="5" t="s">
        <v>213</v>
      </c>
      <c r="K359" s="5" t="s">
        <v>1124</v>
      </c>
      <c r="L359" s="11">
        <v>1</v>
      </c>
      <c r="M359" s="5" t="s">
        <v>1896</v>
      </c>
    </row>
    <row r="360" spans="2:13" ht="37.5" customHeight="1" x14ac:dyDescent="0.35">
      <c r="B360" s="12">
        <v>28</v>
      </c>
      <c r="C360" s="7" t="s">
        <v>2165</v>
      </c>
      <c r="D360" s="12">
        <v>40</v>
      </c>
      <c r="E360" s="7" t="s">
        <v>2274</v>
      </c>
      <c r="F360" s="7" t="s">
        <v>2275</v>
      </c>
      <c r="G360" s="7" t="s">
        <v>698</v>
      </c>
      <c r="H360" s="7" t="s">
        <v>1574</v>
      </c>
      <c r="I360" s="7" t="s">
        <v>56</v>
      </c>
      <c r="J360" s="7" t="s">
        <v>213</v>
      </c>
      <c r="K360" s="7" t="s">
        <v>2276</v>
      </c>
      <c r="L360" s="12">
        <v>1</v>
      </c>
      <c r="M360" s="7" t="s">
        <v>1896</v>
      </c>
    </row>
    <row r="361" spans="2:13" ht="37.5" customHeight="1" x14ac:dyDescent="0.35">
      <c r="B361" s="11">
        <v>28</v>
      </c>
      <c r="C361" s="5" t="s">
        <v>2165</v>
      </c>
      <c r="D361" s="11">
        <v>41</v>
      </c>
      <c r="E361" s="5" t="s">
        <v>2277</v>
      </c>
      <c r="F361" s="5" t="s">
        <v>2278</v>
      </c>
      <c r="G361" s="5" t="s">
        <v>232</v>
      </c>
      <c r="H361" s="5" t="s">
        <v>37</v>
      </c>
      <c r="I361" s="5" t="s">
        <v>998</v>
      </c>
      <c r="J361" s="5" t="s">
        <v>1107</v>
      </c>
      <c r="K361" s="5" t="s">
        <v>1140</v>
      </c>
      <c r="L361" s="11">
        <v>1</v>
      </c>
      <c r="M361" s="5" t="s">
        <v>1896</v>
      </c>
    </row>
    <row r="362" spans="2:13" ht="37.5" customHeight="1" x14ac:dyDescent="0.35">
      <c r="B362" s="12">
        <v>28</v>
      </c>
      <c r="C362" s="7" t="s">
        <v>2165</v>
      </c>
      <c r="D362" s="12">
        <v>42</v>
      </c>
      <c r="E362" s="7" t="s">
        <v>2279</v>
      </c>
      <c r="F362" s="7" t="s">
        <v>2280</v>
      </c>
      <c r="G362" s="7" t="s">
        <v>1781</v>
      </c>
      <c r="H362" s="7" t="s">
        <v>161</v>
      </c>
      <c r="I362" s="7" t="s">
        <v>2281</v>
      </c>
      <c r="J362" s="7" t="s">
        <v>2282</v>
      </c>
      <c r="K362" s="7" t="s">
        <v>2283</v>
      </c>
      <c r="L362" s="12">
        <v>2</v>
      </c>
      <c r="M362" s="7" t="s">
        <v>1896</v>
      </c>
    </row>
    <row r="363" spans="2:13" ht="37.5" customHeight="1" x14ac:dyDescent="0.35">
      <c r="B363" s="11">
        <v>28</v>
      </c>
      <c r="C363" s="5" t="s">
        <v>2165</v>
      </c>
      <c r="D363" s="11">
        <v>43</v>
      </c>
      <c r="E363" s="5" t="s">
        <v>2284</v>
      </c>
      <c r="F363" s="5" t="s">
        <v>2285</v>
      </c>
      <c r="G363" s="5" t="s">
        <v>701</v>
      </c>
      <c r="H363" s="5" t="s">
        <v>37</v>
      </c>
      <c r="I363" s="5" t="s">
        <v>998</v>
      </c>
      <c r="J363" s="5" t="s">
        <v>1107</v>
      </c>
      <c r="K363" s="5" t="s">
        <v>1140</v>
      </c>
      <c r="L363" s="11">
        <v>1</v>
      </c>
      <c r="M363" s="5" t="s">
        <v>1896</v>
      </c>
    </row>
    <row r="364" spans="2:13" ht="37.5" customHeight="1" x14ac:dyDescent="0.35">
      <c r="B364" s="12">
        <v>28</v>
      </c>
      <c r="C364" s="7" t="s">
        <v>2165</v>
      </c>
      <c r="D364" s="12">
        <v>44</v>
      </c>
      <c r="E364" s="7" t="s">
        <v>2286</v>
      </c>
      <c r="F364" s="7" t="s">
        <v>2287</v>
      </c>
      <c r="G364" s="7" t="s">
        <v>2288</v>
      </c>
      <c r="H364" s="7" t="s">
        <v>817</v>
      </c>
      <c r="I364" s="7" t="s">
        <v>52</v>
      </c>
      <c r="J364" s="7" t="s">
        <v>213</v>
      </c>
      <c r="K364" s="7" t="s">
        <v>994</v>
      </c>
      <c r="L364" s="12">
        <v>1</v>
      </c>
      <c r="M364" s="7" t="s">
        <v>1896</v>
      </c>
    </row>
    <row r="365" spans="2:13" ht="37.5" customHeight="1" x14ac:dyDescent="0.35">
      <c r="B365" s="11">
        <v>28</v>
      </c>
      <c r="C365" s="5" t="s">
        <v>2165</v>
      </c>
      <c r="D365" s="11">
        <v>45</v>
      </c>
      <c r="E365" s="5" t="s">
        <v>2289</v>
      </c>
      <c r="F365" s="5" t="s">
        <v>2290</v>
      </c>
      <c r="G365" s="5" t="s">
        <v>1692</v>
      </c>
      <c r="H365" s="5" t="s">
        <v>37</v>
      </c>
      <c r="I365" s="5" t="s">
        <v>2136</v>
      </c>
      <c r="J365" s="5" t="s">
        <v>1107</v>
      </c>
      <c r="K365" s="5" t="s">
        <v>2291</v>
      </c>
      <c r="L365" s="11">
        <v>1</v>
      </c>
      <c r="M365" s="5" t="s">
        <v>1896</v>
      </c>
    </row>
    <row r="366" spans="2:13" ht="97.5" customHeight="1" x14ac:dyDescent="0.35">
      <c r="B366" s="12">
        <v>29</v>
      </c>
      <c r="C366" s="7" t="s">
        <v>2292</v>
      </c>
      <c r="D366" s="12">
        <v>1</v>
      </c>
      <c r="E366" s="7" t="s">
        <v>2293</v>
      </c>
      <c r="F366" s="7" t="s">
        <v>2294</v>
      </c>
      <c r="G366" s="7" t="s">
        <v>414</v>
      </c>
      <c r="H366" s="7" t="s">
        <v>2295</v>
      </c>
      <c r="I366" s="7" t="s">
        <v>2296</v>
      </c>
      <c r="J366" s="7" t="s">
        <v>2297</v>
      </c>
      <c r="K366" s="7" t="s">
        <v>2298</v>
      </c>
      <c r="L366" s="12">
        <v>5</v>
      </c>
      <c r="M366" s="7" t="s">
        <v>2299</v>
      </c>
    </row>
    <row r="367" spans="2:13" ht="37.5" customHeight="1" x14ac:dyDescent="0.35">
      <c r="B367" s="11">
        <v>29</v>
      </c>
      <c r="C367" s="5" t="s">
        <v>2292</v>
      </c>
      <c r="D367" s="11">
        <v>2</v>
      </c>
      <c r="E367" s="5" t="s">
        <v>2300</v>
      </c>
      <c r="F367" s="5" t="s">
        <v>2301</v>
      </c>
      <c r="G367" s="5" t="s">
        <v>27</v>
      </c>
      <c r="H367" s="5" t="s">
        <v>817</v>
      </c>
      <c r="I367" s="5" t="s">
        <v>52</v>
      </c>
      <c r="J367" s="5" t="s">
        <v>404</v>
      </c>
      <c r="K367" s="5" t="s">
        <v>818</v>
      </c>
      <c r="L367" s="11">
        <v>1</v>
      </c>
      <c r="M367" s="5" t="s">
        <v>2299</v>
      </c>
    </row>
    <row r="368" spans="2:13" ht="52.5" customHeight="1" x14ac:dyDescent="0.35">
      <c r="B368" s="12">
        <v>29</v>
      </c>
      <c r="C368" s="7" t="s">
        <v>2292</v>
      </c>
      <c r="D368" s="12">
        <v>3</v>
      </c>
      <c r="E368" s="7" t="s">
        <v>2302</v>
      </c>
      <c r="F368" s="7" t="s">
        <v>2303</v>
      </c>
      <c r="G368" s="7" t="s">
        <v>160</v>
      </c>
      <c r="H368" s="7" t="s">
        <v>2304</v>
      </c>
      <c r="I368" s="7" t="s">
        <v>1485</v>
      </c>
      <c r="J368" s="7" t="s">
        <v>2305</v>
      </c>
      <c r="K368" s="7" t="s">
        <v>2306</v>
      </c>
      <c r="L368" s="12">
        <v>2</v>
      </c>
      <c r="M368" s="7" t="s">
        <v>2299</v>
      </c>
    </row>
    <row r="369" spans="2:13" ht="37.5" customHeight="1" x14ac:dyDescent="0.35">
      <c r="B369" s="11">
        <v>29</v>
      </c>
      <c r="C369" s="5" t="s">
        <v>2292</v>
      </c>
      <c r="D369" s="11">
        <v>4</v>
      </c>
      <c r="E369" s="5" t="s">
        <v>2307</v>
      </c>
      <c r="F369" s="5" t="s">
        <v>2308</v>
      </c>
      <c r="G369" s="5" t="s">
        <v>1008</v>
      </c>
      <c r="H369" s="5" t="s">
        <v>2309</v>
      </c>
      <c r="I369" s="5" t="s">
        <v>2310</v>
      </c>
      <c r="J369" s="5" t="s">
        <v>404</v>
      </c>
      <c r="K369" s="5" t="s">
        <v>2311</v>
      </c>
      <c r="L369" s="11">
        <v>2</v>
      </c>
      <c r="M369" s="5" t="s">
        <v>2299</v>
      </c>
    </row>
    <row r="370" spans="2:13" ht="37.5" customHeight="1" x14ac:dyDescent="0.35">
      <c r="B370" s="12">
        <v>29</v>
      </c>
      <c r="C370" s="7" t="s">
        <v>2292</v>
      </c>
      <c r="D370" s="12">
        <v>5</v>
      </c>
      <c r="E370" s="7" t="s">
        <v>2312</v>
      </c>
      <c r="F370" s="7" t="s">
        <v>2313</v>
      </c>
      <c r="G370" s="7" t="s">
        <v>1810</v>
      </c>
      <c r="H370" s="7" t="s">
        <v>2225</v>
      </c>
      <c r="I370" s="7" t="s">
        <v>52</v>
      </c>
      <c r="J370" s="7" t="s">
        <v>404</v>
      </c>
      <c r="K370" s="7" t="s">
        <v>2314</v>
      </c>
      <c r="L370" s="12">
        <v>1</v>
      </c>
      <c r="M370" s="7" t="s">
        <v>2299</v>
      </c>
    </row>
    <row r="371" spans="2:13" ht="37.5" customHeight="1" x14ac:dyDescent="0.35">
      <c r="B371" s="11">
        <v>30</v>
      </c>
      <c r="C371" s="5" t="s">
        <v>2315</v>
      </c>
      <c r="D371" s="11">
        <v>1</v>
      </c>
      <c r="E371" s="5" t="s">
        <v>2316</v>
      </c>
      <c r="F371" s="5" t="s">
        <v>2317</v>
      </c>
      <c r="G371" s="5" t="s">
        <v>2209</v>
      </c>
      <c r="H371" s="5" t="s">
        <v>37</v>
      </c>
      <c r="I371" s="5" t="s">
        <v>2136</v>
      </c>
      <c r="J371" s="5" t="s">
        <v>1107</v>
      </c>
      <c r="K371" s="5" t="s">
        <v>2291</v>
      </c>
      <c r="L371" s="11">
        <v>1</v>
      </c>
      <c r="M371" s="5" t="s">
        <v>1896</v>
      </c>
    </row>
    <row r="372" spans="2:13" ht="37.5" customHeight="1" x14ac:dyDescent="0.35">
      <c r="B372" s="12">
        <v>31</v>
      </c>
      <c r="C372" s="7" t="s">
        <v>2318</v>
      </c>
      <c r="D372" s="12">
        <v>1</v>
      </c>
      <c r="E372" s="7" t="s">
        <v>2319</v>
      </c>
      <c r="F372" s="7" t="s">
        <v>2320</v>
      </c>
      <c r="G372" s="7" t="s">
        <v>1294</v>
      </c>
      <c r="H372" s="7" t="s">
        <v>2321</v>
      </c>
      <c r="I372" s="7" t="s">
        <v>1093</v>
      </c>
      <c r="J372" s="7" t="s">
        <v>404</v>
      </c>
      <c r="K372" s="7" t="s">
        <v>2322</v>
      </c>
      <c r="L372" s="12">
        <v>1</v>
      </c>
      <c r="M372" s="7" t="s">
        <v>2144</v>
      </c>
    </row>
    <row r="373" spans="2:13" ht="37.5" customHeight="1" x14ac:dyDescent="0.35">
      <c r="B373" s="11">
        <v>32</v>
      </c>
      <c r="C373" s="5" t="s">
        <v>2323</v>
      </c>
      <c r="D373" s="11">
        <v>1</v>
      </c>
      <c r="E373" s="5" t="s">
        <v>2324</v>
      </c>
      <c r="F373" s="5" t="s">
        <v>2325</v>
      </c>
      <c r="G373" s="5" t="s">
        <v>2326</v>
      </c>
      <c r="H373" s="5" t="s">
        <v>37</v>
      </c>
      <c r="I373" s="5" t="s">
        <v>1248</v>
      </c>
      <c r="J373" s="5" t="s">
        <v>2327</v>
      </c>
      <c r="K373" s="5" t="s">
        <v>2328</v>
      </c>
      <c r="L373" s="11">
        <v>2</v>
      </c>
      <c r="M373" s="5" t="s">
        <v>987</v>
      </c>
    </row>
    <row r="374" spans="2:13" ht="37.5" customHeight="1" x14ac:dyDescent="0.35">
      <c r="B374" s="12"/>
      <c r="C374" s="7" t="s">
        <v>2329</v>
      </c>
      <c r="D374" s="12">
        <v>1</v>
      </c>
      <c r="E374" s="7" t="s">
        <v>2330</v>
      </c>
      <c r="F374" s="7" t="s">
        <v>2331</v>
      </c>
      <c r="G374" s="7" t="s">
        <v>414</v>
      </c>
      <c r="H374" s="7" t="s">
        <v>36</v>
      </c>
      <c r="I374" s="7" t="s">
        <v>2332</v>
      </c>
      <c r="J374" s="7" t="s">
        <v>331</v>
      </c>
      <c r="K374" s="7" t="s">
        <v>2333</v>
      </c>
      <c r="L374" s="12">
        <v>2</v>
      </c>
      <c r="M374" s="7" t="s">
        <v>987</v>
      </c>
    </row>
    <row r="375" spans="2:13" ht="37.5" customHeight="1" x14ac:dyDescent="0.35">
      <c r="B375" s="11">
        <v>33</v>
      </c>
      <c r="C375" s="5" t="s">
        <v>2334</v>
      </c>
      <c r="D375" s="11">
        <v>1</v>
      </c>
      <c r="E375" s="5" t="s">
        <v>2335</v>
      </c>
      <c r="F375" s="5" t="s">
        <v>2336</v>
      </c>
      <c r="G375" s="5" t="s">
        <v>414</v>
      </c>
      <c r="H375" s="5" t="s">
        <v>38</v>
      </c>
      <c r="I375" s="5" t="s">
        <v>53</v>
      </c>
      <c r="J375" s="5" t="s">
        <v>2098</v>
      </c>
      <c r="K375" s="5" t="s">
        <v>2337</v>
      </c>
      <c r="L375" s="11">
        <v>1</v>
      </c>
      <c r="M375" s="5" t="s">
        <v>987</v>
      </c>
    </row>
    <row r="376" spans="2:13" ht="37.5" customHeight="1" x14ac:dyDescent="0.35">
      <c r="B376" s="12">
        <v>34</v>
      </c>
      <c r="C376" s="7" t="s">
        <v>2338</v>
      </c>
      <c r="D376" s="12">
        <v>1</v>
      </c>
      <c r="E376" s="7" t="s">
        <v>2339</v>
      </c>
      <c r="F376" s="7" t="s">
        <v>2340</v>
      </c>
      <c r="G376" s="7" t="s">
        <v>2341</v>
      </c>
      <c r="H376" s="7" t="s">
        <v>37</v>
      </c>
      <c r="I376" s="7" t="s">
        <v>1248</v>
      </c>
      <c r="J376" s="7" t="s">
        <v>1107</v>
      </c>
      <c r="K376" s="7" t="s">
        <v>1249</v>
      </c>
      <c r="L376" s="12">
        <v>1</v>
      </c>
      <c r="M376" s="7" t="s">
        <v>987</v>
      </c>
    </row>
    <row r="377" spans="2:13" ht="37.5" customHeight="1" x14ac:dyDescent="0.35">
      <c r="B377" s="11">
        <v>35</v>
      </c>
      <c r="C377" s="5" t="s">
        <v>2342</v>
      </c>
      <c r="D377" s="11">
        <v>1</v>
      </c>
      <c r="E377" s="5" t="s">
        <v>2343</v>
      </c>
      <c r="F377" s="5" t="s">
        <v>2344</v>
      </c>
      <c r="G377" s="5" t="s">
        <v>414</v>
      </c>
      <c r="H377" s="5" t="s">
        <v>38</v>
      </c>
      <c r="I377" s="5" t="s">
        <v>53</v>
      </c>
      <c r="J377" s="5" t="s">
        <v>2345</v>
      </c>
      <c r="K377" s="5" t="s">
        <v>2346</v>
      </c>
      <c r="L377" s="11">
        <v>1</v>
      </c>
      <c r="M377" s="5" t="s">
        <v>2299</v>
      </c>
    </row>
    <row r="378" spans="2:13" ht="37.5" customHeight="1" x14ac:dyDescent="0.35">
      <c r="B378" s="12">
        <v>36</v>
      </c>
      <c r="C378" s="7" t="s">
        <v>2347</v>
      </c>
      <c r="D378" s="12">
        <v>1</v>
      </c>
      <c r="E378" s="7" t="s">
        <v>2348</v>
      </c>
      <c r="F378" s="7" t="s">
        <v>2349</v>
      </c>
      <c r="G378" s="7" t="s">
        <v>576</v>
      </c>
      <c r="H378" s="7" t="s">
        <v>2350</v>
      </c>
      <c r="I378" s="7" t="s">
        <v>2351</v>
      </c>
      <c r="J378" s="7" t="s">
        <v>404</v>
      </c>
      <c r="K378" s="7" t="s">
        <v>2352</v>
      </c>
      <c r="L378" s="12">
        <v>1</v>
      </c>
      <c r="M378" s="7" t="s">
        <v>1896</v>
      </c>
    </row>
    <row r="379" spans="2:13" ht="37.5" customHeight="1" x14ac:dyDescent="0.35">
      <c r="B379" s="11">
        <v>37</v>
      </c>
      <c r="C379" s="5" t="s">
        <v>2353</v>
      </c>
      <c r="D379" s="11">
        <v>1</v>
      </c>
      <c r="E379" s="5" t="s">
        <v>2354</v>
      </c>
      <c r="F379" s="5" t="s">
        <v>2355</v>
      </c>
      <c r="G379" s="5" t="s">
        <v>1294</v>
      </c>
      <c r="H379" s="5" t="s">
        <v>36</v>
      </c>
      <c r="I379" s="5" t="s">
        <v>2356</v>
      </c>
      <c r="J379" s="5" t="s">
        <v>2357</v>
      </c>
      <c r="K379" s="5" t="s">
        <v>2358</v>
      </c>
      <c r="L379" s="11">
        <v>1</v>
      </c>
      <c r="M379" s="5" t="s">
        <v>2359</v>
      </c>
    </row>
    <row r="380" spans="2:13" ht="67.5" customHeight="1" x14ac:dyDescent="0.35">
      <c r="B380" s="12">
        <v>38</v>
      </c>
      <c r="C380" s="7" t="s">
        <v>2360</v>
      </c>
      <c r="D380" s="12">
        <v>1</v>
      </c>
      <c r="E380" s="7" t="s">
        <v>2361</v>
      </c>
      <c r="F380" s="7" t="s">
        <v>2362</v>
      </c>
      <c r="G380" s="7" t="s">
        <v>414</v>
      </c>
      <c r="H380" s="7" t="s">
        <v>2363</v>
      </c>
      <c r="I380" s="7" t="s">
        <v>2364</v>
      </c>
      <c r="J380" s="7" t="s">
        <v>2365</v>
      </c>
      <c r="K380" s="7" t="s">
        <v>2366</v>
      </c>
      <c r="L380" s="12">
        <v>3</v>
      </c>
      <c r="M380" s="7" t="s">
        <v>1896</v>
      </c>
    </row>
    <row r="381" spans="2:13" ht="37.5" customHeight="1" x14ac:dyDescent="0.35">
      <c r="B381" s="11">
        <v>39</v>
      </c>
      <c r="C381" s="5" t="s">
        <v>2367</v>
      </c>
      <c r="D381" s="11">
        <v>1</v>
      </c>
      <c r="E381" s="5" t="s">
        <v>2368</v>
      </c>
      <c r="F381" s="5" t="s">
        <v>2369</v>
      </c>
      <c r="G381" s="5" t="s">
        <v>560</v>
      </c>
      <c r="H381" s="5" t="s">
        <v>817</v>
      </c>
      <c r="I381" s="5" t="s">
        <v>2370</v>
      </c>
      <c r="J381" s="5" t="s">
        <v>2371</v>
      </c>
      <c r="K381" s="5" t="s">
        <v>2372</v>
      </c>
      <c r="L381" s="11">
        <v>1</v>
      </c>
      <c r="M381" s="5" t="s">
        <v>1896</v>
      </c>
    </row>
    <row r="382" spans="2:13" ht="172.5" customHeight="1" x14ac:dyDescent="0.35">
      <c r="B382" s="12">
        <v>40</v>
      </c>
      <c r="C382" s="7" t="s">
        <v>2373</v>
      </c>
      <c r="D382" s="12">
        <v>1</v>
      </c>
      <c r="E382" s="7" t="s">
        <v>2374</v>
      </c>
      <c r="F382" s="7" t="s">
        <v>2375</v>
      </c>
      <c r="G382" s="7" t="s">
        <v>29</v>
      </c>
      <c r="H382" s="7" t="s">
        <v>2376</v>
      </c>
      <c r="I382" s="7" t="s">
        <v>2377</v>
      </c>
      <c r="J382" s="7" t="s">
        <v>2378</v>
      </c>
      <c r="K382" s="7" t="s">
        <v>2379</v>
      </c>
      <c r="L382" s="12">
        <v>7</v>
      </c>
      <c r="M382" s="7" t="s">
        <v>1896</v>
      </c>
    </row>
    <row r="383" spans="2:13" ht="67.5" customHeight="1" x14ac:dyDescent="0.35">
      <c r="B383" s="11">
        <v>40</v>
      </c>
      <c r="C383" s="5" t="s">
        <v>2373</v>
      </c>
      <c r="D383" s="11">
        <v>2</v>
      </c>
      <c r="E383" s="5" t="s">
        <v>2380</v>
      </c>
      <c r="F383" s="5" t="s">
        <v>2381</v>
      </c>
      <c r="G383" s="5" t="s">
        <v>25</v>
      </c>
      <c r="H383" s="5" t="s">
        <v>2382</v>
      </c>
      <c r="I383" s="5" t="s">
        <v>2383</v>
      </c>
      <c r="J383" s="5" t="s">
        <v>240</v>
      </c>
      <c r="K383" s="5" t="s">
        <v>2384</v>
      </c>
      <c r="L383" s="11">
        <v>4</v>
      </c>
      <c r="M383" s="5" t="s">
        <v>1896</v>
      </c>
    </row>
    <row r="384" spans="2:13" ht="52.5" customHeight="1" x14ac:dyDescent="0.35">
      <c r="B384" s="12">
        <v>40</v>
      </c>
      <c r="C384" s="7" t="s">
        <v>2373</v>
      </c>
      <c r="D384" s="12">
        <v>3</v>
      </c>
      <c r="E384" s="7" t="s">
        <v>2385</v>
      </c>
      <c r="F384" s="7" t="s">
        <v>2386</v>
      </c>
      <c r="G384" s="7" t="s">
        <v>358</v>
      </c>
      <c r="H384" s="7" t="s">
        <v>2387</v>
      </c>
      <c r="I384" s="7" t="s">
        <v>2388</v>
      </c>
      <c r="J384" s="7" t="s">
        <v>2389</v>
      </c>
      <c r="K384" s="7" t="s">
        <v>2390</v>
      </c>
      <c r="L384" s="12">
        <v>3</v>
      </c>
      <c r="M384" s="7" t="s">
        <v>1896</v>
      </c>
    </row>
    <row r="385" spans="2:13" ht="52.5" customHeight="1" x14ac:dyDescent="0.35">
      <c r="B385" s="11">
        <v>40</v>
      </c>
      <c r="C385" s="5" t="s">
        <v>2373</v>
      </c>
      <c r="D385" s="11">
        <v>4</v>
      </c>
      <c r="E385" s="5" t="s">
        <v>2391</v>
      </c>
      <c r="F385" s="5" t="s">
        <v>2392</v>
      </c>
      <c r="G385" s="5" t="s">
        <v>541</v>
      </c>
      <c r="H385" s="5" t="s">
        <v>2393</v>
      </c>
      <c r="I385" s="5" t="s">
        <v>2394</v>
      </c>
      <c r="J385" s="5" t="s">
        <v>2395</v>
      </c>
      <c r="K385" s="5" t="s">
        <v>2396</v>
      </c>
      <c r="L385" s="11">
        <v>3</v>
      </c>
      <c r="M385" s="5" t="s">
        <v>1896</v>
      </c>
    </row>
    <row r="386" spans="2:13" ht="52.5" customHeight="1" x14ac:dyDescent="0.35">
      <c r="B386" s="12">
        <v>40</v>
      </c>
      <c r="C386" s="7" t="s">
        <v>2373</v>
      </c>
      <c r="D386" s="12">
        <v>5</v>
      </c>
      <c r="E386" s="7" t="s">
        <v>2397</v>
      </c>
      <c r="F386" s="7" t="s">
        <v>2398</v>
      </c>
      <c r="G386" s="7" t="s">
        <v>1513</v>
      </c>
      <c r="H386" s="7" t="s">
        <v>2399</v>
      </c>
      <c r="I386" s="7" t="s">
        <v>2400</v>
      </c>
      <c r="J386" s="7" t="s">
        <v>2401</v>
      </c>
      <c r="K386" s="7" t="s">
        <v>2402</v>
      </c>
      <c r="L386" s="12">
        <v>2</v>
      </c>
      <c r="M386" s="7" t="s">
        <v>1896</v>
      </c>
    </row>
    <row r="387" spans="2:13" ht="82.5" customHeight="1" x14ac:dyDescent="0.35">
      <c r="B387" s="11">
        <v>40</v>
      </c>
      <c r="C387" s="5" t="s">
        <v>2373</v>
      </c>
      <c r="D387" s="11">
        <v>6</v>
      </c>
      <c r="E387" s="5" t="s">
        <v>2403</v>
      </c>
      <c r="F387" s="5" t="s">
        <v>2404</v>
      </c>
      <c r="G387" s="5" t="s">
        <v>2405</v>
      </c>
      <c r="H387" s="5" t="s">
        <v>2406</v>
      </c>
      <c r="I387" s="5" t="s">
        <v>2407</v>
      </c>
      <c r="J387" s="5" t="s">
        <v>2408</v>
      </c>
      <c r="K387" s="5" t="s">
        <v>2409</v>
      </c>
      <c r="L387" s="11">
        <v>5</v>
      </c>
      <c r="M387" s="5" t="s">
        <v>1896</v>
      </c>
    </row>
    <row r="388" spans="2:13" ht="21.75" customHeight="1" x14ac:dyDescent="0.35">
      <c r="B388" s="12">
        <v>40</v>
      </c>
      <c r="C388" s="7" t="s">
        <v>2373</v>
      </c>
      <c r="D388" s="12">
        <v>7</v>
      </c>
      <c r="E388" s="7" t="s">
        <v>2410</v>
      </c>
      <c r="F388" s="7" t="s">
        <v>2411</v>
      </c>
      <c r="G388" s="7" t="s">
        <v>973</v>
      </c>
      <c r="H388" s="7" t="s">
        <v>1426</v>
      </c>
      <c r="I388" s="7" t="s">
        <v>1427</v>
      </c>
      <c r="J388" s="7" t="s">
        <v>213</v>
      </c>
      <c r="K388" s="7" t="s">
        <v>2412</v>
      </c>
      <c r="L388" s="12">
        <v>1</v>
      </c>
      <c r="M388" s="7" t="s">
        <v>1896</v>
      </c>
    </row>
    <row r="389" spans="2:13" ht="37.5" customHeight="1" x14ac:dyDescent="0.35">
      <c r="B389" s="11">
        <v>40</v>
      </c>
      <c r="C389" s="5" t="s">
        <v>2373</v>
      </c>
      <c r="D389" s="11">
        <v>8</v>
      </c>
      <c r="E389" s="5" t="s">
        <v>2413</v>
      </c>
      <c r="F389" s="5" t="s">
        <v>2414</v>
      </c>
      <c r="G389" s="5" t="s">
        <v>2415</v>
      </c>
      <c r="H389" s="5" t="s">
        <v>505</v>
      </c>
      <c r="I389" s="5" t="s">
        <v>52</v>
      </c>
      <c r="J389" s="5" t="s">
        <v>213</v>
      </c>
      <c r="K389" s="5" t="s">
        <v>2416</v>
      </c>
      <c r="L389" s="11">
        <v>1</v>
      </c>
      <c r="M389" s="5" t="s">
        <v>1896</v>
      </c>
    </row>
    <row r="390" spans="2:13" ht="37.5" customHeight="1" x14ac:dyDescent="0.35">
      <c r="B390" s="12">
        <v>40</v>
      </c>
      <c r="C390" s="7" t="s">
        <v>2373</v>
      </c>
      <c r="D390" s="12">
        <v>9</v>
      </c>
      <c r="E390" s="7" t="s">
        <v>2417</v>
      </c>
      <c r="F390" s="7" t="s">
        <v>2418</v>
      </c>
      <c r="G390" s="7" t="s">
        <v>185</v>
      </c>
      <c r="H390" s="7" t="s">
        <v>2419</v>
      </c>
      <c r="I390" s="7" t="s">
        <v>2420</v>
      </c>
      <c r="J390" s="7" t="s">
        <v>220</v>
      </c>
      <c r="K390" s="7" t="s">
        <v>2421</v>
      </c>
      <c r="L390" s="12">
        <v>2</v>
      </c>
      <c r="M390" s="7" t="s">
        <v>1896</v>
      </c>
    </row>
    <row r="391" spans="2:13" ht="82.5" customHeight="1" x14ac:dyDescent="0.35">
      <c r="B391" s="11">
        <v>40</v>
      </c>
      <c r="C391" s="5" t="s">
        <v>2373</v>
      </c>
      <c r="D391" s="11">
        <v>10</v>
      </c>
      <c r="E391" s="5" t="s">
        <v>2422</v>
      </c>
      <c r="F391" s="5" t="s">
        <v>2423</v>
      </c>
      <c r="G391" s="5" t="s">
        <v>24</v>
      </c>
      <c r="H391" s="5" t="s">
        <v>2424</v>
      </c>
      <c r="I391" s="5" t="s">
        <v>2425</v>
      </c>
      <c r="J391" s="5" t="s">
        <v>2426</v>
      </c>
      <c r="K391" s="5" t="s">
        <v>2427</v>
      </c>
      <c r="L391" s="11">
        <v>4</v>
      </c>
      <c r="M391" s="5" t="s">
        <v>1896</v>
      </c>
    </row>
    <row r="392" spans="2:13" ht="37.5" customHeight="1" x14ac:dyDescent="0.35">
      <c r="B392" s="12">
        <v>40</v>
      </c>
      <c r="C392" s="7" t="s">
        <v>2373</v>
      </c>
      <c r="D392" s="12">
        <v>11</v>
      </c>
      <c r="E392" s="7" t="s">
        <v>2428</v>
      </c>
      <c r="F392" s="7" t="s">
        <v>2429</v>
      </c>
      <c r="G392" s="7" t="s">
        <v>576</v>
      </c>
      <c r="H392" s="7" t="s">
        <v>505</v>
      </c>
      <c r="I392" s="7" t="s">
        <v>52</v>
      </c>
      <c r="J392" s="7" t="s">
        <v>213</v>
      </c>
      <c r="K392" s="7" t="s">
        <v>2416</v>
      </c>
      <c r="L392" s="12">
        <v>1</v>
      </c>
      <c r="M392" s="7" t="s">
        <v>1896</v>
      </c>
    </row>
    <row r="393" spans="2:13" ht="37.5" customHeight="1" x14ac:dyDescent="0.35">
      <c r="B393" s="11">
        <v>40</v>
      </c>
      <c r="C393" s="5" t="s">
        <v>2373</v>
      </c>
      <c r="D393" s="11">
        <v>12</v>
      </c>
      <c r="E393" s="5" t="s">
        <v>2430</v>
      </c>
      <c r="F393" s="5" t="s">
        <v>2431</v>
      </c>
      <c r="G393" s="5" t="s">
        <v>33</v>
      </c>
      <c r="H393" s="5" t="s">
        <v>403</v>
      </c>
      <c r="I393" s="5" t="s">
        <v>52</v>
      </c>
      <c r="J393" s="5" t="s">
        <v>213</v>
      </c>
      <c r="K393" s="5" t="s">
        <v>1241</v>
      </c>
      <c r="L393" s="11">
        <v>1</v>
      </c>
      <c r="M393" s="5" t="s">
        <v>1896</v>
      </c>
    </row>
    <row r="394" spans="2:13" ht="52.5" customHeight="1" x14ac:dyDescent="0.35">
      <c r="B394" s="12">
        <v>40</v>
      </c>
      <c r="C394" s="7" t="s">
        <v>2373</v>
      </c>
      <c r="D394" s="12">
        <v>13</v>
      </c>
      <c r="E394" s="7" t="s">
        <v>2432</v>
      </c>
      <c r="F394" s="7" t="s">
        <v>2433</v>
      </c>
      <c r="G394" s="7" t="s">
        <v>560</v>
      </c>
      <c r="H394" s="7" t="s">
        <v>2434</v>
      </c>
      <c r="I394" s="7" t="s">
        <v>1098</v>
      </c>
      <c r="J394" s="7" t="s">
        <v>240</v>
      </c>
      <c r="K394" s="7" t="s">
        <v>2435</v>
      </c>
      <c r="L394" s="12">
        <v>2</v>
      </c>
      <c r="M394" s="7" t="s">
        <v>1896</v>
      </c>
    </row>
    <row r="395" spans="2:13" ht="52.5" customHeight="1" x14ac:dyDescent="0.35">
      <c r="B395" s="11">
        <v>40</v>
      </c>
      <c r="C395" s="5" t="s">
        <v>2373</v>
      </c>
      <c r="D395" s="11">
        <v>14</v>
      </c>
      <c r="E395" s="5" t="s">
        <v>2436</v>
      </c>
      <c r="F395" s="5" t="s">
        <v>2437</v>
      </c>
      <c r="G395" s="5" t="s">
        <v>698</v>
      </c>
      <c r="H395" s="5" t="s">
        <v>2438</v>
      </c>
      <c r="I395" s="5" t="s">
        <v>2439</v>
      </c>
      <c r="J395" s="5" t="s">
        <v>240</v>
      </c>
      <c r="K395" s="5" t="s">
        <v>2440</v>
      </c>
      <c r="L395" s="11">
        <v>3</v>
      </c>
      <c r="M395" s="5" t="s">
        <v>1896</v>
      </c>
    </row>
    <row r="396" spans="2:13" ht="82.5" customHeight="1" x14ac:dyDescent="0.35">
      <c r="B396" s="12">
        <v>40</v>
      </c>
      <c r="C396" s="7" t="s">
        <v>2373</v>
      </c>
      <c r="D396" s="12">
        <v>15</v>
      </c>
      <c r="E396" s="7" t="s">
        <v>2441</v>
      </c>
      <c r="F396" s="7" t="s">
        <v>2442</v>
      </c>
      <c r="G396" s="7" t="s">
        <v>25</v>
      </c>
      <c r="H396" s="7" t="s">
        <v>2443</v>
      </c>
      <c r="I396" s="7" t="s">
        <v>2444</v>
      </c>
      <c r="J396" s="7" t="s">
        <v>2445</v>
      </c>
      <c r="K396" s="7" t="s">
        <v>2446</v>
      </c>
      <c r="L396" s="12">
        <v>4</v>
      </c>
      <c r="M396" s="7" t="s">
        <v>1896</v>
      </c>
    </row>
    <row r="397" spans="2:13" ht="37.5" customHeight="1" x14ac:dyDescent="0.35">
      <c r="B397" s="11">
        <v>40</v>
      </c>
      <c r="C397" s="5" t="s">
        <v>2373</v>
      </c>
      <c r="D397" s="11">
        <v>16</v>
      </c>
      <c r="E397" s="5" t="s">
        <v>2447</v>
      </c>
      <c r="F397" s="5" t="s">
        <v>2448</v>
      </c>
      <c r="G397" s="5" t="s">
        <v>365</v>
      </c>
      <c r="H397" s="5" t="s">
        <v>2449</v>
      </c>
      <c r="I397" s="5" t="s">
        <v>2450</v>
      </c>
      <c r="J397" s="5" t="s">
        <v>213</v>
      </c>
      <c r="K397" s="5" t="s">
        <v>2451</v>
      </c>
      <c r="L397" s="11">
        <v>2</v>
      </c>
      <c r="M397" s="5" t="s">
        <v>1896</v>
      </c>
    </row>
    <row r="398" spans="2:13" ht="37.5" customHeight="1" x14ac:dyDescent="0.35">
      <c r="B398" s="12">
        <v>40</v>
      </c>
      <c r="C398" s="7" t="s">
        <v>2373</v>
      </c>
      <c r="D398" s="12">
        <v>17</v>
      </c>
      <c r="E398" s="7" t="s">
        <v>2452</v>
      </c>
      <c r="F398" s="7" t="s">
        <v>2453</v>
      </c>
      <c r="G398" s="7" t="s">
        <v>395</v>
      </c>
      <c r="H398" s="7" t="s">
        <v>1426</v>
      </c>
      <c r="I398" s="7" t="s">
        <v>1427</v>
      </c>
      <c r="J398" s="7" t="s">
        <v>213</v>
      </c>
      <c r="K398" s="7" t="s">
        <v>2412</v>
      </c>
      <c r="L398" s="12">
        <v>1</v>
      </c>
      <c r="M398" s="7" t="s">
        <v>1896</v>
      </c>
    </row>
    <row r="399" spans="2:13" ht="37.5" customHeight="1" x14ac:dyDescent="0.35">
      <c r="B399" s="11">
        <v>40</v>
      </c>
      <c r="C399" s="5" t="s">
        <v>2373</v>
      </c>
      <c r="D399" s="11">
        <v>18</v>
      </c>
      <c r="E399" s="5" t="s">
        <v>2454</v>
      </c>
      <c r="F399" s="5" t="s">
        <v>2455</v>
      </c>
      <c r="G399" s="5" t="s">
        <v>206</v>
      </c>
      <c r="H399" s="5" t="s">
        <v>1426</v>
      </c>
      <c r="I399" s="5" t="s">
        <v>1427</v>
      </c>
      <c r="J399" s="5" t="s">
        <v>213</v>
      </c>
      <c r="K399" s="5" t="s">
        <v>2412</v>
      </c>
      <c r="L399" s="11">
        <v>1</v>
      </c>
      <c r="M399" s="5" t="s">
        <v>1896</v>
      </c>
    </row>
    <row r="400" spans="2:13" ht="21.75" customHeight="1" x14ac:dyDescent="0.35">
      <c r="B400" s="12">
        <v>40</v>
      </c>
      <c r="C400" s="7" t="s">
        <v>2373</v>
      </c>
      <c r="D400" s="12">
        <v>19</v>
      </c>
      <c r="E400" s="7" t="s">
        <v>2456</v>
      </c>
      <c r="F400" s="7" t="s">
        <v>2457</v>
      </c>
      <c r="G400" s="7" t="s">
        <v>212</v>
      </c>
      <c r="H400" s="7" t="s">
        <v>1426</v>
      </c>
      <c r="I400" s="7" t="s">
        <v>1427</v>
      </c>
      <c r="J400" s="7" t="s">
        <v>213</v>
      </c>
      <c r="K400" s="7" t="s">
        <v>2412</v>
      </c>
      <c r="L400" s="12">
        <v>1</v>
      </c>
      <c r="M400" s="7" t="s">
        <v>1896</v>
      </c>
    </row>
    <row r="401" spans="2:13" ht="37.5" customHeight="1" x14ac:dyDescent="0.35">
      <c r="B401" s="11">
        <v>40</v>
      </c>
      <c r="C401" s="5" t="s">
        <v>2373</v>
      </c>
      <c r="D401" s="11">
        <v>20</v>
      </c>
      <c r="E401" s="5" t="s">
        <v>2458</v>
      </c>
      <c r="F401" s="5" t="s">
        <v>2459</v>
      </c>
      <c r="G401" s="5" t="s">
        <v>26</v>
      </c>
      <c r="H401" s="5" t="s">
        <v>2148</v>
      </c>
      <c r="I401" s="5" t="s">
        <v>2149</v>
      </c>
      <c r="J401" s="5" t="s">
        <v>2460</v>
      </c>
      <c r="K401" s="5" t="s">
        <v>2461</v>
      </c>
      <c r="L401" s="11">
        <v>2</v>
      </c>
      <c r="M401" s="5" t="s">
        <v>1896</v>
      </c>
    </row>
    <row r="402" spans="2:13" ht="67.5" customHeight="1" x14ac:dyDescent="0.35">
      <c r="B402" s="12">
        <v>40</v>
      </c>
      <c r="C402" s="7" t="s">
        <v>2373</v>
      </c>
      <c r="D402" s="12">
        <v>21</v>
      </c>
      <c r="E402" s="7" t="s">
        <v>2462</v>
      </c>
      <c r="F402" s="7" t="s">
        <v>2463</v>
      </c>
      <c r="G402" s="7" t="s">
        <v>27</v>
      </c>
      <c r="H402" s="7" t="s">
        <v>2464</v>
      </c>
      <c r="I402" s="7" t="s">
        <v>2465</v>
      </c>
      <c r="J402" s="7" t="s">
        <v>2426</v>
      </c>
      <c r="K402" s="7" t="s">
        <v>2466</v>
      </c>
      <c r="L402" s="12">
        <v>3</v>
      </c>
      <c r="M402" s="7" t="s">
        <v>1896</v>
      </c>
    </row>
    <row r="403" spans="2:13" ht="37.5" customHeight="1" x14ac:dyDescent="0.35">
      <c r="B403" s="11">
        <v>40</v>
      </c>
      <c r="C403" s="5" t="s">
        <v>2373</v>
      </c>
      <c r="D403" s="11">
        <v>22</v>
      </c>
      <c r="E403" s="5" t="s">
        <v>2467</v>
      </c>
      <c r="F403" s="5" t="s">
        <v>2468</v>
      </c>
      <c r="G403" s="5" t="s">
        <v>428</v>
      </c>
      <c r="H403" s="5" t="s">
        <v>36</v>
      </c>
      <c r="I403" s="5" t="s">
        <v>1259</v>
      </c>
      <c r="J403" s="5" t="s">
        <v>194</v>
      </c>
      <c r="K403" s="5" t="s">
        <v>2469</v>
      </c>
      <c r="L403" s="11">
        <v>1</v>
      </c>
      <c r="M403" s="5" t="s">
        <v>1896</v>
      </c>
    </row>
    <row r="404" spans="2:13" ht="52.5" customHeight="1" x14ac:dyDescent="0.35">
      <c r="B404" s="12">
        <v>40</v>
      </c>
      <c r="C404" s="7" t="s">
        <v>2373</v>
      </c>
      <c r="D404" s="12">
        <v>23</v>
      </c>
      <c r="E404" s="7" t="s">
        <v>2470</v>
      </c>
      <c r="F404" s="7" t="s">
        <v>2471</v>
      </c>
      <c r="G404" s="7" t="s">
        <v>625</v>
      </c>
      <c r="H404" s="7" t="s">
        <v>218</v>
      </c>
      <c r="I404" s="7" t="s">
        <v>2472</v>
      </c>
      <c r="J404" s="7" t="s">
        <v>2473</v>
      </c>
      <c r="K404" s="7" t="s">
        <v>2474</v>
      </c>
      <c r="L404" s="12">
        <v>2</v>
      </c>
      <c r="M404" s="7" t="s">
        <v>1896</v>
      </c>
    </row>
    <row r="405" spans="2:13" ht="37.5" customHeight="1" x14ac:dyDescent="0.35">
      <c r="B405" s="11">
        <v>40</v>
      </c>
      <c r="C405" s="5" t="s">
        <v>2373</v>
      </c>
      <c r="D405" s="11">
        <v>24</v>
      </c>
      <c r="E405" s="5" t="s">
        <v>2475</v>
      </c>
      <c r="F405" s="5" t="s">
        <v>2476</v>
      </c>
      <c r="G405" s="5" t="s">
        <v>402</v>
      </c>
      <c r="H405" s="5" t="s">
        <v>37</v>
      </c>
      <c r="I405" s="5" t="s">
        <v>2477</v>
      </c>
      <c r="J405" s="5" t="s">
        <v>1107</v>
      </c>
      <c r="K405" s="5" t="s">
        <v>2478</v>
      </c>
      <c r="L405" s="11">
        <v>1</v>
      </c>
      <c r="M405" s="5" t="s">
        <v>1896</v>
      </c>
    </row>
    <row r="406" spans="2:13" ht="37.5" customHeight="1" x14ac:dyDescent="0.35">
      <c r="B406" s="12">
        <v>40</v>
      </c>
      <c r="C406" s="7" t="s">
        <v>2373</v>
      </c>
      <c r="D406" s="12">
        <v>25</v>
      </c>
      <c r="E406" s="7" t="s">
        <v>2479</v>
      </c>
      <c r="F406" s="7" t="s">
        <v>2480</v>
      </c>
      <c r="G406" s="7" t="s">
        <v>653</v>
      </c>
      <c r="H406" s="7" t="s">
        <v>37</v>
      </c>
      <c r="I406" s="7" t="s">
        <v>2477</v>
      </c>
      <c r="J406" s="7" t="s">
        <v>1107</v>
      </c>
      <c r="K406" s="7" t="s">
        <v>2478</v>
      </c>
      <c r="L406" s="12">
        <v>1</v>
      </c>
      <c r="M406" s="7" t="s">
        <v>1896</v>
      </c>
    </row>
    <row r="407" spans="2:13" ht="37.5" customHeight="1" x14ac:dyDescent="0.35">
      <c r="B407" s="11">
        <v>40</v>
      </c>
      <c r="C407" s="5" t="s">
        <v>2373</v>
      </c>
      <c r="D407" s="11">
        <v>26</v>
      </c>
      <c r="E407" s="5" t="s">
        <v>2481</v>
      </c>
      <c r="F407" s="5" t="s">
        <v>2482</v>
      </c>
      <c r="G407" s="5" t="s">
        <v>825</v>
      </c>
      <c r="H407" s="5" t="s">
        <v>591</v>
      </c>
      <c r="I407" s="5" t="s">
        <v>2483</v>
      </c>
      <c r="J407" s="5" t="s">
        <v>1218</v>
      </c>
      <c r="K407" s="5" t="s">
        <v>2484</v>
      </c>
      <c r="L407" s="11">
        <v>2</v>
      </c>
      <c r="M407" s="5" t="s">
        <v>1896</v>
      </c>
    </row>
    <row r="408" spans="2:13" ht="37.5" customHeight="1" x14ac:dyDescent="0.35">
      <c r="B408" s="12">
        <v>40</v>
      </c>
      <c r="C408" s="7" t="s">
        <v>2373</v>
      </c>
      <c r="D408" s="12">
        <v>27</v>
      </c>
      <c r="E408" s="7" t="s">
        <v>2485</v>
      </c>
      <c r="F408" s="7" t="s">
        <v>2486</v>
      </c>
      <c r="G408" s="7" t="s">
        <v>445</v>
      </c>
      <c r="H408" s="7" t="s">
        <v>37</v>
      </c>
      <c r="I408" s="7" t="s">
        <v>2487</v>
      </c>
      <c r="J408" s="7" t="s">
        <v>2488</v>
      </c>
      <c r="K408" s="7" t="s">
        <v>2489</v>
      </c>
      <c r="L408" s="12">
        <v>1</v>
      </c>
      <c r="M408" s="7" t="s">
        <v>1896</v>
      </c>
    </row>
    <row r="409" spans="2:13" ht="37.5" customHeight="1" x14ac:dyDescent="0.35">
      <c r="B409" s="11">
        <v>40</v>
      </c>
      <c r="C409" s="5" t="s">
        <v>2373</v>
      </c>
      <c r="D409" s="11">
        <v>28</v>
      </c>
      <c r="E409" s="5" t="s">
        <v>2490</v>
      </c>
      <c r="F409" s="5" t="s">
        <v>2491</v>
      </c>
      <c r="G409" s="5" t="s">
        <v>536</v>
      </c>
      <c r="H409" s="5" t="s">
        <v>37</v>
      </c>
      <c r="I409" s="5" t="s">
        <v>2487</v>
      </c>
      <c r="J409" s="5" t="s">
        <v>1107</v>
      </c>
      <c r="K409" s="5" t="s">
        <v>2492</v>
      </c>
      <c r="L409" s="11">
        <v>1</v>
      </c>
      <c r="M409" s="5" t="s">
        <v>1896</v>
      </c>
    </row>
    <row r="410" spans="2:13" ht="37.5" customHeight="1" x14ac:dyDescent="0.35">
      <c r="B410" s="12">
        <v>40</v>
      </c>
      <c r="C410" s="7" t="s">
        <v>2373</v>
      </c>
      <c r="D410" s="12">
        <v>29</v>
      </c>
      <c r="E410" s="7" t="s">
        <v>2493</v>
      </c>
      <c r="F410" s="7" t="s">
        <v>2494</v>
      </c>
      <c r="G410" s="7" t="s">
        <v>2495</v>
      </c>
      <c r="H410" s="7" t="s">
        <v>37</v>
      </c>
      <c r="I410" s="7" t="s">
        <v>2487</v>
      </c>
      <c r="J410" s="7" t="s">
        <v>1107</v>
      </c>
      <c r="K410" s="7" t="s">
        <v>2492</v>
      </c>
      <c r="L410" s="12">
        <v>1</v>
      </c>
      <c r="M410" s="7" t="s">
        <v>1896</v>
      </c>
    </row>
    <row r="411" spans="2:13" ht="37.5" customHeight="1" x14ac:dyDescent="0.35">
      <c r="B411" s="11">
        <v>40</v>
      </c>
      <c r="C411" s="5" t="s">
        <v>2373</v>
      </c>
      <c r="D411" s="11">
        <v>30</v>
      </c>
      <c r="E411" s="5" t="s">
        <v>2496</v>
      </c>
      <c r="F411" s="5" t="s">
        <v>2497</v>
      </c>
      <c r="G411" s="5" t="s">
        <v>582</v>
      </c>
      <c r="H411" s="5" t="s">
        <v>1574</v>
      </c>
      <c r="I411" s="5" t="s">
        <v>56</v>
      </c>
      <c r="J411" s="5" t="s">
        <v>213</v>
      </c>
      <c r="K411" s="5" t="s">
        <v>2276</v>
      </c>
      <c r="L411" s="11">
        <v>1</v>
      </c>
      <c r="M411" s="5" t="s">
        <v>1896</v>
      </c>
    </row>
    <row r="412" spans="2:13" ht="37.5" customHeight="1" x14ac:dyDescent="0.35">
      <c r="B412" s="12">
        <v>40</v>
      </c>
      <c r="C412" s="7" t="s">
        <v>2373</v>
      </c>
      <c r="D412" s="12">
        <v>31</v>
      </c>
      <c r="E412" s="7" t="s">
        <v>2498</v>
      </c>
      <c r="F412" s="7" t="s">
        <v>2499</v>
      </c>
      <c r="G412" s="7" t="s">
        <v>28</v>
      </c>
      <c r="H412" s="7" t="s">
        <v>40</v>
      </c>
      <c r="I412" s="7" t="s">
        <v>1052</v>
      </c>
      <c r="J412" s="7" t="s">
        <v>213</v>
      </c>
      <c r="K412" s="7" t="s">
        <v>2500</v>
      </c>
      <c r="L412" s="12">
        <v>1</v>
      </c>
      <c r="M412" s="7" t="s">
        <v>1896</v>
      </c>
    </row>
    <row r="413" spans="2:13" ht="52.5" customHeight="1" x14ac:dyDescent="0.35">
      <c r="B413" s="11">
        <v>40</v>
      </c>
      <c r="C413" s="5" t="s">
        <v>2373</v>
      </c>
      <c r="D413" s="11">
        <v>32</v>
      </c>
      <c r="E413" s="5" t="s">
        <v>2501</v>
      </c>
      <c r="F413" s="5" t="s">
        <v>2502</v>
      </c>
      <c r="G413" s="5" t="s">
        <v>244</v>
      </c>
      <c r="H413" s="5" t="s">
        <v>2148</v>
      </c>
      <c r="I413" s="5" t="s">
        <v>2503</v>
      </c>
      <c r="J413" s="5" t="s">
        <v>213</v>
      </c>
      <c r="K413" s="5" t="s">
        <v>2504</v>
      </c>
      <c r="L413" s="11">
        <v>2</v>
      </c>
      <c r="M413" s="5" t="s">
        <v>1896</v>
      </c>
    </row>
    <row r="414" spans="2:13" ht="37.5" customHeight="1" x14ac:dyDescent="0.35">
      <c r="B414" s="12">
        <v>40</v>
      </c>
      <c r="C414" s="7" t="s">
        <v>2373</v>
      </c>
      <c r="D414" s="12">
        <v>33</v>
      </c>
      <c r="E414" s="7" t="s">
        <v>2505</v>
      </c>
      <c r="F414" s="7" t="s">
        <v>2506</v>
      </c>
      <c r="G414" s="7" t="s">
        <v>648</v>
      </c>
      <c r="H414" s="7" t="s">
        <v>37</v>
      </c>
      <c r="I414" s="7" t="s">
        <v>2477</v>
      </c>
      <c r="J414" s="7" t="s">
        <v>1107</v>
      </c>
      <c r="K414" s="7" t="s">
        <v>2478</v>
      </c>
      <c r="L414" s="12">
        <v>1</v>
      </c>
      <c r="M414" s="7" t="s">
        <v>1896</v>
      </c>
    </row>
    <row r="415" spans="2:13" ht="37.5" customHeight="1" x14ac:dyDescent="0.35">
      <c r="B415" s="11">
        <v>40</v>
      </c>
      <c r="C415" s="5" t="s">
        <v>2373</v>
      </c>
      <c r="D415" s="11">
        <v>34</v>
      </c>
      <c r="E415" s="5" t="s">
        <v>2507</v>
      </c>
      <c r="F415" s="5" t="s">
        <v>2508</v>
      </c>
      <c r="G415" s="5" t="s">
        <v>701</v>
      </c>
      <c r="H415" s="5" t="s">
        <v>1426</v>
      </c>
      <c r="I415" s="5" t="s">
        <v>1427</v>
      </c>
      <c r="J415" s="5" t="s">
        <v>213</v>
      </c>
      <c r="K415" s="5" t="s">
        <v>2412</v>
      </c>
      <c r="L415" s="11">
        <v>1</v>
      </c>
      <c r="M415" s="5" t="s">
        <v>1896</v>
      </c>
    </row>
    <row r="416" spans="2:13" ht="37.5" customHeight="1" x14ac:dyDescent="0.35">
      <c r="B416" s="12">
        <v>40</v>
      </c>
      <c r="C416" s="7" t="s">
        <v>2373</v>
      </c>
      <c r="D416" s="12">
        <v>35</v>
      </c>
      <c r="E416" s="7" t="s">
        <v>2509</v>
      </c>
      <c r="F416" s="7" t="s">
        <v>2510</v>
      </c>
      <c r="G416" s="7" t="s">
        <v>1235</v>
      </c>
      <c r="H416" s="7" t="s">
        <v>1426</v>
      </c>
      <c r="I416" s="7" t="s">
        <v>1427</v>
      </c>
      <c r="J416" s="7" t="s">
        <v>213</v>
      </c>
      <c r="K416" s="7" t="s">
        <v>2412</v>
      </c>
      <c r="L416" s="12">
        <v>1</v>
      </c>
      <c r="M416" s="7" t="s">
        <v>1896</v>
      </c>
    </row>
    <row r="417" spans="2:13" ht="21.75" customHeight="1" x14ac:dyDescent="0.35">
      <c r="B417" s="11">
        <v>40</v>
      </c>
      <c r="C417" s="5" t="s">
        <v>2373</v>
      </c>
      <c r="D417" s="11">
        <v>36</v>
      </c>
      <c r="E417" s="5" t="s">
        <v>2511</v>
      </c>
      <c r="F417" s="5" t="s">
        <v>2512</v>
      </c>
      <c r="G417" s="5" t="s">
        <v>442</v>
      </c>
      <c r="H417" s="5" t="s">
        <v>1426</v>
      </c>
      <c r="I417" s="5" t="s">
        <v>1427</v>
      </c>
      <c r="J417" s="5" t="s">
        <v>213</v>
      </c>
      <c r="K417" s="5" t="s">
        <v>2412</v>
      </c>
      <c r="L417" s="11">
        <v>1</v>
      </c>
      <c r="M417" s="5" t="s">
        <v>1896</v>
      </c>
    </row>
    <row r="418" spans="2:13" ht="37.5" customHeight="1" x14ac:dyDescent="0.35">
      <c r="B418" s="12">
        <v>40</v>
      </c>
      <c r="C418" s="7" t="s">
        <v>2373</v>
      </c>
      <c r="D418" s="12">
        <v>37</v>
      </c>
      <c r="E418" s="7" t="s">
        <v>2513</v>
      </c>
      <c r="F418" s="7" t="s">
        <v>2514</v>
      </c>
      <c r="G418" s="7" t="s">
        <v>645</v>
      </c>
      <c r="H418" s="7" t="s">
        <v>37</v>
      </c>
      <c r="I418" s="7" t="s">
        <v>2477</v>
      </c>
      <c r="J418" s="7" t="s">
        <v>1107</v>
      </c>
      <c r="K418" s="7" t="s">
        <v>2478</v>
      </c>
      <c r="L418" s="12">
        <v>1</v>
      </c>
      <c r="M418" s="7" t="s">
        <v>1896</v>
      </c>
    </row>
    <row r="419" spans="2:13" ht="37.5" customHeight="1" x14ac:dyDescent="0.35">
      <c r="B419" s="11">
        <v>40</v>
      </c>
      <c r="C419" s="5" t="s">
        <v>2373</v>
      </c>
      <c r="D419" s="11">
        <v>38</v>
      </c>
      <c r="E419" s="5" t="s">
        <v>2515</v>
      </c>
      <c r="F419" s="5" t="s">
        <v>2516</v>
      </c>
      <c r="G419" s="5" t="s">
        <v>813</v>
      </c>
      <c r="H419" s="5" t="s">
        <v>37</v>
      </c>
      <c r="I419" s="5" t="s">
        <v>2477</v>
      </c>
      <c r="J419" s="5" t="s">
        <v>1107</v>
      </c>
      <c r="K419" s="5" t="s">
        <v>2478</v>
      </c>
      <c r="L419" s="11">
        <v>1</v>
      </c>
      <c r="M419" s="5" t="s">
        <v>1896</v>
      </c>
    </row>
    <row r="420" spans="2:13" ht="37.5" customHeight="1" x14ac:dyDescent="0.35">
      <c r="B420" s="12">
        <v>40</v>
      </c>
      <c r="C420" s="7" t="s">
        <v>2373</v>
      </c>
      <c r="D420" s="12">
        <v>39</v>
      </c>
      <c r="E420" s="7" t="s">
        <v>2517</v>
      </c>
      <c r="F420" s="7" t="s">
        <v>2518</v>
      </c>
      <c r="G420" s="7" t="s">
        <v>686</v>
      </c>
      <c r="H420" s="7" t="s">
        <v>37</v>
      </c>
      <c r="I420" s="7" t="s">
        <v>2477</v>
      </c>
      <c r="J420" s="7" t="s">
        <v>1107</v>
      </c>
      <c r="K420" s="7" t="s">
        <v>2478</v>
      </c>
      <c r="L420" s="12">
        <v>1</v>
      </c>
      <c r="M420" s="7" t="s">
        <v>1896</v>
      </c>
    </row>
    <row r="421" spans="2:13" ht="52.5" customHeight="1" x14ac:dyDescent="0.35">
      <c r="B421" s="11">
        <v>40</v>
      </c>
      <c r="C421" s="5" t="s">
        <v>2373</v>
      </c>
      <c r="D421" s="11">
        <v>40</v>
      </c>
      <c r="E421" s="5" t="s">
        <v>2519</v>
      </c>
      <c r="F421" s="5" t="s">
        <v>2520</v>
      </c>
      <c r="G421" s="5" t="s">
        <v>733</v>
      </c>
      <c r="H421" s="5" t="s">
        <v>218</v>
      </c>
      <c r="I421" s="5" t="s">
        <v>2521</v>
      </c>
      <c r="J421" s="5" t="s">
        <v>1218</v>
      </c>
      <c r="K421" s="5" t="s">
        <v>2522</v>
      </c>
      <c r="L421" s="11">
        <v>2</v>
      </c>
      <c r="M421" s="5" t="s">
        <v>1896</v>
      </c>
    </row>
    <row r="422" spans="2:13" ht="37.5" customHeight="1" x14ac:dyDescent="0.35">
      <c r="B422" s="12">
        <v>40</v>
      </c>
      <c r="C422" s="7" t="s">
        <v>2373</v>
      </c>
      <c r="D422" s="12">
        <v>41</v>
      </c>
      <c r="E422" s="7" t="s">
        <v>2523</v>
      </c>
      <c r="F422" s="7" t="s">
        <v>2524</v>
      </c>
      <c r="G422" s="7" t="s">
        <v>761</v>
      </c>
      <c r="H422" s="7" t="s">
        <v>1574</v>
      </c>
      <c r="I422" s="7" t="s">
        <v>56</v>
      </c>
      <c r="J422" s="7" t="s">
        <v>213</v>
      </c>
      <c r="K422" s="7" t="s">
        <v>2276</v>
      </c>
      <c r="L422" s="12">
        <v>1</v>
      </c>
      <c r="M422" s="7" t="s">
        <v>1896</v>
      </c>
    </row>
    <row r="423" spans="2:13" ht="37.5" customHeight="1" x14ac:dyDescent="0.35">
      <c r="B423" s="11">
        <v>40</v>
      </c>
      <c r="C423" s="5" t="s">
        <v>2373</v>
      </c>
      <c r="D423" s="11">
        <v>42</v>
      </c>
      <c r="E423" s="5" t="s">
        <v>2525</v>
      </c>
      <c r="F423" s="5" t="s">
        <v>2526</v>
      </c>
      <c r="G423" s="5" t="s">
        <v>752</v>
      </c>
      <c r="H423" s="5" t="s">
        <v>40</v>
      </c>
      <c r="I423" s="5" t="s">
        <v>56</v>
      </c>
      <c r="J423" s="5" t="s">
        <v>213</v>
      </c>
      <c r="K423" s="5" t="s">
        <v>1124</v>
      </c>
      <c r="L423" s="11">
        <v>1</v>
      </c>
      <c r="M423" s="5" t="s">
        <v>1896</v>
      </c>
    </row>
    <row r="424" spans="2:13" ht="52.5" customHeight="1" x14ac:dyDescent="0.35">
      <c r="B424" s="12">
        <v>40</v>
      </c>
      <c r="C424" s="7" t="s">
        <v>2373</v>
      </c>
      <c r="D424" s="12">
        <v>43</v>
      </c>
      <c r="E424" s="7" t="s">
        <v>2527</v>
      </c>
      <c r="F424" s="7" t="s">
        <v>2528</v>
      </c>
      <c r="G424" s="7" t="s">
        <v>2529</v>
      </c>
      <c r="H424" s="7" t="s">
        <v>2530</v>
      </c>
      <c r="I424" s="7" t="s">
        <v>2531</v>
      </c>
      <c r="J424" s="7" t="s">
        <v>213</v>
      </c>
      <c r="K424" s="7" t="s">
        <v>2532</v>
      </c>
      <c r="L424" s="12">
        <v>2</v>
      </c>
      <c r="M424" s="7" t="s">
        <v>1896</v>
      </c>
    </row>
    <row r="425" spans="2:13" ht="37.5" customHeight="1" x14ac:dyDescent="0.35">
      <c r="B425" s="11">
        <v>40</v>
      </c>
      <c r="C425" s="5" t="s">
        <v>2373</v>
      </c>
      <c r="D425" s="11">
        <v>44</v>
      </c>
      <c r="E425" s="5" t="s">
        <v>2533</v>
      </c>
      <c r="F425" s="5" t="s">
        <v>2534</v>
      </c>
      <c r="G425" s="5" t="s">
        <v>766</v>
      </c>
      <c r="H425" s="5" t="s">
        <v>403</v>
      </c>
      <c r="I425" s="5" t="s">
        <v>52</v>
      </c>
      <c r="J425" s="5" t="s">
        <v>213</v>
      </c>
      <c r="K425" s="5" t="s">
        <v>1241</v>
      </c>
      <c r="L425" s="11">
        <v>1</v>
      </c>
      <c r="M425" s="5" t="s">
        <v>1896</v>
      </c>
    </row>
    <row r="426" spans="2:13" ht="37.5" customHeight="1" x14ac:dyDescent="0.35">
      <c r="B426" s="12">
        <v>40</v>
      </c>
      <c r="C426" s="7" t="s">
        <v>2373</v>
      </c>
      <c r="D426" s="12">
        <v>45</v>
      </c>
      <c r="E426" s="7" t="s">
        <v>2535</v>
      </c>
      <c r="F426" s="7" t="s">
        <v>2536</v>
      </c>
      <c r="G426" s="7" t="s">
        <v>865</v>
      </c>
      <c r="H426" s="7" t="s">
        <v>40</v>
      </c>
      <c r="I426" s="7" t="s">
        <v>52</v>
      </c>
      <c r="J426" s="7" t="s">
        <v>213</v>
      </c>
      <c r="K426" s="7" t="s">
        <v>2537</v>
      </c>
      <c r="L426" s="12">
        <v>1</v>
      </c>
      <c r="M426" s="7" t="s">
        <v>1896</v>
      </c>
    </row>
    <row r="427" spans="2:13" ht="21.75" customHeight="1" x14ac:dyDescent="0.35">
      <c r="B427" s="11">
        <v>40</v>
      </c>
      <c r="C427" s="5" t="s">
        <v>2373</v>
      </c>
      <c r="D427" s="11">
        <v>46</v>
      </c>
      <c r="E427" s="5" t="s">
        <v>2538</v>
      </c>
      <c r="F427" s="5" t="s">
        <v>2539</v>
      </c>
      <c r="G427" s="5" t="s">
        <v>2540</v>
      </c>
      <c r="H427" s="5" t="s">
        <v>1426</v>
      </c>
      <c r="I427" s="5" t="s">
        <v>1427</v>
      </c>
      <c r="J427" s="5" t="s">
        <v>213</v>
      </c>
      <c r="K427" s="5" t="s">
        <v>2412</v>
      </c>
      <c r="L427" s="11">
        <v>1</v>
      </c>
      <c r="M427" s="5" t="s">
        <v>1896</v>
      </c>
    </row>
    <row r="428" spans="2:13" ht="21.75" customHeight="1" x14ac:dyDescent="0.35">
      <c r="B428" s="12">
        <v>40</v>
      </c>
      <c r="C428" s="7" t="s">
        <v>2373</v>
      </c>
      <c r="D428" s="12">
        <v>47</v>
      </c>
      <c r="E428" s="7" t="s">
        <v>2541</v>
      </c>
      <c r="F428" s="7" t="s">
        <v>2542</v>
      </c>
      <c r="G428" s="7" t="s">
        <v>900</v>
      </c>
      <c r="H428" s="7" t="s">
        <v>1426</v>
      </c>
      <c r="I428" s="7" t="s">
        <v>1427</v>
      </c>
      <c r="J428" s="7" t="s">
        <v>213</v>
      </c>
      <c r="K428" s="7" t="s">
        <v>2412</v>
      </c>
      <c r="L428" s="12">
        <v>1</v>
      </c>
      <c r="M428" s="7" t="s">
        <v>1896</v>
      </c>
    </row>
    <row r="429" spans="2:13" ht="37.5" customHeight="1" x14ac:dyDescent="0.35">
      <c r="B429" s="11">
        <v>40</v>
      </c>
      <c r="C429" s="5" t="s">
        <v>2373</v>
      </c>
      <c r="D429" s="11">
        <v>48</v>
      </c>
      <c r="E429" s="5" t="s">
        <v>2543</v>
      </c>
      <c r="F429" s="5" t="s">
        <v>2544</v>
      </c>
      <c r="G429" s="5" t="s">
        <v>805</v>
      </c>
      <c r="H429" s="5" t="s">
        <v>1426</v>
      </c>
      <c r="I429" s="5" t="s">
        <v>1427</v>
      </c>
      <c r="J429" s="5" t="s">
        <v>213</v>
      </c>
      <c r="K429" s="5" t="s">
        <v>2412</v>
      </c>
      <c r="L429" s="11">
        <v>1</v>
      </c>
      <c r="M429" s="5" t="s">
        <v>1896</v>
      </c>
    </row>
    <row r="430" spans="2:13" ht="37.5" customHeight="1" x14ac:dyDescent="0.35">
      <c r="B430" s="12">
        <v>40</v>
      </c>
      <c r="C430" s="7" t="s">
        <v>2373</v>
      </c>
      <c r="D430" s="12">
        <v>49</v>
      </c>
      <c r="E430" s="7" t="s">
        <v>2545</v>
      </c>
      <c r="F430" s="7" t="s">
        <v>2546</v>
      </c>
      <c r="G430" s="7" t="s">
        <v>891</v>
      </c>
      <c r="H430" s="7" t="s">
        <v>40</v>
      </c>
      <c r="I430" s="7" t="s">
        <v>1485</v>
      </c>
      <c r="J430" s="7" t="s">
        <v>213</v>
      </c>
      <c r="K430" s="7" t="s">
        <v>2547</v>
      </c>
      <c r="L430" s="12">
        <v>2</v>
      </c>
      <c r="M430" s="7" t="s">
        <v>1896</v>
      </c>
    </row>
    <row r="431" spans="2:13" ht="37.5" customHeight="1" x14ac:dyDescent="0.35">
      <c r="B431" s="11">
        <v>40</v>
      </c>
      <c r="C431" s="5" t="s">
        <v>2373</v>
      </c>
      <c r="D431" s="11">
        <v>50</v>
      </c>
      <c r="E431" s="5" t="s">
        <v>2548</v>
      </c>
      <c r="F431" s="5" t="s">
        <v>2549</v>
      </c>
      <c r="G431" s="5" t="s">
        <v>831</v>
      </c>
      <c r="H431" s="5" t="s">
        <v>218</v>
      </c>
      <c r="I431" s="5" t="s">
        <v>2550</v>
      </c>
      <c r="J431" s="5" t="s">
        <v>1218</v>
      </c>
      <c r="K431" s="5" t="s">
        <v>2551</v>
      </c>
      <c r="L431" s="11">
        <v>2</v>
      </c>
      <c r="M431" s="5" t="s">
        <v>1896</v>
      </c>
    </row>
    <row r="432" spans="2:13" ht="37.5" customHeight="1" x14ac:dyDescent="0.35">
      <c r="B432" s="12">
        <v>40</v>
      </c>
      <c r="C432" s="7" t="s">
        <v>2373</v>
      </c>
      <c r="D432" s="12">
        <v>51</v>
      </c>
      <c r="E432" s="7" t="s">
        <v>2552</v>
      </c>
      <c r="F432" s="7" t="s">
        <v>2553</v>
      </c>
      <c r="G432" s="7" t="s">
        <v>742</v>
      </c>
      <c r="H432" s="7" t="s">
        <v>40</v>
      </c>
      <c r="I432" s="7" t="s">
        <v>56</v>
      </c>
      <c r="J432" s="7" t="s">
        <v>213</v>
      </c>
      <c r="K432" s="7" t="s">
        <v>1124</v>
      </c>
      <c r="L432" s="12">
        <v>1</v>
      </c>
      <c r="M432" s="7" t="s">
        <v>1896</v>
      </c>
    </row>
    <row r="433" spans="2:13" ht="67.5" customHeight="1" x14ac:dyDescent="0.35">
      <c r="B433" s="11">
        <v>40</v>
      </c>
      <c r="C433" s="5" t="s">
        <v>2373</v>
      </c>
      <c r="D433" s="11">
        <v>52</v>
      </c>
      <c r="E433" s="5" t="s">
        <v>2554</v>
      </c>
      <c r="F433" s="5" t="s">
        <v>2555</v>
      </c>
      <c r="G433" s="5" t="s">
        <v>794</v>
      </c>
      <c r="H433" s="5" t="s">
        <v>2556</v>
      </c>
      <c r="I433" s="5" t="s">
        <v>2557</v>
      </c>
      <c r="J433" s="5" t="s">
        <v>1218</v>
      </c>
      <c r="K433" s="5" t="s">
        <v>2558</v>
      </c>
      <c r="L433" s="11">
        <v>2</v>
      </c>
      <c r="M433" s="5" t="s">
        <v>1896</v>
      </c>
    </row>
    <row r="434" spans="2:13" ht="37.5" customHeight="1" x14ac:dyDescent="0.35">
      <c r="B434" s="12">
        <v>40</v>
      </c>
      <c r="C434" s="7" t="s">
        <v>2373</v>
      </c>
      <c r="D434" s="12">
        <v>53</v>
      </c>
      <c r="E434" s="7" t="s">
        <v>2559</v>
      </c>
      <c r="F434" s="7" t="s">
        <v>2560</v>
      </c>
      <c r="G434" s="7" t="s">
        <v>662</v>
      </c>
      <c r="H434" s="7" t="s">
        <v>817</v>
      </c>
      <c r="I434" s="7" t="s">
        <v>52</v>
      </c>
      <c r="J434" s="7" t="s">
        <v>213</v>
      </c>
      <c r="K434" s="7" t="s">
        <v>994</v>
      </c>
      <c r="L434" s="12">
        <v>1</v>
      </c>
      <c r="M434" s="7" t="s">
        <v>1896</v>
      </c>
    </row>
    <row r="435" spans="2:13" ht="37.5" customHeight="1" x14ac:dyDescent="0.35">
      <c r="B435" s="11">
        <v>40</v>
      </c>
      <c r="C435" s="5" t="s">
        <v>2373</v>
      </c>
      <c r="D435" s="11">
        <v>54</v>
      </c>
      <c r="E435" s="5" t="s">
        <v>2561</v>
      </c>
      <c r="F435" s="5" t="s">
        <v>2562</v>
      </c>
      <c r="G435" s="5" t="s">
        <v>285</v>
      </c>
      <c r="H435" s="5" t="s">
        <v>37</v>
      </c>
      <c r="I435" s="5" t="s">
        <v>1676</v>
      </c>
      <c r="J435" s="5" t="s">
        <v>1107</v>
      </c>
      <c r="K435" s="5" t="s">
        <v>2218</v>
      </c>
      <c r="L435" s="11">
        <v>1</v>
      </c>
      <c r="M435" s="5" t="s">
        <v>1896</v>
      </c>
    </row>
    <row r="436" spans="2:13" ht="37.5" customHeight="1" x14ac:dyDescent="0.35">
      <c r="B436" s="12">
        <v>40</v>
      </c>
      <c r="C436" s="7" t="s">
        <v>2373</v>
      </c>
      <c r="D436" s="12">
        <v>55</v>
      </c>
      <c r="E436" s="7" t="s">
        <v>2563</v>
      </c>
      <c r="F436" s="7" t="s">
        <v>2564</v>
      </c>
      <c r="G436" s="7" t="s">
        <v>217</v>
      </c>
      <c r="H436" s="7" t="s">
        <v>37</v>
      </c>
      <c r="I436" s="7" t="s">
        <v>1676</v>
      </c>
      <c r="J436" s="7" t="s">
        <v>1107</v>
      </c>
      <c r="K436" s="7" t="s">
        <v>2218</v>
      </c>
      <c r="L436" s="12">
        <v>1</v>
      </c>
      <c r="M436" s="7" t="s">
        <v>1896</v>
      </c>
    </row>
    <row r="437" spans="2:13" ht="37.5" customHeight="1" x14ac:dyDescent="0.35">
      <c r="B437" s="11">
        <v>40</v>
      </c>
      <c r="C437" s="5" t="s">
        <v>2373</v>
      </c>
      <c r="D437" s="11">
        <v>56</v>
      </c>
      <c r="E437" s="5" t="s">
        <v>2565</v>
      </c>
      <c r="F437" s="5" t="s">
        <v>2566</v>
      </c>
      <c r="G437" s="5" t="s">
        <v>800</v>
      </c>
      <c r="H437" s="5" t="s">
        <v>37</v>
      </c>
      <c r="I437" s="5" t="s">
        <v>1676</v>
      </c>
      <c r="J437" s="5" t="s">
        <v>194</v>
      </c>
      <c r="K437" s="5" t="s">
        <v>2567</v>
      </c>
      <c r="L437" s="11">
        <v>1</v>
      </c>
      <c r="M437" s="5" t="s">
        <v>1896</v>
      </c>
    </row>
    <row r="438" spans="2:13" ht="37.5" customHeight="1" x14ac:dyDescent="0.35">
      <c r="B438" s="12">
        <v>40</v>
      </c>
      <c r="C438" s="7" t="s">
        <v>2373</v>
      </c>
      <c r="D438" s="12">
        <v>57</v>
      </c>
      <c r="E438" s="7" t="s">
        <v>2568</v>
      </c>
      <c r="F438" s="7" t="s">
        <v>2569</v>
      </c>
      <c r="G438" s="7" t="s">
        <v>549</v>
      </c>
      <c r="H438" s="7" t="s">
        <v>37</v>
      </c>
      <c r="I438" s="7" t="s">
        <v>1676</v>
      </c>
      <c r="J438" s="7" t="s">
        <v>194</v>
      </c>
      <c r="K438" s="7" t="s">
        <v>2567</v>
      </c>
      <c r="L438" s="12">
        <v>1</v>
      </c>
      <c r="M438" s="7" t="s">
        <v>1896</v>
      </c>
    </row>
    <row r="439" spans="2:13" ht="37.5" customHeight="1" x14ac:dyDescent="0.35">
      <c r="B439" s="11">
        <v>40</v>
      </c>
      <c r="C439" s="5" t="s">
        <v>2373</v>
      </c>
      <c r="D439" s="11">
        <v>58</v>
      </c>
      <c r="E439" s="5" t="s">
        <v>2570</v>
      </c>
      <c r="F439" s="5" t="s">
        <v>2571</v>
      </c>
      <c r="G439" s="5" t="s">
        <v>279</v>
      </c>
      <c r="H439" s="5" t="s">
        <v>817</v>
      </c>
      <c r="I439" s="5" t="s">
        <v>52</v>
      </c>
      <c r="J439" s="5" t="s">
        <v>213</v>
      </c>
      <c r="K439" s="5" t="s">
        <v>994</v>
      </c>
      <c r="L439" s="11">
        <v>1</v>
      </c>
      <c r="M439" s="5" t="s">
        <v>1896</v>
      </c>
    </row>
    <row r="440" spans="2:13" ht="21.75" customHeight="1" x14ac:dyDescent="0.35">
      <c r="B440" s="12">
        <v>40</v>
      </c>
      <c r="C440" s="7" t="s">
        <v>2373</v>
      </c>
      <c r="D440" s="12">
        <v>59</v>
      </c>
      <c r="E440" s="7" t="s">
        <v>2572</v>
      </c>
      <c r="F440" s="7" t="s">
        <v>2573</v>
      </c>
      <c r="G440" s="7" t="s">
        <v>862</v>
      </c>
      <c r="H440" s="7" t="s">
        <v>817</v>
      </c>
      <c r="I440" s="7" t="s">
        <v>52</v>
      </c>
      <c r="J440" s="7" t="s">
        <v>213</v>
      </c>
      <c r="K440" s="7" t="s">
        <v>994</v>
      </c>
      <c r="L440" s="12">
        <v>1</v>
      </c>
      <c r="M440" s="7" t="s">
        <v>1896</v>
      </c>
    </row>
    <row r="441" spans="2:13" ht="21.75" customHeight="1" x14ac:dyDescent="0.35">
      <c r="B441" s="11">
        <v>40</v>
      </c>
      <c r="C441" s="5" t="s">
        <v>2373</v>
      </c>
      <c r="D441" s="11">
        <v>60</v>
      </c>
      <c r="E441" s="5" t="s">
        <v>2574</v>
      </c>
      <c r="F441" s="5" t="s">
        <v>2575</v>
      </c>
      <c r="G441" s="5" t="s">
        <v>749</v>
      </c>
      <c r="H441" s="5" t="s">
        <v>817</v>
      </c>
      <c r="I441" s="5" t="s">
        <v>52</v>
      </c>
      <c r="J441" s="5" t="s">
        <v>213</v>
      </c>
      <c r="K441" s="5" t="s">
        <v>994</v>
      </c>
      <c r="L441" s="11">
        <v>1</v>
      </c>
      <c r="M441" s="5" t="s">
        <v>1896</v>
      </c>
    </row>
    <row r="442" spans="2:13" ht="37.5" customHeight="1" x14ac:dyDescent="0.35">
      <c r="B442" s="12">
        <v>40</v>
      </c>
      <c r="C442" s="7" t="s">
        <v>2373</v>
      </c>
      <c r="D442" s="12">
        <v>61</v>
      </c>
      <c r="E442" s="7" t="s">
        <v>2576</v>
      </c>
      <c r="F442" s="7" t="s">
        <v>2577</v>
      </c>
      <c r="G442" s="7" t="s">
        <v>939</v>
      </c>
      <c r="H442" s="7" t="s">
        <v>817</v>
      </c>
      <c r="I442" s="7" t="s">
        <v>52</v>
      </c>
      <c r="J442" s="7" t="s">
        <v>213</v>
      </c>
      <c r="K442" s="7" t="s">
        <v>994</v>
      </c>
      <c r="L442" s="12">
        <v>1</v>
      </c>
      <c r="M442" s="7" t="s">
        <v>1896</v>
      </c>
    </row>
    <row r="443" spans="2:13" ht="21.75" customHeight="1" x14ac:dyDescent="0.35">
      <c r="B443" s="11">
        <v>40</v>
      </c>
      <c r="C443" s="5" t="s">
        <v>2373</v>
      </c>
      <c r="D443" s="11">
        <v>62</v>
      </c>
      <c r="E443" s="5" t="s">
        <v>2578</v>
      </c>
      <c r="F443" s="5" t="s">
        <v>2579</v>
      </c>
      <c r="G443" s="5" t="s">
        <v>1692</v>
      </c>
      <c r="H443" s="5" t="s">
        <v>817</v>
      </c>
      <c r="I443" s="5" t="s">
        <v>52</v>
      </c>
      <c r="J443" s="5" t="s">
        <v>213</v>
      </c>
      <c r="K443" s="5" t="s">
        <v>994</v>
      </c>
      <c r="L443" s="11">
        <v>1</v>
      </c>
      <c r="M443" s="5" t="s">
        <v>1896</v>
      </c>
    </row>
    <row r="444" spans="2:13" ht="37.5" customHeight="1" x14ac:dyDescent="0.35">
      <c r="B444" s="12">
        <v>40</v>
      </c>
      <c r="C444" s="7" t="s">
        <v>2373</v>
      </c>
      <c r="D444" s="12">
        <v>63</v>
      </c>
      <c r="E444" s="7" t="s">
        <v>2580</v>
      </c>
      <c r="F444" s="7" t="s">
        <v>2581</v>
      </c>
      <c r="G444" s="7" t="s">
        <v>851</v>
      </c>
      <c r="H444" s="7" t="s">
        <v>817</v>
      </c>
      <c r="I444" s="7" t="s">
        <v>52</v>
      </c>
      <c r="J444" s="7" t="s">
        <v>213</v>
      </c>
      <c r="K444" s="7" t="s">
        <v>994</v>
      </c>
      <c r="L444" s="12">
        <v>1</v>
      </c>
      <c r="M444" s="7" t="s">
        <v>1896</v>
      </c>
    </row>
    <row r="445" spans="2:13" ht="37.5" customHeight="1" x14ac:dyDescent="0.35">
      <c r="B445" s="11">
        <v>40</v>
      </c>
      <c r="C445" s="5" t="s">
        <v>2373</v>
      </c>
      <c r="D445" s="11">
        <v>64</v>
      </c>
      <c r="E445" s="5" t="s">
        <v>2582</v>
      </c>
      <c r="F445" s="5" t="s">
        <v>2583</v>
      </c>
      <c r="G445" s="5" t="s">
        <v>848</v>
      </c>
      <c r="H445" s="5" t="s">
        <v>817</v>
      </c>
      <c r="I445" s="5" t="s">
        <v>52</v>
      </c>
      <c r="J445" s="5" t="s">
        <v>213</v>
      </c>
      <c r="K445" s="5" t="s">
        <v>994</v>
      </c>
      <c r="L445" s="11">
        <v>1</v>
      </c>
      <c r="M445" s="5" t="s">
        <v>1896</v>
      </c>
    </row>
    <row r="446" spans="2:13" ht="37.5" customHeight="1" x14ac:dyDescent="0.35">
      <c r="B446" s="12">
        <v>40</v>
      </c>
      <c r="C446" s="7" t="s">
        <v>2373</v>
      </c>
      <c r="D446" s="12">
        <v>65</v>
      </c>
      <c r="E446" s="7" t="s">
        <v>2584</v>
      </c>
      <c r="F446" s="7" t="s">
        <v>2585</v>
      </c>
      <c r="G446" s="7" t="s">
        <v>552</v>
      </c>
      <c r="H446" s="7" t="s">
        <v>817</v>
      </c>
      <c r="I446" s="7" t="s">
        <v>52</v>
      </c>
      <c r="J446" s="7" t="s">
        <v>213</v>
      </c>
      <c r="K446" s="7" t="s">
        <v>994</v>
      </c>
      <c r="L446" s="12">
        <v>1</v>
      </c>
      <c r="M446" s="7" t="s">
        <v>1896</v>
      </c>
    </row>
    <row r="447" spans="2:13" ht="37.5" customHeight="1" x14ac:dyDescent="0.35">
      <c r="B447" s="11">
        <v>40</v>
      </c>
      <c r="C447" s="5" t="s">
        <v>2373</v>
      </c>
      <c r="D447" s="11">
        <v>66</v>
      </c>
      <c r="E447" s="5" t="s">
        <v>2586</v>
      </c>
      <c r="F447" s="5" t="s">
        <v>2587</v>
      </c>
      <c r="G447" s="5" t="s">
        <v>2588</v>
      </c>
      <c r="H447" s="5" t="s">
        <v>817</v>
      </c>
      <c r="I447" s="5" t="s">
        <v>52</v>
      </c>
      <c r="J447" s="5" t="s">
        <v>213</v>
      </c>
      <c r="K447" s="5" t="s">
        <v>994</v>
      </c>
      <c r="L447" s="11">
        <v>1</v>
      </c>
      <c r="M447" s="5" t="s">
        <v>1896</v>
      </c>
    </row>
    <row r="448" spans="2:13" ht="37.5" customHeight="1" x14ac:dyDescent="0.35">
      <c r="B448" s="12">
        <v>40</v>
      </c>
      <c r="C448" s="7" t="s">
        <v>2373</v>
      </c>
      <c r="D448" s="12">
        <v>67</v>
      </c>
      <c r="E448" s="7" t="s">
        <v>2589</v>
      </c>
      <c r="F448" s="7" t="s">
        <v>2590</v>
      </c>
      <c r="G448" s="7" t="s">
        <v>880</v>
      </c>
      <c r="H448" s="7" t="s">
        <v>817</v>
      </c>
      <c r="I448" s="7" t="s">
        <v>52</v>
      </c>
      <c r="J448" s="7" t="s">
        <v>213</v>
      </c>
      <c r="K448" s="7" t="s">
        <v>994</v>
      </c>
      <c r="L448" s="12">
        <v>1</v>
      </c>
      <c r="M448" s="7" t="s">
        <v>1896</v>
      </c>
    </row>
    <row r="449" spans="2:13" ht="37.5" customHeight="1" x14ac:dyDescent="0.35">
      <c r="B449" s="11">
        <v>40</v>
      </c>
      <c r="C449" s="5" t="s">
        <v>2373</v>
      </c>
      <c r="D449" s="11">
        <v>68</v>
      </c>
      <c r="E449" s="5" t="s">
        <v>2591</v>
      </c>
      <c r="F449" s="5" t="s">
        <v>2592</v>
      </c>
      <c r="G449" s="5" t="s">
        <v>192</v>
      </c>
      <c r="H449" s="5" t="s">
        <v>2225</v>
      </c>
      <c r="I449" s="5" t="s">
        <v>52</v>
      </c>
      <c r="J449" s="5" t="s">
        <v>213</v>
      </c>
      <c r="K449" s="5" t="s">
        <v>2265</v>
      </c>
      <c r="L449" s="11">
        <v>1</v>
      </c>
      <c r="M449" s="5" t="s">
        <v>1896</v>
      </c>
    </row>
    <row r="450" spans="2:13" ht="37.5" customHeight="1" x14ac:dyDescent="0.35">
      <c r="B450" s="12">
        <v>40</v>
      </c>
      <c r="C450" s="7" t="s">
        <v>2373</v>
      </c>
      <c r="D450" s="12">
        <v>69</v>
      </c>
      <c r="E450" s="7" t="s">
        <v>2593</v>
      </c>
      <c r="F450" s="7" t="s">
        <v>2594</v>
      </c>
      <c r="G450" s="7" t="s">
        <v>27</v>
      </c>
      <c r="H450" s="7" t="s">
        <v>1039</v>
      </c>
      <c r="I450" s="7" t="s">
        <v>2281</v>
      </c>
      <c r="J450" s="7" t="s">
        <v>2595</v>
      </c>
      <c r="K450" s="7" t="s">
        <v>2596</v>
      </c>
      <c r="L450" s="12">
        <v>2</v>
      </c>
      <c r="M450" s="7" t="s">
        <v>1896</v>
      </c>
    </row>
    <row r="451" spans="2:13" ht="37.5" customHeight="1" x14ac:dyDescent="0.35">
      <c r="B451" s="11">
        <v>40</v>
      </c>
      <c r="C451" s="5" t="s">
        <v>2373</v>
      </c>
      <c r="D451" s="11">
        <v>70</v>
      </c>
      <c r="E451" s="5" t="s">
        <v>2597</v>
      </c>
      <c r="F451" s="5" t="s">
        <v>2598</v>
      </c>
      <c r="G451" s="5" t="s">
        <v>842</v>
      </c>
      <c r="H451" s="5" t="s">
        <v>40</v>
      </c>
      <c r="I451" s="5" t="s">
        <v>56</v>
      </c>
      <c r="J451" s="5" t="s">
        <v>213</v>
      </c>
      <c r="K451" s="5" t="s">
        <v>1124</v>
      </c>
      <c r="L451" s="11">
        <v>1</v>
      </c>
      <c r="M451" s="5" t="s">
        <v>1896</v>
      </c>
    </row>
    <row r="452" spans="2:13" ht="37.5" customHeight="1" x14ac:dyDescent="0.35">
      <c r="B452" s="12">
        <v>40</v>
      </c>
      <c r="C452" s="7" t="s">
        <v>2373</v>
      </c>
      <c r="D452" s="12">
        <v>71</v>
      </c>
      <c r="E452" s="7" t="s">
        <v>2599</v>
      </c>
      <c r="F452" s="7" t="s">
        <v>2600</v>
      </c>
      <c r="G452" s="7" t="s">
        <v>698</v>
      </c>
      <c r="H452" s="7" t="s">
        <v>40</v>
      </c>
      <c r="I452" s="7" t="s">
        <v>56</v>
      </c>
      <c r="J452" s="7" t="s">
        <v>213</v>
      </c>
      <c r="K452" s="7" t="s">
        <v>1124</v>
      </c>
      <c r="L452" s="12">
        <v>1</v>
      </c>
      <c r="M452" s="7" t="s">
        <v>1896</v>
      </c>
    </row>
    <row r="453" spans="2:13" ht="37.5" customHeight="1" x14ac:dyDescent="0.35">
      <c r="B453" s="11">
        <v>40</v>
      </c>
      <c r="C453" s="5" t="s">
        <v>2373</v>
      </c>
      <c r="D453" s="11">
        <v>72</v>
      </c>
      <c r="E453" s="5" t="s">
        <v>2601</v>
      </c>
      <c r="F453" s="5" t="s">
        <v>2602</v>
      </c>
      <c r="G453" s="5" t="s">
        <v>2603</v>
      </c>
      <c r="H453" s="5" t="s">
        <v>1046</v>
      </c>
      <c r="I453" s="5" t="s">
        <v>1047</v>
      </c>
      <c r="J453" s="5" t="s">
        <v>213</v>
      </c>
      <c r="K453" s="5" t="s">
        <v>1048</v>
      </c>
      <c r="L453" s="11">
        <v>1</v>
      </c>
      <c r="M453" s="5" t="s">
        <v>1896</v>
      </c>
    </row>
    <row r="454" spans="2:13" ht="37.5" customHeight="1" x14ac:dyDescent="0.35">
      <c r="B454" s="12">
        <v>40</v>
      </c>
      <c r="C454" s="7" t="s">
        <v>2373</v>
      </c>
      <c r="D454" s="12">
        <v>73</v>
      </c>
      <c r="E454" s="7" t="s">
        <v>2604</v>
      </c>
      <c r="F454" s="7" t="s">
        <v>2605</v>
      </c>
      <c r="G454" s="7" t="s">
        <v>31</v>
      </c>
      <c r="H454" s="7" t="s">
        <v>817</v>
      </c>
      <c r="I454" s="7" t="s">
        <v>52</v>
      </c>
      <c r="J454" s="7" t="s">
        <v>213</v>
      </c>
      <c r="K454" s="7" t="s">
        <v>994</v>
      </c>
      <c r="L454" s="12">
        <v>1</v>
      </c>
      <c r="M454" s="7" t="s">
        <v>1896</v>
      </c>
    </row>
    <row r="455" spans="2:13" ht="37.5" customHeight="1" x14ac:dyDescent="0.35">
      <c r="B455" s="11">
        <v>40</v>
      </c>
      <c r="C455" s="5" t="s">
        <v>2373</v>
      </c>
      <c r="D455" s="11">
        <v>74</v>
      </c>
      <c r="E455" s="5" t="s">
        <v>2606</v>
      </c>
      <c r="F455" s="5" t="s">
        <v>2607</v>
      </c>
      <c r="G455" s="5" t="s">
        <v>2608</v>
      </c>
      <c r="H455" s="5" t="s">
        <v>37</v>
      </c>
      <c r="I455" s="5" t="s">
        <v>2609</v>
      </c>
      <c r="J455" s="5" t="s">
        <v>1107</v>
      </c>
      <c r="K455" s="5" t="s">
        <v>2610</v>
      </c>
      <c r="L455" s="11">
        <v>1</v>
      </c>
      <c r="M455" s="5" t="s">
        <v>1896</v>
      </c>
    </row>
    <row r="456" spans="2:13" ht="37.5" customHeight="1" x14ac:dyDescent="0.35">
      <c r="B456" s="12">
        <v>40</v>
      </c>
      <c r="C456" s="7" t="s">
        <v>2373</v>
      </c>
      <c r="D456" s="12">
        <v>75</v>
      </c>
      <c r="E456" s="7" t="s">
        <v>2611</v>
      </c>
      <c r="F456" s="7" t="s">
        <v>2612</v>
      </c>
      <c r="G456" s="7" t="s">
        <v>232</v>
      </c>
      <c r="H456" s="7" t="s">
        <v>40</v>
      </c>
      <c r="I456" s="7" t="s">
        <v>56</v>
      </c>
      <c r="J456" s="7" t="s">
        <v>213</v>
      </c>
      <c r="K456" s="7" t="s">
        <v>1124</v>
      </c>
      <c r="L456" s="12">
        <v>1</v>
      </c>
      <c r="M456" s="7" t="s">
        <v>1896</v>
      </c>
    </row>
    <row r="457" spans="2:13" ht="21.75" customHeight="1" x14ac:dyDescent="0.35">
      <c r="B457" s="11">
        <v>40</v>
      </c>
      <c r="C457" s="5" t="s">
        <v>2373</v>
      </c>
      <c r="D457" s="11">
        <v>76</v>
      </c>
      <c r="E457" s="5" t="s">
        <v>2613</v>
      </c>
      <c r="F457" s="5" t="s">
        <v>2614</v>
      </c>
      <c r="G457" s="5" t="s">
        <v>1164</v>
      </c>
      <c r="H457" s="5" t="s">
        <v>37</v>
      </c>
      <c r="I457" s="5" t="s">
        <v>1264</v>
      </c>
      <c r="J457" s="5" t="s">
        <v>1107</v>
      </c>
      <c r="K457" s="5" t="s">
        <v>1265</v>
      </c>
      <c r="L457" s="11">
        <v>1</v>
      </c>
      <c r="M457" s="5" t="s">
        <v>1896</v>
      </c>
    </row>
    <row r="458" spans="2:13" ht="21.75" customHeight="1" x14ac:dyDescent="0.35">
      <c r="B458" s="12">
        <v>40</v>
      </c>
      <c r="C458" s="7" t="s">
        <v>2373</v>
      </c>
      <c r="D458" s="12">
        <v>77</v>
      </c>
      <c r="E458" s="7" t="s">
        <v>2615</v>
      </c>
      <c r="F458" s="7" t="s">
        <v>2616</v>
      </c>
      <c r="G458" s="7" t="s">
        <v>1263</v>
      </c>
      <c r="H458" s="7" t="s">
        <v>36</v>
      </c>
      <c r="I458" s="7" t="s">
        <v>1259</v>
      </c>
      <c r="J458" s="7" t="s">
        <v>2617</v>
      </c>
      <c r="K458" s="7" t="s">
        <v>2618</v>
      </c>
      <c r="L458" s="12">
        <v>1</v>
      </c>
      <c r="M458" s="7" t="s">
        <v>1896</v>
      </c>
    </row>
    <row r="459" spans="2:13" ht="52.5" customHeight="1" x14ac:dyDescent="0.35">
      <c r="B459" s="11">
        <v>40</v>
      </c>
      <c r="C459" s="5" t="s">
        <v>2373</v>
      </c>
      <c r="D459" s="11">
        <v>78</v>
      </c>
      <c r="E459" s="5" t="s">
        <v>2619</v>
      </c>
      <c r="F459" s="5" t="s">
        <v>2620</v>
      </c>
      <c r="G459" s="5" t="s">
        <v>2621</v>
      </c>
      <c r="H459" s="5" t="s">
        <v>2622</v>
      </c>
      <c r="I459" s="5" t="s">
        <v>1052</v>
      </c>
      <c r="J459" s="5" t="s">
        <v>213</v>
      </c>
      <c r="K459" s="5" t="s">
        <v>2623</v>
      </c>
      <c r="L459" s="11">
        <v>2</v>
      </c>
      <c r="M459" s="5" t="s">
        <v>1896</v>
      </c>
    </row>
    <row r="460" spans="2:13" ht="37.5" customHeight="1" x14ac:dyDescent="0.35">
      <c r="B460" s="12">
        <v>40</v>
      </c>
      <c r="C460" s="7" t="s">
        <v>2373</v>
      </c>
      <c r="D460" s="12">
        <v>79</v>
      </c>
      <c r="E460" s="7" t="s">
        <v>2624</v>
      </c>
      <c r="F460" s="7" t="s">
        <v>2625</v>
      </c>
      <c r="G460" s="7" t="s">
        <v>959</v>
      </c>
      <c r="H460" s="7" t="s">
        <v>817</v>
      </c>
      <c r="I460" s="7" t="s">
        <v>52</v>
      </c>
      <c r="J460" s="7" t="s">
        <v>213</v>
      </c>
      <c r="K460" s="7" t="s">
        <v>994</v>
      </c>
      <c r="L460" s="12">
        <v>1</v>
      </c>
      <c r="M460" s="7" t="s">
        <v>1896</v>
      </c>
    </row>
    <row r="461" spans="2:13" ht="37.5" customHeight="1" x14ac:dyDescent="0.35">
      <c r="B461" s="11">
        <v>40</v>
      </c>
      <c r="C461" s="5" t="s">
        <v>2373</v>
      </c>
      <c r="D461" s="11">
        <v>80</v>
      </c>
      <c r="E461" s="5" t="s">
        <v>2626</v>
      </c>
      <c r="F461" s="5" t="s">
        <v>2627</v>
      </c>
      <c r="G461" s="5" t="s">
        <v>752</v>
      </c>
      <c r="H461" s="5" t="s">
        <v>817</v>
      </c>
      <c r="I461" s="5" t="s">
        <v>52</v>
      </c>
      <c r="J461" s="5" t="s">
        <v>213</v>
      </c>
      <c r="K461" s="5" t="s">
        <v>994</v>
      </c>
      <c r="L461" s="11">
        <v>1</v>
      </c>
      <c r="M461" s="5" t="s">
        <v>1896</v>
      </c>
    </row>
    <row r="462" spans="2:13" ht="21.75" customHeight="1" x14ac:dyDescent="0.35">
      <c r="B462" s="12">
        <v>40</v>
      </c>
      <c r="C462" s="7" t="s">
        <v>2373</v>
      </c>
      <c r="D462" s="12">
        <v>81</v>
      </c>
      <c r="E462" s="7" t="s">
        <v>2628</v>
      </c>
      <c r="F462" s="7" t="s">
        <v>2629</v>
      </c>
      <c r="G462" s="7" t="s">
        <v>1784</v>
      </c>
      <c r="H462" s="7" t="s">
        <v>40</v>
      </c>
      <c r="I462" s="7" t="s">
        <v>56</v>
      </c>
      <c r="J462" s="7" t="s">
        <v>213</v>
      </c>
      <c r="K462" s="7" t="s">
        <v>1124</v>
      </c>
      <c r="L462" s="12">
        <v>1</v>
      </c>
      <c r="M462" s="7" t="s">
        <v>1896</v>
      </c>
    </row>
    <row r="463" spans="2:13" ht="52.5" customHeight="1" x14ac:dyDescent="0.35">
      <c r="B463" s="11">
        <v>40</v>
      </c>
      <c r="C463" s="5" t="s">
        <v>2373</v>
      </c>
      <c r="D463" s="11">
        <v>82</v>
      </c>
      <c r="E463" s="5" t="s">
        <v>2630</v>
      </c>
      <c r="F463" s="5" t="s">
        <v>2631</v>
      </c>
      <c r="G463" s="5" t="s">
        <v>1196</v>
      </c>
      <c r="H463" s="5" t="s">
        <v>2556</v>
      </c>
      <c r="I463" s="5" t="s">
        <v>2632</v>
      </c>
      <c r="J463" s="5" t="s">
        <v>2633</v>
      </c>
      <c r="K463" s="5" t="s">
        <v>2634</v>
      </c>
      <c r="L463" s="11">
        <v>2</v>
      </c>
      <c r="M463" s="5" t="s">
        <v>1896</v>
      </c>
    </row>
    <row r="464" spans="2:13" ht="37.5" customHeight="1" x14ac:dyDescent="0.35">
      <c r="B464" s="12">
        <v>40</v>
      </c>
      <c r="C464" s="7" t="s">
        <v>2373</v>
      </c>
      <c r="D464" s="12">
        <v>83</v>
      </c>
      <c r="E464" s="7" t="s">
        <v>2635</v>
      </c>
      <c r="F464" s="7" t="s">
        <v>2636</v>
      </c>
      <c r="G464" s="7" t="s">
        <v>2637</v>
      </c>
      <c r="H464" s="7" t="s">
        <v>37</v>
      </c>
      <c r="I464" s="7" t="s">
        <v>998</v>
      </c>
      <c r="J464" s="7" t="s">
        <v>177</v>
      </c>
      <c r="K464" s="7" t="s">
        <v>2262</v>
      </c>
      <c r="L464" s="12">
        <v>1</v>
      </c>
      <c r="M464" s="7" t="s">
        <v>1896</v>
      </c>
    </row>
    <row r="465" spans="2:13" ht="52.5" customHeight="1" x14ac:dyDescent="0.35">
      <c r="B465" s="11">
        <v>40</v>
      </c>
      <c r="C465" s="5" t="s">
        <v>2373</v>
      </c>
      <c r="D465" s="11">
        <v>84</v>
      </c>
      <c r="E465" s="5" t="s">
        <v>2638</v>
      </c>
      <c r="F465" s="5" t="s">
        <v>2639</v>
      </c>
      <c r="G465" s="5" t="s">
        <v>831</v>
      </c>
      <c r="H465" s="5" t="s">
        <v>2556</v>
      </c>
      <c r="I465" s="5" t="s">
        <v>1274</v>
      </c>
      <c r="J465" s="5" t="s">
        <v>1112</v>
      </c>
      <c r="K465" s="5" t="s">
        <v>2640</v>
      </c>
      <c r="L465" s="11">
        <v>2</v>
      </c>
      <c r="M465" s="5" t="s">
        <v>1896</v>
      </c>
    </row>
    <row r="466" spans="2:13" ht="21.75" customHeight="1" x14ac:dyDescent="0.35">
      <c r="B466" s="12">
        <v>40</v>
      </c>
      <c r="C466" s="7" t="s">
        <v>2373</v>
      </c>
      <c r="D466" s="12">
        <v>85</v>
      </c>
      <c r="E466" s="7" t="s">
        <v>2641</v>
      </c>
      <c r="F466" s="7" t="s">
        <v>2642</v>
      </c>
      <c r="G466" s="7" t="s">
        <v>2261</v>
      </c>
      <c r="H466" s="7" t="s">
        <v>37</v>
      </c>
      <c r="I466" s="7" t="s">
        <v>998</v>
      </c>
      <c r="J466" s="7" t="s">
        <v>1107</v>
      </c>
      <c r="K466" s="7" t="s">
        <v>1140</v>
      </c>
      <c r="L466" s="12">
        <v>1</v>
      </c>
      <c r="M466" s="7" t="s">
        <v>1896</v>
      </c>
    </row>
    <row r="467" spans="2:13" ht="37.5" customHeight="1" x14ac:dyDescent="0.35">
      <c r="B467" s="11">
        <v>40</v>
      </c>
      <c r="C467" s="5" t="s">
        <v>2373</v>
      </c>
      <c r="D467" s="11">
        <v>86</v>
      </c>
      <c r="E467" s="5" t="s">
        <v>2643</v>
      </c>
      <c r="F467" s="5" t="s">
        <v>2644</v>
      </c>
      <c r="G467" s="5" t="s">
        <v>29</v>
      </c>
      <c r="H467" s="5" t="s">
        <v>2225</v>
      </c>
      <c r="I467" s="5" t="s">
        <v>52</v>
      </c>
      <c r="J467" s="5" t="s">
        <v>213</v>
      </c>
      <c r="K467" s="5" t="s">
        <v>2265</v>
      </c>
      <c r="L467" s="11">
        <v>1</v>
      </c>
      <c r="M467" s="5" t="s">
        <v>1896</v>
      </c>
    </row>
    <row r="468" spans="2:13" ht="37.5" customHeight="1" x14ac:dyDescent="0.35">
      <c r="B468" s="12">
        <v>40</v>
      </c>
      <c r="C468" s="7" t="s">
        <v>2373</v>
      </c>
      <c r="D468" s="12">
        <v>87</v>
      </c>
      <c r="E468" s="7" t="s">
        <v>2645</v>
      </c>
      <c r="F468" s="7" t="s">
        <v>2646</v>
      </c>
      <c r="G468" s="7" t="s">
        <v>24</v>
      </c>
      <c r="H468" s="7" t="s">
        <v>37</v>
      </c>
      <c r="I468" s="7" t="s">
        <v>998</v>
      </c>
      <c r="J468" s="7" t="s">
        <v>1107</v>
      </c>
      <c r="K468" s="7" t="s">
        <v>1140</v>
      </c>
      <c r="L468" s="12">
        <v>1</v>
      </c>
      <c r="M468" s="7" t="s">
        <v>1896</v>
      </c>
    </row>
    <row r="469" spans="2:13" ht="21.75" customHeight="1" x14ac:dyDescent="0.35">
      <c r="B469" s="11">
        <v>40</v>
      </c>
      <c r="C469" s="5" t="s">
        <v>2373</v>
      </c>
      <c r="D469" s="11">
        <v>88</v>
      </c>
      <c r="E469" s="5" t="s">
        <v>2647</v>
      </c>
      <c r="F469" s="5" t="s">
        <v>2648</v>
      </c>
      <c r="G469" s="5" t="s">
        <v>1803</v>
      </c>
      <c r="H469" s="5" t="s">
        <v>37</v>
      </c>
      <c r="I469" s="5" t="s">
        <v>998</v>
      </c>
      <c r="J469" s="5" t="s">
        <v>1107</v>
      </c>
      <c r="K469" s="5" t="s">
        <v>1140</v>
      </c>
      <c r="L469" s="11">
        <v>1</v>
      </c>
      <c r="M469" s="5" t="s">
        <v>1896</v>
      </c>
    </row>
    <row r="470" spans="2:13" ht="37.5" customHeight="1" x14ac:dyDescent="0.35">
      <c r="B470" s="12">
        <v>40</v>
      </c>
      <c r="C470" s="7" t="s">
        <v>2373</v>
      </c>
      <c r="D470" s="12">
        <v>89</v>
      </c>
      <c r="E470" s="7" t="s">
        <v>2649</v>
      </c>
      <c r="F470" s="7" t="s">
        <v>2650</v>
      </c>
      <c r="G470" s="7" t="s">
        <v>1793</v>
      </c>
      <c r="H470" s="7" t="s">
        <v>37</v>
      </c>
      <c r="I470" s="7" t="s">
        <v>998</v>
      </c>
      <c r="J470" s="7" t="s">
        <v>1107</v>
      </c>
      <c r="K470" s="7" t="s">
        <v>1140</v>
      </c>
      <c r="L470" s="12">
        <v>1</v>
      </c>
      <c r="M470" s="7" t="s">
        <v>1896</v>
      </c>
    </row>
    <row r="471" spans="2:13" ht="37.5" customHeight="1" x14ac:dyDescent="0.35">
      <c r="B471" s="11">
        <v>40</v>
      </c>
      <c r="C471" s="5" t="s">
        <v>2373</v>
      </c>
      <c r="D471" s="11">
        <v>90</v>
      </c>
      <c r="E471" s="5" t="s">
        <v>2651</v>
      </c>
      <c r="F471" s="5" t="s">
        <v>2652</v>
      </c>
      <c r="G471" s="5" t="s">
        <v>176</v>
      </c>
      <c r="H471" s="5" t="s">
        <v>40</v>
      </c>
      <c r="I471" s="5" t="s">
        <v>56</v>
      </c>
      <c r="J471" s="5" t="s">
        <v>213</v>
      </c>
      <c r="K471" s="5" t="s">
        <v>1124</v>
      </c>
      <c r="L471" s="11">
        <v>1</v>
      </c>
      <c r="M471" s="5" t="s">
        <v>1896</v>
      </c>
    </row>
    <row r="472" spans="2:13" ht="21.75" customHeight="1" x14ac:dyDescent="0.35">
      <c r="B472" s="12">
        <v>40</v>
      </c>
      <c r="C472" s="7" t="s">
        <v>2373</v>
      </c>
      <c r="D472" s="12">
        <v>91</v>
      </c>
      <c r="E472" s="7" t="s">
        <v>2653</v>
      </c>
      <c r="F472" s="7" t="s">
        <v>2654</v>
      </c>
      <c r="G472" s="7" t="s">
        <v>497</v>
      </c>
      <c r="H472" s="7" t="s">
        <v>40</v>
      </c>
      <c r="I472" s="7" t="s">
        <v>56</v>
      </c>
      <c r="J472" s="7" t="s">
        <v>213</v>
      </c>
      <c r="K472" s="7" t="s">
        <v>1124</v>
      </c>
      <c r="L472" s="12">
        <v>1</v>
      </c>
      <c r="M472" s="7" t="s">
        <v>1896</v>
      </c>
    </row>
    <row r="473" spans="2:13" ht="37.5" customHeight="1" x14ac:dyDescent="0.35">
      <c r="B473" s="11">
        <v>40</v>
      </c>
      <c r="C473" s="5" t="s">
        <v>2373</v>
      </c>
      <c r="D473" s="11">
        <v>92</v>
      </c>
      <c r="E473" s="5" t="s">
        <v>2655</v>
      </c>
      <c r="F473" s="5" t="s">
        <v>2656</v>
      </c>
      <c r="G473" s="5" t="s">
        <v>212</v>
      </c>
      <c r="H473" s="5" t="s">
        <v>817</v>
      </c>
      <c r="I473" s="5" t="s">
        <v>52</v>
      </c>
      <c r="J473" s="5" t="s">
        <v>233</v>
      </c>
      <c r="K473" s="5" t="s">
        <v>990</v>
      </c>
      <c r="L473" s="11">
        <v>1</v>
      </c>
      <c r="M473" s="5" t="s">
        <v>1896</v>
      </c>
    </row>
    <row r="474" spans="2:13" ht="52.5" customHeight="1" x14ac:dyDescent="0.35">
      <c r="B474" s="12">
        <v>41</v>
      </c>
      <c r="C474" s="7" t="s">
        <v>2657</v>
      </c>
      <c r="D474" s="12">
        <v>1</v>
      </c>
      <c r="E474" s="7" t="s">
        <v>2658</v>
      </c>
      <c r="F474" s="7" t="s">
        <v>2659</v>
      </c>
      <c r="G474" s="7" t="s">
        <v>778</v>
      </c>
      <c r="H474" s="7" t="s">
        <v>1087</v>
      </c>
      <c r="I474" s="7" t="s">
        <v>2660</v>
      </c>
      <c r="J474" s="7" t="s">
        <v>2163</v>
      </c>
      <c r="K474" s="7" t="s">
        <v>2661</v>
      </c>
      <c r="L474" s="12">
        <v>2</v>
      </c>
      <c r="M474" s="7" t="s">
        <v>2662</v>
      </c>
    </row>
    <row r="475" spans="2:13" ht="52.5" customHeight="1" x14ac:dyDescent="0.35">
      <c r="B475" s="11">
        <v>41</v>
      </c>
      <c r="C475" s="5" t="s">
        <v>2657</v>
      </c>
      <c r="D475" s="11">
        <v>2</v>
      </c>
      <c r="E475" s="5" t="s">
        <v>2663</v>
      </c>
      <c r="F475" s="5" t="s">
        <v>2664</v>
      </c>
      <c r="G475" s="5" t="s">
        <v>2665</v>
      </c>
      <c r="H475" s="5" t="s">
        <v>2666</v>
      </c>
      <c r="I475" s="5" t="s">
        <v>2667</v>
      </c>
      <c r="J475" s="5" t="s">
        <v>2668</v>
      </c>
      <c r="K475" s="5" t="s">
        <v>2669</v>
      </c>
      <c r="L475" s="11">
        <v>3</v>
      </c>
      <c r="M475" s="5" t="s">
        <v>2662</v>
      </c>
    </row>
    <row r="476" spans="2:13" ht="52.5" customHeight="1" x14ac:dyDescent="0.35">
      <c r="B476" s="12">
        <v>41</v>
      </c>
      <c r="C476" s="7" t="s">
        <v>2657</v>
      </c>
      <c r="D476" s="12">
        <v>3</v>
      </c>
      <c r="E476" s="7" t="s">
        <v>2670</v>
      </c>
      <c r="F476" s="7" t="s">
        <v>2671</v>
      </c>
      <c r="G476" s="7" t="s">
        <v>2672</v>
      </c>
      <c r="H476" s="7" t="s">
        <v>36</v>
      </c>
      <c r="I476" s="7" t="s">
        <v>2673</v>
      </c>
      <c r="J476" s="7" t="s">
        <v>194</v>
      </c>
      <c r="K476" s="7" t="s">
        <v>2674</v>
      </c>
      <c r="L476" s="12">
        <v>1</v>
      </c>
      <c r="M476" s="7" t="s">
        <v>2662</v>
      </c>
    </row>
    <row r="477" spans="2:13" ht="52.5" customHeight="1" x14ac:dyDescent="0.35">
      <c r="B477" s="11">
        <v>41</v>
      </c>
      <c r="C477" s="5" t="s">
        <v>2657</v>
      </c>
      <c r="D477" s="11">
        <v>4</v>
      </c>
      <c r="E477" s="5" t="s">
        <v>2675</v>
      </c>
      <c r="F477" s="5" t="s">
        <v>2676</v>
      </c>
      <c r="G477" s="5" t="s">
        <v>1710</v>
      </c>
      <c r="H477" s="5" t="s">
        <v>40</v>
      </c>
      <c r="I477" s="5" t="s">
        <v>56</v>
      </c>
      <c r="J477" s="5" t="s">
        <v>213</v>
      </c>
      <c r="K477" s="5" t="s">
        <v>1124</v>
      </c>
      <c r="L477" s="11">
        <v>1</v>
      </c>
      <c r="M477" s="5" t="s">
        <v>2662</v>
      </c>
    </row>
    <row r="478" spans="2:13" ht="52.5" customHeight="1" x14ac:dyDescent="0.35">
      <c r="B478" s="12">
        <v>41</v>
      </c>
      <c r="C478" s="7" t="s">
        <v>2657</v>
      </c>
      <c r="D478" s="12">
        <v>5</v>
      </c>
      <c r="E478" s="7" t="s">
        <v>2677</v>
      </c>
      <c r="F478" s="7" t="s">
        <v>2678</v>
      </c>
      <c r="G478" s="7" t="s">
        <v>1667</v>
      </c>
      <c r="H478" s="7" t="s">
        <v>40</v>
      </c>
      <c r="I478" s="7" t="s">
        <v>56</v>
      </c>
      <c r="J478" s="7" t="s">
        <v>213</v>
      </c>
      <c r="K478" s="7" t="s">
        <v>1124</v>
      </c>
      <c r="L478" s="12">
        <v>1</v>
      </c>
      <c r="M478" s="7" t="s">
        <v>2662</v>
      </c>
    </row>
    <row r="479" spans="2:13" ht="52.5" customHeight="1" x14ac:dyDescent="0.35">
      <c r="B479" s="11">
        <v>41</v>
      </c>
      <c r="C479" s="5" t="s">
        <v>2657</v>
      </c>
      <c r="D479" s="11">
        <v>6</v>
      </c>
      <c r="E479" s="5" t="s">
        <v>2679</v>
      </c>
      <c r="F479" s="5" t="s">
        <v>2680</v>
      </c>
      <c r="G479" s="5" t="s">
        <v>927</v>
      </c>
      <c r="H479" s="5" t="s">
        <v>2225</v>
      </c>
      <c r="I479" s="5" t="s">
        <v>52</v>
      </c>
      <c r="J479" s="5" t="s">
        <v>213</v>
      </c>
      <c r="K479" s="5" t="s">
        <v>2265</v>
      </c>
      <c r="L479" s="11">
        <v>1</v>
      </c>
      <c r="M479" s="5" t="s">
        <v>2662</v>
      </c>
    </row>
    <row r="480" spans="2:13" ht="52.5" customHeight="1" x14ac:dyDescent="0.35">
      <c r="B480" s="12">
        <v>41</v>
      </c>
      <c r="C480" s="7" t="s">
        <v>2657</v>
      </c>
      <c r="D480" s="12">
        <v>7</v>
      </c>
      <c r="E480" s="7" t="s">
        <v>2681</v>
      </c>
      <c r="F480" s="7" t="s">
        <v>2682</v>
      </c>
      <c r="G480" s="7" t="s">
        <v>395</v>
      </c>
      <c r="H480" s="7" t="s">
        <v>37</v>
      </c>
      <c r="I480" s="7" t="s">
        <v>998</v>
      </c>
      <c r="J480" s="7" t="s">
        <v>1107</v>
      </c>
      <c r="K480" s="7" t="s">
        <v>1140</v>
      </c>
      <c r="L480" s="12">
        <v>1</v>
      </c>
      <c r="M480" s="7" t="s">
        <v>2662</v>
      </c>
    </row>
    <row r="481" spans="2:13" ht="52.5" customHeight="1" x14ac:dyDescent="0.35">
      <c r="B481" s="11">
        <v>41</v>
      </c>
      <c r="C481" s="5" t="s">
        <v>2657</v>
      </c>
      <c r="D481" s="11">
        <v>8</v>
      </c>
      <c r="E481" s="5" t="s">
        <v>2683</v>
      </c>
      <c r="F481" s="5" t="s">
        <v>2684</v>
      </c>
      <c r="G481" s="5" t="s">
        <v>2685</v>
      </c>
      <c r="H481" s="5" t="s">
        <v>152</v>
      </c>
      <c r="I481" s="5" t="s">
        <v>56</v>
      </c>
      <c r="J481" s="5" t="s">
        <v>233</v>
      </c>
      <c r="K481" s="5" t="s">
        <v>2686</v>
      </c>
      <c r="L481" s="11">
        <v>1</v>
      </c>
      <c r="M481" s="5" t="s">
        <v>2662</v>
      </c>
    </row>
    <row r="482" spans="2:13" ht="52.5" customHeight="1" x14ac:dyDescent="0.35">
      <c r="B482" s="12">
        <v>41</v>
      </c>
      <c r="C482" s="7" t="s">
        <v>2657</v>
      </c>
      <c r="D482" s="12">
        <v>9</v>
      </c>
      <c r="E482" s="7" t="s">
        <v>2687</v>
      </c>
      <c r="F482" s="7" t="s">
        <v>2688</v>
      </c>
      <c r="G482" s="7" t="s">
        <v>1730</v>
      </c>
      <c r="H482" s="7" t="s">
        <v>306</v>
      </c>
      <c r="I482" s="7" t="s">
        <v>1967</v>
      </c>
      <c r="J482" s="7" t="s">
        <v>2689</v>
      </c>
      <c r="K482" s="7" t="s">
        <v>2690</v>
      </c>
      <c r="L482" s="12">
        <v>2</v>
      </c>
      <c r="M482" s="7" t="s">
        <v>2662</v>
      </c>
    </row>
    <row r="483" spans="2:13" ht="52.5" customHeight="1" x14ac:dyDescent="0.35">
      <c r="B483" s="11">
        <v>41</v>
      </c>
      <c r="C483" s="5" t="s">
        <v>2657</v>
      </c>
      <c r="D483" s="11">
        <v>10</v>
      </c>
      <c r="E483" s="5" t="s">
        <v>2691</v>
      </c>
      <c r="F483" s="5" t="s">
        <v>2692</v>
      </c>
      <c r="G483" s="5" t="s">
        <v>26</v>
      </c>
      <c r="H483" s="5" t="s">
        <v>2225</v>
      </c>
      <c r="I483" s="5" t="s">
        <v>52</v>
      </c>
      <c r="J483" s="5" t="s">
        <v>213</v>
      </c>
      <c r="K483" s="5" t="s">
        <v>2265</v>
      </c>
      <c r="L483" s="11">
        <v>1</v>
      </c>
      <c r="M483" s="5" t="s">
        <v>2662</v>
      </c>
    </row>
    <row r="484" spans="2:13" ht="52.5" customHeight="1" x14ac:dyDescent="0.35">
      <c r="B484" s="12">
        <v>41</v>
      </c>
      <c r="C484" s="7" t="s">
        <v>2657</v>
      </c>
      <c r="D484" s="12">
        <v>11</v>
      </c>
      <c r="E484" s="7" t="s">
        <v>2693</v>
      </c>
      <c r="F484" s="7" t="s">
        <v>2694</v>
      </c>
      <c r="G484" s="7" t="s">
        <v>402</v>
      </c>
      <c r="H484" s="7" t="s">
        <v>37</v>
      </c>
      <c r="I484" s="7" t="s">
        <v>1248</v>
      </c>
      <c r="J484" s="7" t="s">
        <v>194</v>
      </c>
      <c r="K484" s="7" t="s">
        <v>2695</v>
      </c>
      <c r="L484" s="12">
        <v>1</v>
      </c>
      <c r="M484" s="7" t="s">
        <v>2662</v>
      </c>
    </row>
    <row r="485" spans="2:13" ht="37.5" customHeight="1" x14ac:dyDescent="0.35">
      <c r="B485" s="11">
        <v>42</v>
      </c>
      <c r="C485" s="5" t="s">
        <v>2696</v>
      </c>
      <c r="D485" s="11">
        <v>1</v>
      </c>
      <c r="E485" s="5" t="s">
        <v>2697</v>
      </c>
      <c r="F485" s="5" t="s">
        <v>2698</v>
      </c>
      <c r="G485" s="5" t="s">
        <v>2603</v>
      </c>
      <c r="H485" s="5" t="s">
        <v>37</v>
      </c>
      <c r="I485" s="5" t="s">
        <v>2699</v>
      </c>
      <c r="J485" s="5" t="s">
        <v>1579</v>
      </c>
      <c r="K485" s="5" t="s">
        <v>2700</v>
      </c>
      <c r="L485" s="11">
        <v>1</v>
      </c>
      <c r="M485" s="5" t="s">
        <v>2662</v>
      </c>
    </row>
    <row r="486" spans="2:13" ht="37.5" customHeight="1" x14ac:dyDescent="0.35">
      <c r="B486" s="12">
        <v>43</v>
      </c>
      <c r="C486" s="7" t="s">
        <v>2701</v>
      </c>
      <c r="D486" s="12">
        <v>1</v>
      </c>
      <c r="E486" s="7" t="s">
        <v>2702</v>
      </c>
      <c r="F486" s="7" t="s">
        <v>2703</v>
      </c>
      <c r="G486" s="7" t="s">
        <v>2603</v>
      </c>
      <c r="H486" s="7" t="s">
        <v>37</v>
      </c>
      <c r="I486" s="7" t="s">
        <v>1472</v>
      </c>
      <c r="J486" s="7" t="s">
        <v>1004</v>
      </c>
      <c r="K486" s="7" t="s">
        <v>2704</v>
      </c>
      <c r="L486" s="12">
        <v>1</v>
      </c>
      <c r="M486" s="7" t="s">
        <v>1334</v>
      </c>
    </row>
    <row r="487" spans="2:13" ht="37.5" customHeight="1" x14ac:dyDescent="0.35">
      <c r="B487" s="11">
        <v>44</v>
      </c>
      <c r="C487" s="5" t="s">
        <v>2705</v>
      </c>
      <c r="D487" s="11">
        <v>1</v>
      </c>
      <c r="E487" s="5" t="s">
        <v>2706</v>
      </c>
      <c r="F487" s="5" t="s">
        <v>2707</v>
      </c>
      <c r="G487" s="5" t="s">
        <v>2665</v>
      </c>
      <c r="H487" s="5" t="s">
        <v>817</v>
      </c>
      <c r="I487" s="5" t="s">
        <v>52</v>
      </c>
      <c r="J487" s="5" t="s">
        <v>1004</v>
      </c>
      <c r="K487" s="5" t="s">
        <v>2708</v>
      </c>
      <c r="L487" s="11">
        <v>1</v>
      </c>
      <c r="M487" s="5" t="s">
        <v>2662</v>
      </c>
    </row>
    <row r="488" spans="2:13" ht="37.5" customHeight="1" x14ac:dyDescent="0.35">
      <c r="B488" s="12">
        <v>44</v>
      </c>
      <c r="C488" s="7" t="s">
        <v>2705</v>
      </c>
      <c r="D488" s="12">
        <v>2</v>
      </c>
      <c r="E488" s="7" t="s">
        <v>2709</v>
      </c>
      <c r="F488" s="7" t="s">
        <v>2710</v>
      </c>
      <c r="G488" s="7" t="s">
        <v>2685</v>
      </c>
      <c r="H488" s="7" t="s">
        <v>43</v>
      </c>
      <c r="I488" s="7" t="s">
        <v>2711</v>
      </c>
      <c r="J488" s="7" t="s">
        <v>2712</v>
      </c>
      <c r="K488" s="7" t="s">
        <v>2713</v>
      </c>
      <c r="L488" s="12">
        <v>1</v>
      </c>
      <c r="M488" s="7" t="s">
        <v>2662</v>
      </c>
    </row>
    <row r="489" spans="2:13" ht="37.5" customHeight="1" x14ac:dyDescent="0.35">
      <c r="B489" s="11">
        <v>45</v>
      </c>
      <c r="C489" s="5" t="s">
        <v>2714</v>
      </c>
      <c r="D489" s="11">
        <v>1</v>
      </c>
      <c r="E489" s="5" t="s">
        <v>2715</v>
      </c>
      <c r="F489" s="5" t="s">
        <v>2716</v>
      </c>
      <c r="G489" s="5" t="s">
        <v>825</v>
      </c>
      <c r="H489" s="5" t="s">
        <v>1320</v>
      </c>
      <c r="I489" s="5" t="s">
        <v>1799</v>
      </c>
      <c r="J489" s="5" t="s">
        <v>2717</v>
      </c>
      <c r="K489" s="5" t="s">
        <v>2718</v>
      </c>
      <c r="L489" s="11">
        <v>2</v>
      </c>
      <c r="M489" s="5" t="s">
        <v>1302</v>
      </c>
    </row>
    <row r="490" spans="2:13" ht="37.5" customHeight="1" x14ac:dyDescent="0.35">
      <c r="B490" s="12">
        <v>46</v>
      </c>
      <c r="C490" s="7" t="s">
        <v>2719</v>
      </c>
      <c r="D490" s="12">
        <v>1</v>
      </c>
      <c r="E490" s="7" t="s">
        <v>2720</v>
      </c>
      <c r="F490" s="7" t="s">
        <v>2721</v>
      </c>
      <c r="G490" s="7" t="s">
        <v>29</v>
      </c>
      <c r="H490" s="7" t="s">
        <v>2722</v>
      </c>
      <c r="I490" s="7" t="s">
        <v>2723</v>
      </c>
      <c r="J490" s="7" t="s">
        <v>2724</v>
      </c>
      <c r="K490" s="7" t="s">
        <v>2725</v>
      </c>
      <c r="L490" s="12">
        <v>2</v>
      </c>
      <c r="M490" s="7" t="s">
        <v>2726</v>
      </c>
    </row>
    <row r="491" spans="2:13" ht="67.5" customHeight="1" x14ac:dyDescent="0.35">
      <c r="B491" s="11">
        <v>46</v>
      </c>
      <c r="C491" s="5" t="s">
        <v>2719</v>
      </c>
      <c r="D491" s="11">
        <v>2</v>
      </c>
      <c r="E491" s="5" t="s">
        <v>2727</v>
      </c>
      <c r="F491" s="5" t="s">
        <v>2728</v>
      </c>
      <c r="G491" s="5" t="s">
        <v>32</v>
      </c>
      <c r="H491" s="5" t="s">
        <v>2729</v>
      </c>
      <c r="I491" s="5" t="s">
        <v>2730</v>
      </c>
      <c r="J491" s="5" t="s">
        <v>2731</v>
      </c>
      <c r="K491" s="5" t="s">
        <v>2732</v>
      </c>
      <c r="L491" s="11">
        <v>3</v>
      </c>
      <c r="M491" s="5" t="s">
        <v>2726</v>
      </c>
    </row>
    <row r="492" spans="2:13" ht="82.5" customHeight="1" x14ac:dyDescent="0.35">
      <c r="B492" s="12">
        <v>46</v>
      </c>
      <c r="C492" s="7" t="s">
        <v>2719</v>
      </c>
      <c r="D492" s="12">
        <v>3</v>
      </c>
      <c r="E492" s="7" t="s">
        <v>2733</v>
      </c>
      <c r="F492" s="7" t="s">
        <v>2734</v>
      </c>
      <c r="G492" s="7" t="s">
        <v>185</v>
      </c>
      <c r="H492" s="7" t="s">
        <v>2735</v>
      </c>
      <c r="I492" s="7" t="s">
        <v>2736</v>
      </c>
      <c r="J492" s="7" t="s">
        <v>2731</v>
      </c>
      <c r="K492" s="7" t="s">
        <v>2737</v>
      </c>
      <c r="L492" s="12">
        <v>3</v>
      </c>
      <c r="M492" s="7" t="s">
        <v>2726</v>
      </c>
    </row>
    <row r="493" spans="2:13" ht="37.5" customHeight="1" x14ac:dyDescent="0.35">
      <c r="B493" s="11">
        <v>46</v>
      </c>
      <c r="C493" s="5" t="s">
        <v>2719</v>
      </c>
      <c r="D493" s="11">
        <v>4</v>
      </c>
      <c r="E493" s="5" t="s">
        <v>2738</v>
      </c>
      <c r="F493" s="5" t="s">
        <v>2739</v>
      </c>
      <c r="G493" s="5" t="s">
        <v>638</v>
      </c>
      <c r="H493" s="5" t="s">
        <v>1943</v>
      </c>
      <c r="I493" s="5" t="s">
        <v>2740</v>
      </c>
      <c r="J493" s="5" t="s">
        <v>213</v>
      </c>
      <c r="K493" s="5" t="s">
        <v>2741</v>
      </c>
      <c r="L493" s="11">
        <v>1</v>
      </c>
      <c r="M493" s="5" t="s">
        <v>2726</v>
      </c>
    </row>
    <row r="494" spans="2:13" ht="52.5" customHeight="1" x14ac:dyDescent="0.35">
      <c r="B494" s="12">
        <v>46</v>
      </c>
      <c r="C494" s="7" t="s">
        <v>2719</v>
      </c>
      <c r="D494" s="12">
        <v>5</v>
      </c>
      <c r="E494" s="7" t="s">
        <v>2742</v>
      </c>
      <c r="F494" s="7" t="s">
        <v>2743</v>
      </c>
      <c r="G494" s="7" t="s">
        <v>24</v>
      </c>
      <c r="H494" s="7" t="s">
        <v>2744</v>
      </c>
      <c r="I494" s="7" t="s">
        <v>2745</v>
      </c>
      <c r="J494" s="7" t="s">
        <v>2746</v>
      </c>
      <c r="K494" s="7" t="s">
        <v>2747</v>
      </c>
      <c r="L494" s="12">
        <v>2</v>
      </c>
      <c r="M494" s="7" t="s">
        <v>2726</v>
      </c>
    </row>
    <row r="495" spans="2:13" ht="82.5" customHeight="1" x14ac:dyDescent="0.35">
      <c r="B495" s="11">
        <v>46</v>
      </c>
      <c r="C495" s="5" t="s">
        <v>2719</v>
      </c>
      <c r="D495" s="11">
        <v>6</v>
      </c>
      <c r="E495" s="5" t="s">
        <v>2748</v>
      </c>
      <c r="F495" s="5" t="s">
        <v>2749</v>
      </c>
      <c r="G495" s="5" t="s">
        <v>25</v>
      </c>
      <c r="H495" s="5" t="s">
        <v>2750</v>
      </c>
      <c r="I495" s="5" t="s">
        <v>2751</v>
      </c>
      <c r="J495" s="5" t="s">
        <v>2731</v>
      </c>
      <c r="K495" s="5" t="s">
        <v>2752</v>
      </c>
      <c r="L495" s="11">
        <v>4</v>
      </c>
      <c r="M495" s="5" t="s">
        <v>2726</v>
      </c>
    </row>
    <row r="496" spans="2:13" ht="37.5" customHeight="1" x14ac:dyDescent="0.35">
      <c r="B496" s="12">
        <v>46</v>
      </c>
      <c r="C496" s="7" t="s">
        <v>2719</v>
      </c>
      <c r="D496" s="12">
        <v>7</v>
      </c>
      <c r="E496" s="7" t="s">
        <v>2753</v>
      </c>
      <c r="F496" s="7" t="s">
        <v>2754</v>
      </c>
      <c r="G496" s="7" t="s">
        <v>395</v>
      </c>
      <c r="H496" s="7" t="s">
        <v>1943</v>
      </c>
      <c r="I496" s="7" t="s">
        <v>2740</v>
      </c>
      <c r="J496" s="7" t="s">
        <v>213</v>
      </c>
      <c r="K496" s="7" t="s">
        <v>2741</v>
      </c>
      <c r="L496" s="12">
        <v>1</v>
      </c>
      <c r="M496" s="7" t="s">
        <v>2726</v>
      </c>
    </row>
    <row r="497" spans="2:13" ht="67.5" customHeight="1" x14ac:dyDescent="0.35">
      <c r="B497" s="11">
        <v>46</v>
      </c>
      <c r="C497" s="5" t="s">
        <v>2719</v>
      </c>
      <c r="D497" s="11">
        <v>8</v>
      </c>
      <c r="E497" s="5" t="s">
        <v>2755</v>
      </c>
      <c r="F497" s="5" t="s">
        <v>2756</v>
      </c>
      <c r="G497" s="5" t="s">
        <v>282</v>
      </c>
      <c r="H497" s="5" t="s">
        <v>2757</v>
      </c>
      <c r="I497" s="5" t="s">
        <v>2758</v>
      </c>
      <c r="J497" s="5" t="s">
        <v>2746</v>
      </c>
      <c r="K497" s="5" t="s">
        <v>2759</v>
      </c>
      <c r="L497" s="11">
        <v>3</v>
      </c>
      <c r="M497" s="5" t="s">
        <v>2726</v>
      </c>
    </row>
    <row r="498" spans="2:13" ht="37.5" customHeight="1" x14ac:dyDescent="0.35">
      <c r="B498" s="12">
        <v>46</v>
      </c>
      <c r="C498" s="7" t="s">
        <v>2719</v>
      </c>
      <c r="D498" s="12">
        <v>9</v>
      </c>
      <c r="E498" s="7" t="s">
        <v>2760</v>
      </c>
      <c r="F498" s="7" t="s">
        <v>2761</v>
      </c>
      <c r="G498" s="7" t="s">
        <v>648</v>
      </c>
      <c r="H498" s="7" t="s">
        <v>1574</v>
      </c>
      <c r="I498" s="7" t="s">
        <v>56</v>
      </c>
      <c r="J498" s="7" t="s">
        <v>404</v>
      </c>
      <c r="K498" s="7" t="s">
        <v>1625</v>
      </c>
      <c r="L498" s="12">
        <v>1</v>
      </c>
      <c r="M498" s="7" t="s">
        <v>2726</v>
      </c>
    </row>
    <row r="499" spans="2:13" ht="52.5" customHeight="1" x14ac:dyDescent="0.35">
      <c r="B499" s="11">
        <v>46</v>
      </c>
      <c r="C499" s="5" t="s">
        <v>2719</v>
      </c>
      <c r="D499" s="11">
        <v>10</v>
      </c>
      <c r="E499" s="5" t="s">
        <v>2762</v>
      </c>
      <c r="F499" s="5" t="s">
        <v>2763</v>
      </c>
      <c r="G499" s="5" t="s">
        <v>653</v>
      </c>
      <c r="H499" s="5" t="s">
        <v>2744</v>
      </c>
      <c r="I499" s="5" t="s">
        <v>2764</v>
      </c>
      <c r="J499" s="5" t="s">
        <v>2746</v>
      </c>
      <c r="K499" s="5" t="s">
        <v>2765</v>
      </c>
      <c r="L499" s="11">
        <v>2</v>
      </c>
      <c r="M499" s="5" t="s">
        <v>2726</v>
      </c>
    </row>
    <row r="500" spans="2:13" ht="67.5" customHeight="1" x14ac:dyDescent="0.35">
      <c r="B500" s="12">
        <v>46</v>
      </c>
      <c r="C500" s="7" t="s">
        <v>2719</v>
      </c>
      <c r="D500" s="12">
        <v>11</v>
      </c>
      <c r="E500" s="7" t="s">
        <v>2766</v>
      </c>
      <c r="F500" s="7" t="s">
        <v>2767</v>
      </c>
      <c r="G500" s="7" t="s">
        <v>2768</v>
      </c>
      <c r="H500" s="7" t="s">
        <v>2769</v>
      </c>
      <c r="I500" s="7" t="s">
        <v>2770</v>
      </c>
      <c r="J500" s="7" t="s">
        <v>404</v>
      </c>
      <c r="K500" s="7" t="s">
        <v>2771</v>
      </c>
      <c r="L500" s="12">
        <v>3</v>
      </c>
      <c r="M500" s="7" t="s">
        <v>2726</v>
      </c>
    </row>
    <row r="501" spans="2:13" ht="37.5" customHeight="1" x14ac:dyDescent="0.35">
      <c r="B501" s="11">
        <v>46</v>
      </c>
      <c r="C501" s="5" t="s">
        <v>2719</v>
      </c>
      <c r="D501" s="11">
        <v>12</v>
      </c>
      <c r="E501" s="5" t="s">
        <v>2772</v>
      </c>
      <c r="F501" s="5" t="s">
        <v>2773</v>
      </c>
      <c r="G501" s="5" t="s">
        <v>28</v>
      </c>
      <c r="H501" s="5" t="s">
        <v>1943</v>
      </c>
      <c r="I501" s="5" t="s">
        <v>2774</v>
      </c>
      <c r="J501" s="5" t="s">
        <v>404</v>
      </c>
      <c r="K501" s="5" t="s">
        <v>2775</v>
      </c>
      <c r="L501" s="11">
        <v>1</v>
      </c>
      <c r="M501" s="5" t="s">
        <v>2726</v>
      </c>
    </row>
    <row r="502" spans="2:13" ht="52.5" customHeight="1" x14ac:dyDescent="0.35">
      <c r="B502" s="12">
        <v>46</v>
      </c>
      <c r="C502" s="7" t="s">
        <v>2719</v>
      </c>
      <c r="D502" s="12">
        <v>13</v>
      </c>
      <c r="E502" s="7" t="s">
        <v>2776</v>
      </c>
      <c r="F502" s="7" t="s">
        <v>2777</v>
      </c>
      <c r="G502" s="7" t="s">
        <v>365</v>
      </c>
      <c r="H502" s="7" t="s">
        <v>2744</v>
      </c>
      <c r="I502" s="7" t="s">
        <v>2764</v>
      </c>
      <c r="J502" s="7" t="s">
        <v>213</v>
      </c>
      <c r="K502" s="7" t="s">
        <v>2778</v>
      </c>
      <c r="L502" s="12">
        <v>2</v>
      </c>
      <c r="M502" s="7" t="s">
        <v>2726</v>
      </c>
    </row>
    <row r="503" spans="2:13" ht="52.5" customHeight="1" x14ac:dyDescent="0.35">
      <c r="B503" s="11">
        <v>46</v>
      </c>
      <c r="C503" s="5" t="s">
        <v>2719</v>
      </c>
      <c r="D503" s="11">
        <v>14</v>
      </c>
      <c r="E503" s="5" t="s">
        <v>2779</v>
      </c>
      <c r="F503" s="5" t="s">
        <v>2780</v>
      </c>
      <c r="G503" s="5" t="s">
        <v>585</v>
      </c>
      <c r="H503" s="5" t="s">
        <v>2744</v>
      </c>
      <c r="I503" s="5" t="s">
        <v>2764</v>
      </c>
      <c r="J503" s="5" t="s">
        <v>2746</v>
      </c>
      <c r="K503" s="5" t="s">
        <v>2765</v>
      </c>
      <c r="L503" s="11">
        <v>2</v>
      </c>
      <c r="M503" s="5" t="s">
        <v>2726</v>
      </c>
    </row>
    <row r="504" spans="2:13" ht="52.5" customHeight="1" x14ac:dyDescent="0.35">
      <c r="B504" s="12">
        <v>46</v>
      </c>
      <c r="C504" s="7" t="s">
        <v>2719</v>
      </c>
      <c r="D504" s="12">
        <v>15</v>
      </c>
      <c r="E504" s="7" t="s">
        <v>2781</v>
      </c>
      <c r="F504" s="7" t="s">
        <v>2782</v>
      </c>
      <c r="G504" s="7" t="s">
        <v>33</v>
      </c>
      <c r="H504" s="7" t="s">
        <v>2744</v>
      </c>
      <c r="I504" s="7" t="s">
        <v>2764</v>
      </c>
      <c r="J504" s="7" t="s">
        <v>404</v>
      </c>
      <c r="K504" s="7" t="s">
        <v>2783</v>
      </c>
      <c r="L504" s="12">
        <v>2</v>
      </c>
      <c r="M504" s="7" t="s">
        <v>2726</v>
      </c>
    </row>
    <row r="505" spans="2:13" ht="37.5" customHeight="1" x14ac:dyDescent="0.35">
      <c r="B505" s="11">
        <v>46</v>
      </c>
      <c r="C505" s="5" t="s">
        <v>2719</v>
      </c>
      <c r="D505" s="11">
        <v>16</v>
      </c>
      <c r="E505" s="5" t="s">
        <v>2784</v>
      </c>
      <c r="F505" s="5" t="s">
        <v>2785</v>
      </c>
      <c r="G505" s="5" t="s">
        <v>805</v>
      </c>
      <c r="H505" s="5" t="s">
        <v>1943</v>
      </c>
      <c r="I505" s="5" t="s">
        <v>2774</v>
      </c>
      <c r="J505" s="5" t="s">
        <v>404</v>
      </c>
      <c r="K505" s="5" t="s">
        <v>2775</v>
      </c>
      <c r="L505" s="11">
        <v>1</v>
      </c>
      <c r="M505" s="5" t="s">
        <v>2726</v>
      </c>
    </row>
    <row r="506" spans="2:13" ht="37.5" customHeight="1" x14ac:dyDescent="0.35">
      <c r="B506" s="12">
        <v>46</v>
      </c>
      <c r="C506" s="7" t="s">
        <v>2719</v>
      </c>
      <c r="D506" s="12">
        <v>17</v>
      </c>
      <c r="E506" s="7" t="s">
        <v>2786</v>
      </c>
      <c r="F506" s="7" t="s">
        <v>2787</v>
      </c>
      <c r="G506" s="7" t="s">
        <v>212</v>
      </c>
      <c r="H506" s="7" t="s">
        <v>1943</v>
      </c>
      <c r="I506" s="7" t="s">
        <v>2774</v>
      </c>
      <c r="J506" s="7" t="s">
        <v>213</v>
      </c>
      <c r="K506" s="7" t="s">
        <v>2788</v>
      </c>
      <c r="L506" s="12">
        <v>1</v>
      </c>
      <c r="M506" s="7" t="s">
        <v>2726</v>
      </c>
    </row>
    <row r="507" spans="2:13" ht="37.5" customHeight="1" x14ac:dyDescent="0.35">
      <c r="B507" s="11">
        <v>46</v>
      </c>
      <c r="C507" s="5" t="s">
        <v>2719</v>
      </c>
      <c r="D507" s="11">
        <v>18</v>
      </c>
      <c r="E507" s="5" t="s">
        <v>2789</v>
      </c>
      <c r="F507" s="5" t="s">
        <v>2790</v>
      </c>
      <c r="G507" s="5" t="s">
        <v>1373</v>
      </c>
      <c r="H507" s="5" t="s">
        <v>1943</v>
      </c>
      <c r="I507" s="5" t="s">
        <v>2774</v>
      </c>
      <c r="J507" s="5" t="s">
        <v>213</v>
      </c>
      <c r="K507" s="5" t="s">
        <v>2788</v>
      </c>
      <c r="L507" s="11">
        <v>1</v>
      </c>
      <c r="M507" s="5" t="s">
        <v>2726</v>
      </c>
    </row>
    <row r="508" spans="2:13" ht="37.5" customHeight="1" x14ac:dyDescent="0.35">
      <c r="B508" s="12">
        <v>46</v>
      </c>
      <c r="C508" s="7" t="s">
        <v>2719</v>
      </c>
      <c r="D508" s="12">
        <v>19</v>
      </c>
      <c r="E508" s="7" t="s">
        <v>2791</v>
      </c>
      <c r="F508" s="7" t="s">
        <v>2792</v>
      </c>
      <c r="G508" s="7" t="s">
        <v>625</v>
      </c>
      <c r="H508" s="7" t="s">
        <v>2793</v>
      </c>
      <c r="I508" s="7" t="s">
        <v>2794</v>
      </c>
      <c r="J508" s="7" t="s">
        <v>404</v>
      </c>
      <c r="K508" s="7" t="s">
        <v>2795</v>
      </c>
      <c r="L508" s="12">
        <v>2</v>
      </c>
      <c r="M508" s="7" t="s">
        <v>2726</v>
      </c>
    </row>
    <row r="509" spans="2:13" ht="21.75" customHeight="1" x14ac:dyDescent="0.35">
      <c r="B509" s="11">
        <v>46</v>
      </c>
      <c r="C509" s="5" t="s">
        <v>2719</v>
      </c>
      <c r="D509" s="11">
        <v>20</v>
      </c>
      <c r="E509" s="5" t="s">
        <v>2796</v>
      </c>
      <c r="F509" s="5" t="s">
        <v>2797</v>
      </c>
      <c r="G509" s="5" t="s">
        <v>905</v>
      </c>
      <c r="H509" s="5" t="s">
        <v>43</v>
      </c>
      <c r="I509" s="5" t="s">
        <v>1093</v>
      </c>
      <c r="J509" s="5" t="s">
        <v>404</v>
      </c>
      <c r="K509" s="5" t="s">
        <v>1634</v>
      </c>
      <c r="L509" s="11">
        <v>1</v>
      </c>
      <c r="M509" s="5" t="s">
        <v>2726</v>
      </c>
    </row>
    <row r="510" spans="2:13" ht="37.5" customHeight="1" x14ac:dyDescent="0.35">
      <c r="B510" s="12">
        <v>46</v>
      </c>
      <c r="C510" s="7" t="s">
        <v>2719</v>
      </c>
      <c r="D510" s="12">
        <v>21</v>
      </c>
      <c r="E510" s="7" t="s">
        <v>2798</v>
      </c>
      <c r="F510" s="7" t="s">
        <v>2799</v>
      </c>
      <c r="G510" s="7" t="s">
        <v>552</v>
      </c>
      <c r="H510" s="7" t="s">
        <v>1943</v>
      </c>
      <c r="I510" s="7" t="s">
        <v>2800</v>
      </c>
      <c r="J510" s="7" t="s">
        <v>213</v>
      </c>
      <c r="K510" s="7" t="s">
        <v>2801</v>
      </c>
      <c r="L510" s="12">
        <v>1</v>
      </c>
      <c r="M510" s="7" t="s">
        <v>2726</v>
      </c>
    </row>
    <row r="511" spans="2:13" ht="21.75" customHeight="1" x14ac:dyDescent="0.35">
      <c r="B511" s="11">
        <v>46</v>
      </c>
      <c r="C511" s="5" t="s">
        <v>2719</v>
      </c>
      <c r="D511" s="11">
        <v>22</v>
      </c>
      <c r="E511" s="5" t="s">
        <v>2802</v>
      </c>
      <c r="F511" s="5" t="s">
        <v>2803</v>
      </c>
      <c r="G511" s="5" t="s">
        <v>531</v>
      </c>
      <c r="H511" s="5" t="s">
        <v>1943</v>
      </c>
      <c r="I511" s="5" t="s">
        <v>2800</v>
      </c>
      <c r="J511" s="5" t="s">
        <v>213</v>
      </c>
      <c r="K511" s="5" t="s">
        <v>2801</v>
      </c>
      <c r="L511" s="11">
        <v>1</v>
      </c>
      <c r="M511" s="5" t="s">
        <v>2726</v>
      </c>
    </row>
    <row r="512" spans="2:13" ht="37.5" customHeight="1" x14ac:dyDescent="0.35">
      <c r="B512" s="12">
        <v>46</v>
      </c>
      <c r="C512" s="7" t="s">
        <v>2719</v>
      </c>
      <c r="D512" s="12">
        <v>23</v>
      </c>
      <c r="E512" s="7" t="s">
        <v>2804</v>
      </c>
      <c r="F512" s="7" t="s">
        <v>2805</v>
      </c>
      <c r="G512" s="7" t="s">
        <v>1610</v>
      </c>
      <c r="H512" s="7" t="s">
        <v>43</v>
      </c>
      <c r="I512" s="7" t="s">
        <v>1093</v>
      </c>
      <c r="J512" s="7" t="s">
        <v>404</v>
      </c>
      <c r="K512" s="7" t="s">
        <v>1634</v>
      </c>
      <c r="L512" s="12">
        <v>1</v>
      </c>
      <c r="M512" s="7" t="s">
        <v>2726</v>
      </c>
    </row>
    <row r="513" spans="2:13" ht="37.5" customHeight="1" x14ac:dyDescent="0.35">
      <c r="B513" s="11">
        <v>46</v>
      </c>
      <c r="C513" s="5" t="s">
        <v>2719</v>
      </c>
      <c r="D513" s="11">
        <v>24</v>
      </c>
      <c r="E513" s="5" t="s">
        <v>2806</v>
      </c>
      <c r="F513" s="5" t="s">
        <v>2807</v>
      </c>
      <c r="G513" s="5" t="s">
        <v>1076</v>
      </c>
      <c r="H513" s="5" t="s">
        <v>1943</v>
      </c>
      <c r="I513" s="5" t="s">
        <v>2808</v>
      </c>
      <c r="J513" s="5" t="s">
        <v>404</v>
      </c>
      <c r="K513" s="5" t="s">
        <v>2809</v>
      </c>
      <c r="L513" s="11">
        <v>1</v>
      </c>
      <c r="M513" s="5" t="s">
        <v>2726</v>
      </c>
    </row>
    <row r="514" spans="2:13" ht="37.5" customHeight="1" x14ac:dyDescent="0.35">
      <c r="B514" s="12">
        <v>46</v>
      </c>
      <c r="C514" s="7" t="s">
        <v>2719</v>
      </c>
      <c r="D514" s="12">
        <v>25</v>
      </c>
      <c r="E514" s="7" t="s">
        <v>2810</v>
      </c>
      <c r="F514" s="7" t="s">
        <v>2811</v>
      </c>
      <c r="G514" s="7" t="s">
        <v>865</v>
      </c>
      <c r="H514" s="7" t="s">
        <v>817</v>
      </c>
      <c r="I514" s="7" t="s">
        <v>52</v>
      </c>
      <c r="J514" s="7" t="s">
        <v>404</v>
      </c>
      <c r="K514" s="7" t="s">
        <v>818</v>
      </c>
      <c r="L514" s="12">
        <v>1</v>
      </c>
      <c r="M514" s="7" t="s">
        <v>2726</v>
      </c>
    </row>
    <row r="515" spans="2:13" ht="37.5" customHeight="1" x14ac:dyDescent="0.35">
      <c r="B515" s="11">
        <v>46</v>
      </c>
      <c r="C515" s="5" t="s">
        <v>2719</v>
      </c>
      <c r="D515" s="11">
        <v>26</v>
      </c>
      <c r="E515" s="5" t="s">
        <v>2812</v>
      </c>
      <c r="F515" s="5" t="s">
        <v>2813</v>
      </c>
      <c r="G515" s="5" t="s">
        <v>428</v>
      </c>
      <c r="H515" s="5" t="s">
        <v>43</v>
      </c>
      <c r="I515" s="5" t="s">
        <v>1093</v>
      </c>
      <c r="J515" s="5" t="s">
        <v>404</v>
      </c>
      <c r="K515" s="5" t="s">
        <v>1634</v>
      </c>
      <c r="L515" s="11">
        <v>1</v>
      </c>
      <c r="M515" s="5" t="s">
        <v>2726</v>
      </c>
    </row>
    <row r="516" spans="2:13" ht="37.5" customHeight="1" x14ac:dyDescent="0.35">
      <c r="B516" s="12">
        <v>46</v>
      </c>
      <c r="C516" s="7" t="s">
        <v>2719</v>
      </c>
      <c r="D516" s="12">
        <v>27</v>
      </c>
      <c r="E516" s="7" t="s">
        <v>2814</v>
      </c>
      <c r="F516" s="7" t="s">
        <v>2815</v>
      </c>
      <c r="G516" s="7" t="s">
        <v>837</v>
      </c>
      <c r="H516" s="7" t="s">
        <v>1943</v>
      </c>
      <c r="I516" s="7" t="s">
        <v>1944</v>
      </c>
      <c r="J516" s="7" t="s">
        <v>404</v>
      </c>
      <c r="K516" s="7" t="s">
        <v>1945</v>
      </c>
      <c r="L516" s="12">
        <v>1</v>
      </c>
      <c r="M516" s="7" t="s">
        <v>2726</v>
      </c>
    </row>
    <row r="517" spans="2:13" ht="21.75" customHeight="1" x14ac:dyDescent="0.35">
      <c r="B517" s="11">
        <v>46</v>
      </c>
      <c r="C517" s="5" t="s">
        <v>2719</v>
      </c>
      <c r="D517" s="11">
        <v>28</v>
      </c>
      <c r="E517" s="5" t="s">
        <v>2816</v>
      </c>
      <c r="F517" s="5" t="s">
        <v>2817</v>
      </c>
      <c r="G517" s="5" t="s">
        <v>973</v>
      </c>
      <c r="H517" s="5" t="s">
        <v>37</v>
      </c>
      <c r="I517" s="5" t="s">
        <v>998</v>
      </c>
      <c r="J517" s="5" t="s">
        <v>663</v>
      </c>
      <c r="K517" s="5" t="s">
        <v>1940</v>
      </c>
      <c r="L517" s="11">
        <v>1</v>
      </c>
      <c r="M517" s="5" t="s">
        <v>2726</v>
      </c>
    </row>
    <row r="518" spans="2:13" ht="37.5" customHeight="1" x14ac:dyDescent="0.35">
      <c r="B518" s="12">
        <v>46</v>
      </c>
      <c r="C518" s="7" t="s">
        <v>2719</v>
      </c>
      <c r="D518" s="12">
        <v>29</v>
      </c>
      <c r="E518" s="7" t="s">
        <v>2818</v>
      </c>
      <c r="F518" s="7" t="s">
        <v>2819</v>
      </c>
      <c r="G518" s="7" t="s">
        <v>1172</v>
      </c>
      <c r="H518" s="7" t="s">
        <v>838</v>
      </c>
      <c r="I518" s="7" t="s">
        <v>52</v>
      </c>
      <c r="J518" s="7" t="s">
        <v>404</v>
      </c>
      <c r="K518" s="7" t="s">
        <v>839</v>
      </c>
      <c r="L518" s="12">
        <v>1</v>
      </c>
      <c r="M518" s="7" t="s">
        <v>2726</v>
      </c>
    </row>
    <row r="519" spans="2:13" ht="37.5" customHeight="1" x14ac:dyDescent="0.35">
      <c r="B519" s="11">
        <v>46</v>
      </c>
      <c r="C519" s="5" t="s">
        <v>2719</v>
      </c>
      <c r="D519" s="11">
        <v>30</v>
      </c>
      <c r="E519" s="5" t="s">
        <v>2820</v>
      </c>
      <c r="F519" s="5" t="s">
        <v>2821</v>
      </c>
      <c r="G519" s="5" t="s">
        <v>1045</v>
      </c>
      <c r="H519" s="5" t="s">
        <v>2722</v>
      </c>
      <c r="I519" s="5" t="s">
        <v>2822</v>
      </c>
      <c r="J519" s="5" t="s">
        <v>404</v>
      </c>
      <c r="K519" s="5" t="s">
        <v>2823</v>
      </c>
      <c r="L519" s="11">
        <v>2</v>
      </c>
      <c r="M519" s="5" t="s">
        <v>2726</v>
      </c>
    </row>
    <row r="520" spans="2:13" ht="37.5" customHeight="1" x14ac:dyDescent="0.35">
      <c r="B520" s="12">
        <v>46</v>
      </c>
      <c r="C520" s="7" t="s">
        <v>2719</v>
      </c>
      <c r="D520" s="12">
        <v>31</v>
      </c>
      <c r="E520" s="7" t="s">
        <v>2824</v>
      </c>
      <c r="F520" s="7" t="s">
        <v>2825</v>
      </c>
      <c r="G520" s="7" t="s">
        <v>752</v>
      </c>
      <c r="H520" s="7" t="s">
        <v>1948</v>
      </c>
      <c r="I520" s="7" t="s">
        <v>1949</v>
      </c>
      <c r="J520" s="7" t="s">
        <v>404</v>
      </c>
      <c r="K520" s="7" t="s">
        <v>1950</v>
      </c>
      <c r="L520" s="12">
        <v>1</v>
      </c>
      <c r="M520" s="7" t="s">
        <v>2726</v>
      </c>
    </row>
    <row r="521" spans="2:13" ht="37.5" customHeight="1" x14ac:dyDescent="0.35">
      <c r="B521" s="11">
        <v>46</v>
      </c>
      <c r="C521" s="5" t="s">
        <v>2719</v>
      </c>
      <c r="D521" s="11">
        <v>32</v>
      </c>
      <c r="E521" s="5" t="s">
        <v>2826</v>
      </c>
      <c r="F521" s="5" t="s">
        <v>2827</v>
      </c>
      <c r="G521" s="5" t="s">
        <v>279</v>
      </c>
      <c r="H521" s="5" t="s">
        <v>1948</v>
      </c>
      <c r="I521" s="5" t="s">
        <v>1949</v>
      </c>
      <c r="J521" s="5" t="s">
        <v>404</v>
      </c>
      <c r="K521" s="5" t="s">
        <v>1950</v>
      </c>
      <c r="L521" s="11">
        <v>1</v>
      </c>
      <c r="M521" s="5" t="s">
        <v>2726</v>
      </c>
    </row>
    <row r="522" spans="2:13" ht="21.75" customHeight="1" x14ac:dyDescent="0.35">
      <c r="B522" s="12">
        <v>46</v>
      </c>
      <c r="C522" s="7" t="s">
        <v>2719</v>
      </c>
      <c r="D522" s="12">
        <v>33</v>
      </c>
      <c r="E522" s="7" t="s">
        <v>2828</v>
      </c>
      <c r="F522" s="7" t="s">
        <v>2829</v>
      </c>
      <c r="G522" s="7" t="s">
        <v>198</v>
      </c>
      <c r="H522" s="7" t="s">
        <v>37</v>
      </c>
      <c r="I522" s="7" t="s">
        <v>1191</v>
      </c>
      <c r="J522" s="7" t="s">
        <v>663</v>
      </c>
      <c r="K522" s="7" t="s">
        <v>2830</v>
      </c>
      <c r="L522" s="12">
        <v>1</v>
      </c>
      <c r="M522" s="7" t="s">
        <v>2726</v>
      </c>
    </row>
    <row r="523" spans="2:13" ht="21.75" customHeight="1" x14ac:dyDescent="0.35">
      <c r="B523" s="11">
        <v>46</v>
      </c>
      <c r="C523" s="5" t="s">
        <v>2719</v>
      </c>
      <c r="D523" s="11">
        <v>34</v>
      </c>
      <c r="E523" s="5" t="s">
        <v>2831</v>
      </c>
      <c r="F523" s="5" t="s">
        <v>2832</v>
      </c>
      <c r="G523" s="5" t="s">
        <v>151</v>
      </c>
      <c r="H523" s="5" t="s">
        <v>1948</v>
      </c>
      <c r="I523" s="5" t="s">
        <v>2833</v>
      </c>
      <c r="J523" s="5" t="s">
        <v>404</v>
      </c>
      <c r="K523" s="5" t="s">
        <v>2834</v>
      </c>
      <c r="L523" s="11">
        <v>1</v>
      </c>
      <c r="M523" s="5" t="s">
        <v>2726</v>
      </c>
    </row>
    <row r="524" spans="2:13" ht="21.75" customHeight="1" x14ac:dyDescent="0.35">
      <c r="B524" s="12">
        <v>46</v>
      </c>
      <c r="C524" s="7" t="s">
        <v>2719</v>
      </c>
      <c r="D524" s="12">
        <v>35</v>
      </c>
      <c r="E524" s="7" t="s">
        <v>2835</v>
      </c>
      <c r="F524" s="7" t="s">
        <v>2836</v>
      </c>
      <c r="G524" s="7" t="s">
        <v>2837</v>
      </c>
      <c r="H524" s="7" t="s">
        <v>39</v>
      </c>
      <c r="I524" s="7" t="s">
        <v>2838</v>
      </c>
      <c r="J524" s="7" t="s">
        <v>1063</v>
      </c>
      <c r="K524" s="7" t="s">
        <v>2839</v>
      </c>
      <c r="L524" s="12">
        <v>1</v>
      </c>
      <c r="M524" s="7" t="s">
        <v>2726</v>
      </c>
    </row>
    <row r="525" spans="2:13" ht="82.5" customHeight="1" x14ac:dyDescent="0.35">
      <c r="B525" s="11">
        <v>47</v>
      </c>
      <c r="C525" s="5" t="s">
        <v>2840</v>
      </c>
      <c r="D525" s="11">
        <v>1</v>
      </c>
      <c r="E525" s="5" t="s">
        <v>2841</v>
      </c>
      <c r="F525" s="5" t="s">
        <v>2842</v>
      </c>
      <c r="G525" s="5" t="s">
        <v>185</v>
      </c>
      <c r="H525" s="5" t="s">
        <v>2843</v>
      </c>
      <c r="I525" s="5" t="s">
        <v>2844</v>
      </c>
      <c r="J525" s="5" t="s">
        <v>2845</v>
      </c>
      <c r="K525" s="5" t="s">
        <v>2846</v>
      </c>
      <c r="L525" s="11">
        <v>4</v>
      </c>
      <c r="M525" s="5" t="s">
        <v>2726</v>
      </c>
    </row>
    <row r="526" spans="2:13" ht="37.5" customHeight="1" x14ac:dyDescent="0.35">
      <c r="B526" s="12"/>
      <c r="C526" s="7" t="s">
        <v>2847</v>
      </c>
      <c r="D526" s="12">
        <v>2</v>
      </c>
      <c r="E526" s="7" t="s">
        <v>2848</v>
      </c>
      <c r="F526" s="7" t="s">
        <v>2849</v>
      </c>
      <c r="G526" s="7" t="s">
        <v>2850</v>
      </c>
      <c r="H526" s="7" t="s">
        <v>2851</v>
      </c>
      <c r="I526" s="7" t="s">
        <v>2852</v>
      </c>
      <c r="J526" s="7" t="s">
        <v>404</v>
      </c>
      <c r="K526" s="7" t="s">
        <v>2853</v>
      </c>
      <c r="L526" s="12">
        <v>2</v>
      </c>
      <c r="M526" s="7" t="s">
        <v>2726</v>
      </c>
    </row>
    <row r="527" spans="2:13" ht="37.5" customHeight="1" x14ac:dyDescent="0.35">
      <c r="B527" s="11">
        <v>48</v>
      </c>
      <c r="C527" s="5" t="s">
        <v>2854</v>
      </c>
      <c r="D527" s="11">
        <v>1</v>
      </c>
      <c r="E527" s="5" t="s">
        <v>2855</v>
      </c>
      <c r="F527" s="5" t="s">
        <v>2856</v>
      </c>
      <c r="G527" s="5" t="s">
        <v>395</v>
      </c>
      <c r="H527" s="5" t="s">
        <v>37</v>
      </c>
      <c r="I527" s="5" t="s">
        <v>1676</v>
      </c>
      <c r="J527" s="5" t="s">
        <v>2857</v>
      </c>
      <c r="K527" s="5" t="s">
        <v>2858</v>
      </c>
      <c r="L527" s="11">
        <v>1</v>
      </c>
      <c r="M527" s="5" t="s">
        <v>2726</v>
      </c>
    </row>
    <row r="528" spans="2:13" ht="37.5" customHeight="1" x14ac:dyDescent="0.35">
      <c r="B528" s="12">
        <v>49</v>
      </c>
      <c r="C528" s="7" t="s">
        <v>2859</v>
      </c>
      <c r="D528" s="12">
        <v>1</v>
      </c>
      <c r="E528" s="7" t="s">
        <v>2860</v>
      </c>
      <c r="F528" s="7" t="s">
        <v>2861</v>
      </c>
      <c r="G528" s="7" t="s">
        <v>1076</v>
      </c>
      <c r="H528" s="7" t="s">
        <v>36</v>
      </c>
      <c r="I528" s="7" t="s">
        <v>1259</v>
      </c>
      <c r="J528" s="7" t="s">
        <v>1107</v>
      </c>
      <c r="K528" s="7" t="s">
        <v>2862</v>
      </c>
      <c r="L528" s="12">
        <v>1</v>
      </c>
      <c r="M528" s="7" t="s">
        <v>2359</v>
      </c>
    </row>
    <row r="529" spans="2:13" ht="52.5" customHeight="1" x14ac:dyDescent="0.35">
      <c r="B529" s="11">
        <v>50</v>
      </c>
      <c r="C529" s="5" t="s">
        <v>2863</v>
      </c>
      <c r="D529" s="11">
        <v>1</v>
      </c>
      <c r="E529" s="5" t="s">
        <v>2864</v>
      </c>
      <c r="F529" s="5" t="s">
        <v>2865</v>
      </c>
      <c r="G529" s="5" t="s">
        <v>168</v>
      </c>
      <c r="H529" s="5" t="s">
        <v>2866</v>
      </c>
      <c r="I529" s="5" t="s">
        <v>2867</v>
      </c>
      <c r="J529" s="5" t="s">
        <v>233</v>
      </c>
      <c r="K529" s="5" t="s">
        <v>2868</v>
      </c>
      <c r="L529" s="11">
        <v>3</v>
      </c>
      <c r="M529" s="5" t="s">
        <v>1324</v>
      </c>
    </row>
    <row r="530" spans="2:13" ht="21.75" customHeight="1" x14ac:dyDescent="0.35">
      <c r="B530" s="12">
        <v>50</v>
      </c>
      <c r="C530" s="7" t="s">
        <v>2863</v>
      </c>
      <c r="D530" s="12">
        <v>2</v>
      </c>
      <c r="E530" s="7" t="s">
        <v>2869</v>
      </c>
      <c r="F530" s="7" t="s">
        <v>2870</v>
      </c>
      <c r="G530" s="7" t="s">
        <v>497</v>
      </c>
      <c r="H530" s="7" t="s">
        <v>43</v>
      </c>
      <c r="I530" s="7" t="s">
        <v>806</v>
      </c>
      <c r="J530" s="7" t="s">
        <v>404</v>
      </c>
      <c r="K530" s="7" t="s">
        <v>807</v>
      </c>
      <c r="L530" s="12">
        <v>1</v>
      </c>
      <c r="M530" s="7" t="s">
        <v>1324</v>
      </c>
    </row>
    <row r="531" spans="2:13" ht="37.5" customHeight="1" x14ac:dyDescent="0.35">
      <c r="B531" s="11">
        <v>51</v>
      </c>
      <c r="C531" s="5" t="s">
        <v>2871</v>
      </c>
      <c r="D531" s="11">
        <v>1</v>
      </c>
      <c r="E531" s="5" t="s">
        <v>2872</v>
      </c>
      <c r="F531" s="5" t="s">
        <v>2873</v>
      </c>
      <c r="G531" s="5" t="s">
        <v>30</v>
      </c>
      <c r="H531" s="5" t="s">
        <v>2874</v>
      </c>
      <c r="I531" s="5" t="s">
        <v>52</v>
      </c>
      <c r="J531" s="5" t="s">
        <v>2875</v>
      </c>
      <c r="K531" s="5" t="s">
        <v>2876</v>
      </c>
      <c r="L531" s="11">
        <v>1</v>
      </c>
      <c r="M531" s="5" t="s">
        <v>1324</v>
      </c>
    </row>
    <row r="532" spans="2:13" ht="37.5" customHeight="1" x14ac:dyDescent="0.35">
      <c r="B532" s="12">
        <v>51</v>
      </c>
      <c r="C532" s="7" t="s">
        <v>2871</v>
      </c>
      <c r="D532" s="12">
        <v>2</v>
      </c>
      <c r="E532" s="7" t="s">
        <v>2877</v>
      </c>
      <c r="F532" s="7" t="s">
        <v>2878</v>
      </c>
      <c r="G532" s="7" t="s">
        <v>1076</v>
      </c>
      <c r="H532" s="7" t="s">
        <v>1574</v>
      </c>
      <c r="I532" s="7" t="s">
        <v>56</v>
      </c>
      <c r="J532" s="7" t="s">
        <v>1063</v>
      </c>
      <c r="K532" s="7" t="s">
        <v>1575</v>
      </c>
      <c r="L532" s="12">
        <v>1</v>
      </c>
      <c r="M532" s="7" t="s">
        <v>1324</v>
      </c>
    </row>
    <row r="533" spans="2:13" ht="37.5" customHeight="1" x14ac:dyDescent="0.35">
      <c r="B533" s="11">
        <v>51</v>
      </c>
      <c r="C533" s="5" t="s">
        <v>2871</v>
      </c>
      <c r="D533" s="11">
        <v>3</v>
      </c>
      <c r="E533" s="5" t="s">
        <v>2879</v>
      </c>
      <c r="F533" s="5" t="s">
        <v>2880</v>
      </c>
      <c r="G533" s="5" t="s">
        <v>188</v>
      </c>
      <c r="H533" s="5" t="s">
        <v>43</v>
      </c>
      <c r="I533" s="5" t="s">
        <v>806</v>
      </c>
      <c r="J533" s="5" t="s">
        <v>2875</v>
      </c>
      <c r="K533" s="5" t="s">
        <v>2881</v>
      </c>
      <c r="L533" s="11">
        <v>1</v>
      </c>
      <c r="M533" s="5" t="s">
        <v>1324</v>
      </c>
    </row>
    <row r="534" spans="2:13" ht="37.5" customHeight="1" x14ac:dyDescent="0.35">
      <c r="B534" s="12">
        <v>52</v>
      </c>
      <c r="C534" s="7" t="s">
        <v>2882</v>
      </c>
      <c r="D534" s="12">
        <v>1</v>
      </c>
      <c r="E534" s="7" t="s">
        <v>2883</v>
      </c>
      <c r="F534" s="7" t="s">
        <v>2884</v>
      </c>
      <c r="G534" s="7" t="s">
        <v>24</v>
      </c>
      <c r="H534" s="7" t="s">
        <v>38</v>
      </c>
      <c r="I534" s="7" t="s">
        <v>2885</v>
      </c>
      <c r="J534" s="7" t="s">
        <v>2102</v>
      </c>
      <c r="K534" s="7" t="s">
        <v>2886</v>
      </c>
      <c r="L534" s="12">
        <v>1</v>
      </c>
      <c r="M534" s="7" t="s">
        <v>2887</v>
      </c>
    </row>
    <row r="535" spans="2:13" ht="67.5" customHeight="1" x14ac:dyDescent="0.35">
      <c r="B535" s="11">
        <v>52</v>
      </c>
      <c r="C535" s="5" t="s">
        <v>2882</v>
      </c>
      <c r="D535" s="11">
        <v>2</v>
      </c>
      <c r="E535" s="5" t="s">
        <v>2888</v>
      </c>
      <c r="F535" s="5" t="s">
        <v>2889</v>
      </c>
      <c r="G535" s="5" t="s">
        <v>1294</v>
      </c>
      <c r="H535" s="5" t="s">
        <v>2890</v>
      </c>
      <c r="I535" s="5" t="s">
        <v>2891</v>
      </c>
      <c r="J535" s="5" t="s">
        <v>2892</v>
      </c>
      <c r="K535" s="5" t="s">
        <v>2893</v>
      </c>
      <c r="L535" s="11">
        <v>4</v>
      </c>
      <c r="M535" s="5" t="s">
        <v>2887</v>
      </c>
    </row>
    <row r="536" spans="2:13" ht="67.5" customHeight="1" x14ac:dyDescent="0.35">
      <c r="B536" s="12">
        <v>52</v>
      </c>
      <c r="C536" s="7" t="s">
        <v>2882</v>
      </c>
      <c r="D536" s="12">
        <v>3</v>
      </c>
      <c r="E536" s="7" t="s">
        <v>2894</v>
      </c>
      <c r="F536" s="7" t="s">
        <v>2895</v>
      </c>
      <c r="G536" s="7" t="s">
        <v>29</v>
      </c>
      <c r="H536" s="7" t="s">
        <v>2896</v>
      </c>
      <c r="I536" s="7" t="s">
        <v>2897</v>
      </c>
      <c r="J536" s="7" t="s">
        <v>404</v>
      </c>
      <c r="K536" s="7" t="s">
        <v>2898</v>
      </c>
      <c r="L536" s="12">
        <v>3</v>
      </c>
      <c r="M536" s="7" t="s">
        <v>2887</v>
      </c>
    </row>
    <row r="537" spans="2:13" ht="52.5" customHeight="1" x14ac:dyDescent="0.35">
      <c r="B537" s="11">
        <v>52</v>
      </c>
      <c r="C537" s="5" t="s">
        <v>2882</v>
      </c>
      <c r="D537" s="11">
        <v>4</v>
      </c>
      <c r="E537" s="5" t="s">
        <v>2899</v>
      </c>
      <c r="F537" s="5" t="s">
        <v>2900</v>
      </c>
      <c r="G537" s="5" t="s">
        <v>566</v>
      </c>
      <c r="H537" s="5" t="s">
        <v>2901</v>
      </c>
      <c r="I537" s="5" t="s">
        <v>2902</v>
      </c>
      <c r="J537" s="5" t="s">
        <v>404</v>
      </c>
      <c r="K537" s="5" t="s">
        <v>2903</v>
      </c>
      <c r="L537" s="11">
        <v>3</v>
      </c>
      <c r="M537" s="5" t="s">
        <v>2887</v>
      </c>
    </row>
    <row r="538" spans="2:13" ht="37.5" customHeight="1" x14ac:dyDescent="0.35">
      <c r="B538" s="12">
        <v>52</v>
      </c>
      <c r="C538" s="7" t="s">
        <v>2882</v>
      </c>
      <c r="D538" s="12">
        <v>5</v>
      </c>
      <c r="E538" s="7" t="s">
        <v>2904</v>
      </c>
      <c r="F538" s="7" t="s">
        <v>2905</v>
      </c>
      <c r="G538" s="7" t="s">
        <v>168</v>
      </c>
      <c r="H538" s="7" t="s">
        <v>1977</v>
      </c>
      <c r="I538" s="7" t="s">
        <v>53</v>
      </c>
      <c r="J538" s="7" t="s">
        <v>404</v>
      </c>
      <c r="K538" s="7" t="s">
        <v>2906</v>
      </c>
      <c r="L538" s="12">
        <v>2</v>
      </c>
      <c r="M538" s="7" t="s">
        <v>2887</v>
      </c>
    </row>
    <row r="539" spans="2:13" ht="37.5" customHeight="1" x14ac:dyDescent="0.35">
      <c r="B539" s="11">
        <v>52</v>
      </c>
      <c r="C539" s="5" t="s">
        <v>2882</v>
      </c>
      <c r="D539" s="11">
        <v>6</v>
      </c>
      <c r="E539" s="5" t="s">
        <v>2907</v>
      </c>
      <c r="F539" s="5" t="s">
        <v>2908</v>
      </c>
      <c r="G539" s="5" t="s">
        <v>365</v>
      </c>
      <c r="H539" s="5" t="s">
        <v>1977</v>
      </c>
      <c r="I539" s="5" t="s">
        <v>53</v>
      </c>
      <c r="J539" s="5" t="s">
        <v>404</v>
      </c>
      <c r="K539" s="5" t="s">
        <v>2906</v>
      </c>
      <c r="L539" s="11">
        <v>2</v>
      </c>
      <c r="M539" s="5" t="s">
        <v>2887</v>
      </c>
    </row>
    <row r="540" spans="2:13" ht="37.5" customHeight="1" x14ac:dyDescent="0.35">
      <c r="B540" s="12">
        <v>52</v>
      </c>
      <c r="C540" s="7" t="s">
        <v>2882</v>
      </c>
      <c r="D540" s="12">
        <v>7</v>
      </c>
      <c r="E540" s="7" t="s">
        <v>2909</v>
      </c>
      <c r="F540" s="7" t="s">
        <v>2910</v>
      </c>
      <c r="G540" s="7" t="s">
        <v>282</v>
      </c>
      <c r="H540" s="7" t="s">
        <v>38</v>
      </c>
      <c r="I540" s="7" t="s">
        <v>53</v>
      </c>
      <c r="J540" s="7" t="s">
        <v>404</v>
      </c>
      <c r="K540" s="7" t="s">
        <v>1306</v>
      </c>
      <c r="L540" s="12">
        <v>1</v>
      </c>
      <c r="M540" s="7" t="s">
        <v>2887</v>
      </c>
    </row>
    <row r="541" spans="2:13" ht="52.5" customHeight="1" x14ac:dyDescent="0.35">
      <c r="B541" s="11">
        <v>52</v>
      </c>
      <c r="C541" s="5" t="s">
        <v>2882</v>
      </c>
      <c r="D541" s="11">
        <v>8</v>
      </c>
      <c r="E541" s="5" t="s">
        <v>2911</v>
      </c>
      <c r="F541" s="5" t="s">
        <v>2912</v>
      </c>
      <c r="G541" s="5" t="s">
        <v>30</v>
      </c>
      <c r="H541" s="5" t="s">
        <v>2901</v>
      </c>
      <c r="I541" s="5" t="s">
        <v>2902</v>
      </c>
      <c r="J541" s="5" t="s">
        <v>404</v>
      </c>
      <c r="K541" s="5" t="s">
        <v>2903</v>
      </c>
      <c r="L541" s="11">
        <v>3</v>
      </c>
      <c r="M541" s="5" t="s">
        <v>2887</v>
      </c>
    </row>
    <row r="542" spans="2:13" ht="21.75" customHeight="1" x14ac:dyDescent="0.35">
      <c r="B542" s="12">
        <v>52</v>
      </c>
      <c r="C542" s="7" t="s">
        <v>2882</v>
      </c>
      <c r="D542" s="12">
        <v>9</v>
      </c>
      <c r="E542" s="7" t="s">
        <v>2913</v>
      </c>
      <c r="F542" s="7" t="s">
        <v>2914</v>
      </c>
      <c r="G542" s="7" t="s">
        <v>384</v>
      </c>
      <c r="H542" s="7" t="s">
        <v>38</v>
      </c>
      <c r="I542" s="7" t="s">
        <v>53</v>
      </c>
      <c r="J542" s="7" t="s">
        <v>404</v>
      </c>
      <c r="K542" s="7" t="s">
        <v>1306</v>
      </c>
      <c r="L542" s="12">
        <v>1</v>
      </c>
      <c r="M542" s="7" t="s">
        <v>2887</v>
      </c>
    </row>
    <row r="543" spans="2:13" ht="37.5" customHeight="1" x14ac:dyDescent="0.35">
      <c r="B543" s="11">
        <v>52</v>
      </c>
      <c r="C543" s="5" t="s">
        <v>2882</v>
      </c>
      <c r="D543" s="11">
        <v>10</v>
      </c>
      <c r="E543" s="5" t="s">
        <v>2915</v>
      </c>
      <c r="F543" s="5" t="s">
        <v>2916</v>
      </c>
      <c r="G543" s="5" t="s">
        <v>358</v>
      </c>
      <c r="H543" s="5" t="s">
        <v>38</v>
      </c>
      <c r="I543" s="5" t="s">
        <v>53</v>
      </c>
      <c r="J543" s="5" t="s">
        <v>404</v>
      </c>
      <c r="K543" s="5" t="s">
        <v>1306</v>
      </c>
      <c r="L543" s="11">
        <v>1</v>
      </c>
      <c r="M543" s="5" t="s">
        <v>2887</v>
      </c>
    </row>
    <row r="544" spans="2:13" ht="52.5" customHeight="1" x14ac:dyDescent="0.35">
      <c r="B544" s="12">
        <v>52</v>
      </c>
      <c r="C544" s="7" t="s">
        <v>2882</v>
      </c>
      <c r="D544" s="12">
        <v>11</v>
      </c>
      <c r="E544" s="7" t="s">
        <v>2917</v>
      </c>
      <c r="F544" s="7" t="s">
        <v>2918</v>
      </c>
      <c r="G544" s="7" t="s">
        <v>2919</v>
      </c>
      <c r="H544" s="7" t="s">
        <v>2920</v>
      </c>
      <c r="I544" s="7" t="s">
        <v>2921</v>
      </c>
      <c r="J544" s="7" t="s">
        <v>385</v>
      </c>
      <c r="K544" s="7" t="s">
        <v>2922</v>
      </c>
      <c r="L544" s="12">
        <v>3</v>
      </c>
      <c r="M544" s="7" t="s">
        <v>2887</v>
      </c>
    </row>
    <row r="545" spans="2:13" ht="37.5" customHeight="1" x14ac:dyDescent="0.35">
      <c r="B545" s="11">
        <v>52</v>
      </c>
      <c r="C545" s="5" t="s">
        <v>2882</v>
      </c>
      <c r="D545" s="11">
        <v>12</v>
      </c>
      <c r="E545" s="5" t="s">
        <v>2923</v>
      </c>
      <c r="F545" s="5" t="s">
        <v>2924</v>
      </c>
      <c r="G545" s="5" t="s">
        <v>439</v>
      </c>
      <c r="H545" s="5" t="s">
        <v>38</v>
      </c>
      <c r="I545" s="5" t="s">
        <v>53</v>
      </c>
      <c r="J545" s="5" t="s">
        <v>404</v>
      </c>
      <c r="K545" s="5" t="s">
        <v>1306</v>
      </c>
      <c r="L545" s="11">
        <v>1</v>
      </c>
      <c r="M545" s="5" t="s">
        <v>2887</v>
      </c>
    </row>
    <row r="546" spans="2:13" ht="37.5" customHeight="1" x14ac:dyDescent="0.35">
      <c r="B546" s="12">
        <v>52</v>
      </c>
      <c r="C546" s="7" t="s">
        <v>2882</v>
      </c>
      <c r="D546" s="12">
        <v>13</v>
      </c>
      <c r="E546" s="7" t="s">
        <v>2925</v>
      </c>
      <c r="F546" s="7" t="s">
        <v>2926</v>
      </c>
      <c r="G546" s="7" t="s">
        <v>504</v>
      </c>
      <c r="H546" s="7" t="s">
        <v>2927</v>
      </c>
      <c r="I546" s="7" t="s">
        <v>2928</v>
      </c>
      <c r="J546" s="7" t="s">
        <v>404</v>
      </c>
      <c r="K546" s="7" t="s">
        <v>2929</v>
      </c>
      <c r="L546" s="12">
        <v>2</v>
      </c>
      <c r="M546" s="7" t="s">
        <v>2887</v>
      </c>
    </row>
    <row r="547" spans="2:13" ht="67.5" customHeight="1" x14ac:dyDescent="0.35">
      <c r="B547" s="11">
        <v>52</v>
      </c>
      <c r="C547" s="5" t="s">
        <v>2882</v>
      </c>
      <c r="D547" s="11">
        <v>14</v>
      </c>
      <c r="E547" s="5" t="s">
        <v>2930</v>
      </c>
      <c r="F547" s="5" t="s">
        <v>2931</v>
      </c>
      <c r="G547" s="5" t="s">
        <v>25</v>
      </c>
      <c r="H547" s="5" t="s">
        <v>2932</v>
      </c>
      <c r="I547" s="5" t="s">
        <v>2933</v>
      </c>
      <c r="J547" s="5" t="s">
        <v>404</v>
      </c>
      <c r="K547" s="5" t="s">
        <v>2934</v>
      </c>
      <c r="L547" s="11">
        <v>4</v>
      </c>
      <c r="M547" s="5" t="s">
        <v>2887</v>
      </c>
    </row>
    <row r="548" spans="2:13" ht="37.5" customHeight="1" x14ac:dyDescent="0.35">
      <c r="B548" s="12">
        <v>52</v>
      </c>
      <c r="C548" s="7" t="s">
        <v>2882</v>
      </c>
      <c r="D548" s="12">
        <v>15</v>
      </c>
      <c r="E548" s="7" t="s">
        <v>2935</v>
      </c>
      <c r="F548" s="7" t="s">
        <v>2936</v>
      </c>
      <c r="G548" s="7" t="s">
        <v>1435</v>
      </c>
      <c r="H548" s="7" t="s">
        <v>1977</v>
      </c>
      <c r="I548" s="7" t="s">
        <v>2055</v>
      </c>
      <c r="J548" s="7" t="s">
        <v>404</v>
      </c>
      <c r="K548" s="7" t="s">
        <v>2937</v>
      </c>
      <c r="L548" s="12">
        <v>2</v>
      </c>
      <c r="M548" s="7" t="s">
        <v>2887</v>
      </c>
    </row>
    <row r="549" spans="2:13" ht="37.5" customHeight="1" x14ac:dyDescent="0.35">
      <c r="B549" s="11">
        <v>52</v>
      </c>
      <c r="C549" s="5" t="s">
        <v>2882</v>
      </c>
      <c r="D549" s="11">
        <v>16</v>
      </c>
      <c r="E549" s="5" t="s">
        <v>2938</v>
      </c>
      <c r="F549" s="5" t="s">
        <v>2939</v>
      </c>
      <c r="G549" s="5" t="s">
        <v>395</v>
      </c>
      <c r="H549" s="5" t="s">
        <v>38</v>
      </c>
      <c r="I549" s="5" t="s">
        <v>53</v>
      </c>
      <c r="J549" s="5" t="s">
        <v>404</v>
      </c>
      <c r="K549" s="5" t="s">
        <v>1306</v>
      </c>
      <c r="L549" s="11">
        <v>1</v>
      </c>
      <c r="M549" s="5" t="s">
        <v>2887</v>
      </c>
    </row>
    <row r="550" spans="2:13" ht="37.5" customHeight="1" x14ac:dyDescent="0.35">
      <c r="B550" s="12">
        <v>52</v>
      </c>
      <c r="C550" s="7" t="s">
        <v>2882</v>
      </c>
      <c r="D550" s="12">
        <v>17</v>
      </c>
      <c r="E550" s="7" t="s">
        <v>2940</v>
      </c>
      <c r="F550" s="7" t="s">
        <v>2941</v>
      </c>
      <c r="G550" s="7" t="s">
        <v>428</v>
      </c>
      <c r="H550" s="7" t="s">
        <v>38</v>
      </c>
      <c r="I550" s="7" t="s">
        <v>53</v>
      </c>
      <c r="J550" s="7" t="s">
        <v>404</v>
      </c>
      <c r="K550" s="7" t="s">
        <v>1306</v>
      </c>
      <c r="L550" s="12">
        <v>1</v>
      </c>
      <c r="M550" s="7" t="s">
        <v>2887</v>
      </c>
    </row>
    <row r="551" spans="2:13" ht="37.5" customHeight="1" x14ac:dyDescent="0.35">
      <c r="B551" s="11">
        <v>52</v>
      </c>
      <c r="C551" s="5" t="s">
        <v>2882</v>
      </c>
      <c r="D551" s="11">
        <v>18</v>
      </c>
      <c r="E551" s="5" t="s">
        <v>2942</v>
      </c>
      <c r="F551" s="5" t="s">
        <v>2943</v>
      </c>
      <c r="G551" s="5" t="s">
        <v>733</v>
      </c>
      <c r="H551" s="5" t="s">
        <v>2927</v>
      </c>
      <c r="I551" s="5" t="s">
        <v>2928</v>
      </c>
      <c r="J551" s="5" t="s">
        <v>2731</v>
      </c>
      <c r="K551" s="5" t="s">
        <v>2944</v>
      </c>
      <c r="L551" s="11">
        <v>2</v>
      </c>
      <c r="M551" s="5" t="s">
        <v>2887</v>
      </c>
    </row>
    <row r="552" spans="2:13" ht="37.5" customHeight="1" x14ac:dyDescent="0.35">
      <c r="B552" s="12">
        <v>52</v>
      </c>
      <c r="C552" s="7" t="s">
        <v>2882</v>
      </c>
      <c r="D552" s="12">
        <v>19</v>
      </c>
      <c r="E552" s="7" t="s">
        <v>2945</v>
      </c>
      <c r="F552" s="7" t="s">
        <v>2946</v>
      </c>
      <c r="G552" s="7" t="s">
        <v>1560</v>
      </c>
      <c r="H552" s="7" t="s">
        <v>38</v>
      </c>
      <c r="I552" s="7" t="s">
        <v>53</v>
      </c>
      <c r="J552" s="7" t="s">
        <v>404</v>
      </c>
      <c r="K552" s="7" t="s">
        <v>1306</v>
      </c>
      <c r="L552" s="12">
        <v>1</v>
      </c>
      <c r="M552" s="7" t="s">
        <v>2887</v>
      </c>
    </row>
    <row r="553" spans="2:13" ht="21.75" customHeight="1" x14ac:dyDescent="0.35">
      <c r="B553" s="11">
        <v>52</v>
      </c>
      <c r="C553" s="5" t="s">
        <v>2882</v>
      </c>
      <c r="D553" s="11">
        <v>20</v>
      </c>
      <c r="E553" s="5" t="s">
        <v>2947</v>
      </c>
      <c r="F553" s="5" t="s">
        <v>2948</v>
      </c>
      <c r="G553" s="5" t="s">
        <v>2415</v>
      </c>
      <c r="H553" s="5" t="s">
        <v>38</v>
      </c>
      <c r="I553" s="5" t="s">
        <v>53</v>
      </c>
      <c r="J553" s="5" t="s">
        <v>404</v>
      </c>
      <c r="K553" s="5" t="s">
        <v>1306</v>
      </c>
      <c r="L553" s="11">
        <v>1</v>
      </c>
      <c r="M553" s="5" t="s">
        <v>2887</v>
      </c>
    </row>
    <row r="554" spans="2:13" ht="82.5" customHeight="1" x14ac:dyDescent="0.35">
      <c r="B554" s="12">
        <v>52</v>
      </c>
      <c r="C554" s="7" t="s">
        <v>2882</v>
      </c>
      <c r="D554" s="12">
        <v>21</v>
      </c>
      <c r="E554" s="7" t="s">
        <v>2949</v>
      </c>
      <c r="F554" s="7" t="s">
        <v>2950</v>
      </c>
      <c r="G554" s="7" t="s">
        <v>25</v>
      </c>
      <c r="H554" s="7" t="s">
        <v>2951</v>
      </c>
      <c r="I554" s="7" t="s">
        <v>2952</v>
      </c>
      <c r="J554" s="7" t="s">
        <v>404</v>
      </c>
      <c r="K554" s="7" t="s">
        <v>2953</v>
      </c>
      <c r="L554" s="12">
        <v>5</v>
      </c>
      <c r="M554" s="7" t="s">
        <v>2887</v>
      </c>
    </row>
    <row r="555" spans="2:13" ht="37.5" customHeight="1" x14ac:dyDescent="0.35">
      <c r="B555" s="11">
        <v>52</v>
      </c>
      <c r="C555" s="5" t="s">
        <v>2882</v>
      </c>
      <c r="D555" s="11">
        <v>22</v>
      </c>
      <c r="E555" s="5" t="s">
        <v>2954</v>
      </c>
      <c r="F555" s="5" t="s">
        <v>2955</v>
      </c>
      <c r="G555" s="5" t="s">
        <v>531</v>
      </c>
      <c r="H555" s="5" t="s">
        <v>2956</v>
      </c>
      <c r="I555" s="5" t="s">
        <v>2957</v>
      </c>
      <c r="J555" s="5" t="s">
        <v>404</v>
      </c>
      <c r="K555" s="5" t="s">
        <v>2958</v>
      </c>
      <c r="L555" s="11">
        <v>2</v>
      </c>
      <c r="M555" s="5" t="s">
        <v>2887</v>
      </c>
    </row>
    <row r="556" spans="2:13" ht="37.5" customHeight="1" x14ac:dyDescent="0.35">
      <c r="B556" s="12">
        <v>52</v>
      </c>
      <c r="C556" s="7" t="s">
        <v>2882</v>
      </c>
      <c r="D556" s="12">
        <v>23</v>
      </c>
      <c r="E556" s="7" t="s">
        <v>2959</v>
      </c>
      <c r="F556" s="7" t="s">
        <v>2960</v>
      </c>
      <c r="G556" s="7" t="s">
        <v>33</v>
      </c>
      <c r="H556" s="7" t="s">
        <v>2927</v>
      </c>
      <c r="I556" s="7" t="s">
        <v>2928</v>
      </c>
      <c r="J556" s="7" t="s">
        <v>404</v>
      </c>
      <c r="K556" s="7" t="s">
        <v>2929</v>
      </c>
      <c r="L556" s="12">
        <v>2</v>
      </c>
      <c r="M556" s="7" t="s">
        <v>2887</v>
      </c>
    </row>
    <row r="557" spans="2:13" ht="37.5" customHeight="1" x14ac:dyDescent="0.35">
      <c r="B557" s="11">
        <v>52</v>
      </c>
      <c r="C557" s="5" t="s">
        <v>2882</v>
      </c>
      <c r="D557" s="11">
        <v>24</v>
      </c>
      <c r="E557" s="5" t="s">
        <v>2961</v>
      </c>
      <c r="F557" s="5" t="s">
        <v>2962</v>
      </c>
      <c r="G557" s="5" t="s">
        <v>442</v>
      </c>
      <c r="H557" s="5" t="s">
        <v>40</v>
      </c>
      <c r="I557" s="5" t="s">
        <v>1485</v>
      </c>
      <c r="J557" s="5" t="s">
        <v>404</v>
      </c>
      <c r="K557" s="5" t="s">
        <v>2963</v>
      </c>
      <c r="L557" s="11">
        <v>1</v>
      </c>
      <c r="M557" s="5" t="s">
        <v>2887</v>
      </c>
    </row>
    <row r="558" spans="2:13" ht="37.5" customHeight="1" x14ac:dyDescent="0.35">
      <c r="B558" s="12">
        <v>52</v>
      </c>
      <c r="C558" s="7" t="s">
        <v>2882</v>
      </c>
      <c r="D558" s="12">
        <v>25</v>
      </c>
      <c r="E558" s="7" t="s">
        <v>2964</v>
      </c>
      <c r="F558" s="7" t="s">
        <v>2965</v>
      </c>
      <c r="G558" s="7" t="s">
        <v>206</v>
      </c>
      <c r="H558" s="7" t="s">
        <v>2966</v>
      </c>
      <c r="I558" s="7" t="s">
        <v>2967</v>
      </c>
      <c r="J558" s="7" t="s">
        <v>404</v>
      </c>
      <c r="K558" s="7" t="s">
        <v>2968</v>
      </c>
      <c r="L558" s="12">
        <v>1</v>
      </c>
      <c r="M558" s="7" t="s">
        <v>2887</v>
      </c>
    </row>
    <row r="559" spans="2:13" ht="52.5" customHeight="1" x14ac:dyDescent="0.35">
      <c r="B559" s="11">
        <v>52</v>
      </c>
      <c r="C559" s="5" t="s">
        <v>2882</v>
      </c>
      <c r="D559" s="11">
        <v>26</v>
      </c>
      <c r="E559" s="5" t="s">
        <v>2969</v>
      </c>
      <c r="F559" s="5" t="s">
        <v>2970</v>
      </c>
      <c r="G559" s="5" t="s">
        <v>576</v>
      </c>
      <c r="H559" s="5" t="s">
        <v>2971</v>
      </c>
      <c r="I559" s="5" t="s">
        <v>2972</v>
      </c>
      <c r="J559" s="5" t="s">
        <v>404</v>
      </c>
      <c r="K559" s="5" t="s">
        <v>2973</v>
      </c>
      <c r="L559" s="11">
        <v>2</v>
      </c>
      <c r="M559" s="5" t="s">
        <v>2887</v>
      </c>
    </row>
    <row r="560" spans="2:13" ht="37.5" customHeight="1" x14ac:dyDescent="0.35">
      <c r="B560" s="12">
        <v>52</v>
      </c>
      <c r="C560" s="7" t="s">
        <v>2882</v>
      </c>
      <c r="D560" s="12">
        <v>27</v>
      </c>
      <c r="E560" s="7" t="s">
        <v>2974</v>
      </c>
      <c r="F560" s="7" t="s">
        <v>2975</v>
      </c>
      <c r="G560" s="7" t="s">
        <v>513</v>
      </c>
      <c r="H560" s="7" t="s">
        <v>38</v>
      </c>
      <c r="I560" s="7" t="s">
        <v>2967</v>
      </c>
      <c r="J560" s="7" t="s">
        <v>404</v>
      </c>
      <c r="K560" s="7" t="s">
        <v>2976</v>
      </c>
      <c r="L560" s="12">
        <v>1</v>
      </c>
      <c r="M560" s="7" t="s">
        <v>2887</v>
      </c>
    </row>
    <row r="561" spans="2:13" ht="67.5" customHeight="1" x14ac:dyDescent="0.35">
      <c r="B561" s="11">
        <v>52</v>
      </c>
      <c r="C561" s="5" t="s">
        <v>2882</v>
      </c>
      <c r="D561" s="11">
        <v>28</v>
      </c>
      <c r="E561" s="5" t="s">
        <v>2977</v>
      </c>
      <c r="F561" s="5" t="s">
        <v>2978</v>
      </c>
      <c r="G561" s="5" t="s">
        <v>395</v>
      </c>
      <c r="H561" s="5" t="s">
        <v>2979</v>
      </c>
      <c r="I561" s="5" t="s">
        <v>2980</v>
      </c>
      <c r="J561" s="5" t="s">
        <v>404</v>
      </c>
      <c r="K561" s="5" t="s">
        <v>2981</v>
      </c>
      <c r="L561" s="11">
        <v>3</v>
      </c>
      <c r="M561" s="5" t="s">
        <v>2887</v>
      </c>
    </row>
    <row r="562" spans="2:13" ht="67.5" customHeight="1" x14ac:dyDescent="0.35">
      <c r="B562" s="12">
        <v>52</v>
      </c>
      <c r="C562" s="7" t="s">
        <v>2882</v>
      </c>
      <c r="D562" s="12">
        <v>29</v>
      </c>
      <c r="E562" s="7" t="s">
        <v>2982</v>
      </c>
      <c r="F562" s="7" t="s">
        <v>2983</v>
      </c>
      <c r="G562" s="7" t="s">
        <v>457</v>
      </c>
      <c r="H562" s="7" t="s">
        <v>2979</v>
      </c>
      <c r="I562" s="7" t="s">
        <v>2980</v>
      </c>
      <c r="J562" s="7" t="s">
        <v>404</v>
      </c>
      <c r="K562" s="7" t="s">
        <v>2981</v>
      </c>
      <c r="L562" s="12">
        <v>3</v>
      </c>
      <c r="M562" s="7" t="s">
        <v>2887</v>
      </c>
    </row>
    <row r="563" spans="2:13" ht="52.5" customHeight="1" x14ac:dyDescent="0.35">
      <c r="B563" s="11">
        <v>52</v>
      </c>
      <c r="C563" s="5" t="s">
        <v>2882</v>
      </c>
      <c r="D563" s="11">
        <v>30</v>
      </c>
      <c r="E563" s="5" t="s">
        <v>2984</v>
      </c>
      <c r="F563" s="5" t="s">
        <v>2985</v>
      </c>
      <c r="G563" s="5" t="s">
        <v>825</v>
      </c>
      <c r="H563" s="5" t="s">
        <v>2986</v>
      </c>
      <c r="I563" s="5" t="s">
        <v>2987</v>
      </c>
      <c r="J563" s="5" t="s">
        <v>404</v>
      </c>
      <c r="K563" s="5" t="s">
        <v>2988</v>
      </c>
      <c r="L563" s="11">
        <v>2</v>
      </c>
      <c r="M563" s="5" t="s">
        <v>2887</v>
      </c>
    </row>
    <row r="564" spans="2:13" ht="52.5" customHeight="1" x14ac:dyDescent="0.35">
      <c r="B564" s="12">
        <v>52</v>
      </c>
      <c r="C564" s="7" t="s">
        <v>2882</v>
      </c>
      <c r="D564" s="12">
        <v>31</v>
      </c>
      <c r="E564" s="7" t="s">
        <v>2989</v>
      </c>
      <c r="F564" s="7" t="s">
        <v>2990</v>
      </c>
      <c r="G564" s="7" t="s">
        <v>27</v>
      </c>
      <c r="H564" s="7" t="s">
        <v>1977</v>
      </c>
      <c r="I564" s="7" t="s">
        <v>2991</v>
      </c>
      <c r="J564" s="7" t="s">
        <v>404</v>
      </c>
      <c r="K564" s="7" t="s">
        <v>2992</v>
      </c>
      <c r="L564" s="12">
        <v>2</v>
      </c>
      <c r="M564" s="7" t="s">
        <v>2887</v>
      </c>
    </row>
    <row r="565" spans="2:13" ht="37.5" customHeight="1" x14ac:dyDescent="0.35">
      <c r="B565" s="11">
        <v>52</v>
      </c>
      <c r="C565" s="5" t="s">
        <v>2882</v>
      </c>
      <c r="D565" s="11">
        <v>32</v>
      </c>
      <c r="E565" s="5" t="s">
        <v>2993</v>
      </c>
      <c r="F565" s="5" t="s">
        <v>2994</v>
      </c>
      <c r="G565" s="5" t="s">
        <v>185</v>
      </c>
      <c r="H565" s="5" t="s">
        <v>38</v>
      </c>
      <c r="I565" s="5" t="s">
        <v>53</v>
      </c>
      <c r="J565" s="5" t="s">
        <v>404</v>
      </c>
      <c r="K565" s="5" t="s">
        <v>1306</v>
      </c>
      <c r="L565" s="11">
        <v>1</v>
      </c>
      <c r="M565" s="5" t="s">
        <v>2887</v>
      </c>
    </row>
    <row r="566" spans="2:13" ht="21.75" customHeight="1" x14ac:dyDescent="0.35">
      <c r="B566" s="12">
        <v>52</v>
      </c>
      <c r="C566" s="7" t="s">
        <v>2882</v>
      </c>
      <c r="D566" s="12">
        <v>33</v>
      </c>
      <c r="E566" s="7" t="s">
        <v>2995</v>
      </c>
      <c r="F566" s="7" t="s">
        <v>2996</v>
      </c>
      <c r="G566" s="7" t="s">
        <v>32</v>
      </c>
      <c r="H566" s="7" t="s">
        <v>38</v>
      </c>
      <c r="I566" s="7" t="s">
        <v>53</v>
      </c>
      <c r="J566" s="7" t="s">
        <v>404</v>
      </c>
      <c r="K566" s="7" t="s">
        <v>1306</v>
      </c>
      <c r="L566" s="12">
        <v>1</v>
      </c>
      <c r="M566" s="7" t="s">
        <v>2887</v>
      </c>
    </row>
    <row r="567" spans="2:13" ht="52.5" customHeight="1" x14ac:dyDescent="0.35">
      <c r="B567" s="11">
        <v>52</v>
      </c>
      <c r="C567" s="5" t="s">
        <v>2882</v>
      </c>
      <c r="D567" s="11">
        <v>34</v>
      </c>
      <c r="E567" s="5" t="s">
        <v>2997</v>
      </c>
      <c r="F567" s="5" t="s">
        <v>2998</v>
      </c>
      <c r="G567" s="5" t="s">
        <v>560</v>
      </c>
      <c r="H567" s="5" t="s">
        <v>2999</v>
      </c>
      <c r="I567" s="5" t="s">
        <v>3000</v>
      </c>
      <c r="J567" s="5" t="s">
        <v>404</v>
      </c>
      <c r="K567" s="5" t="s">
        <v>3001</v>
      </c>
      <c r="L567" s="11">
        <v>3</v>
      </c>
      <c r="M567" s="5" t="s">
        <v>2887</v>
      </c>
    </row>
    <row r="568" spans="2:13" ht="37.5" customHeight="1" x14ac:dyDescent="0.35">
      <c r="B568" s="12">
        <v>52</v>
      </c>
      <c r="C568" s="7" t="s">
        <v>2882</v>
      </c>
      <c r="D568" s="12">
        <v>35</v>
      </c>
      <c r="E568" s="7" t="s">
        <v>3002</v>
      </c>
      <c r="F568" s="7" t="s">
        <v>3003</v>
      </c>
      <c r="G568" s="7" t="s">
        <v>28</v>
      </c>
      <c r="H568" s="7" t="s">
        <v>38</v>
      </c>
      <c r="I568" s="7" t="s">
        <v>53</v>
      </c>
      <c r="J568" s="7" t="s">
        <v>404</v>
      </c>
      <c r="K568" s="7" t="s">
        <v>1306</v>
      </c>
      <c r="L568" s="12">
        <v>1</v>
      </c>
      <c r="M568" s="7" t="s">
        <v>2887</v>
      </c>
    </row>
    <row r="569" spans="2:13" ht="37.5" customHeight="1" x14ac:dyDescent="0.35">
      <c r="B569" s="11">
        <v>52</v>
      </c>
      <c r="C569" s="5" t="s">
        <v>2882</v>
      </c>
      <c r="D569" s="11">
        <v>36</v>
      </c>
      <c r="E569" s="5" t="s">
        <v>3004</v>
      </c>
      <c r="F569" s="5" t="s">
        <v>3005</v>
      </c>
      <c r="G569" s="5" t="s">
        <v>552</v>
      </c>
      <c r="H569" s="5" t="s">
        <v>38</v>
      </c>
      <c r="I569" s="5" t="s">
        <v>53</v>
      </c>
      <c r="J569" s="5" t="s">
        <v>404</v>
      </c>
      <c r="K569" s="5" t="s">
        <v>1306</v>
      </c>
      <c r="L569" s="11">
        <v>1</v>
      </c>
      <c r="M569" s="5" t="s">
        <v>2887</v>
      </c>
    </row>
    <row r="570" spans="2:13" ht="37.5" customHeight="1" x14ac:dyDescent="0.35">
      <c r="B570" s="12">
        <v>52</v>
      </c>
      <c r="C570" s="7" t="s">
        <v>2882</v>
      </c>
      <c r="D570" s="12">
        <v>37</v>
      </c>
      <c r="E570" s="7" t="s">
        <v>3006</v>
      </c>
      <c r="F570" s="7" t="s">
        <v>3007</v>
      </c>
      <c r="G570" s="7" t="s">
        <v>585</v>
      </c>
      <c r="H570" s="7" t="s">
        <v>1977</v>
      </c>
      <c r="I570" s="7" t="s">
        <v>3008</v>
      </c>
      <c r="J570" s="7" t="s">
        <v>404</v>
      </c>
      <c r="K570" s="7" t="s">
        <v>3009</v>
      </c>
      <c r="L570" s="12">
        <v>2</v>
      </c>
      <c r="M570" s="7" t="s">
        <v>2887</v>
      </c>
    </row>
    <row r="571" spans="2:13" ht="21.75" customHeight="1" x14ac:dyDescent="0.35">
      <c r="B571" s="11">
        <v>52</v>
      </c>
      <c r="C571" s="5" t="s">
        <v>2882</v>
      </c>
      <c r="D571" s="11">
        <v>38</v>
      </c>
      <c r="E571" s="5" t="s">
        <v>3010</v>
      </c>
      <c r="F571" s="5" t="s">
        <v>3011</v>
      </c>
      <c r="G571" s="5" t="s">
        <v>212</v>
      </c>
      <c r="H571" s="5" t="s">
        <v>38</v>
      </c>
      <c r="I571" s="5" t="s">
        <v>53</v>
      </c>
      <c r="J571" s="5" t="s">
        <v>404</v>
      </c>
      <c r="K571" s="5" t="s">
        <v>1306</v>
      </c>
      <c r="L571" s="11">
        <v>1</v>
      </c>
      <c r="M571" s="5" t="s">
        <v>2887</v>
      </c>
    </row>
    <row r="572" spans="2:13" ht="21.75" customHeight="1" x14ac:dyDescent="0.35">
      <c r="B572" s="12">
        <v>52</v>
      </c>
      <c r="C572" s="7" t="s">
        <v>2882</v>
      </c>
      <c r="D572" s="12">
        <v>39</v>
      </c>
      <c r="E572" s="7" t="s">
        <v>3012</v>
      </c>
      <c r="F572" s="7" t="s">
        <v>3013</v>
      </c>
      <c r="G572" s="7" t="s">
        <v>32</v>
      </c>
      <c r="H572" s="7" t="s">
        <v>38</v>
      </c>
      <c r="I572" s="7" t="s">
        <v>53</v>
      </c>
      <c r="J572" s="7" t="s">
        <v>404</v>
      </c>
      <c r="K572" s="7" t="s">
        <v>1306</v>
      </c>
      <c r="L572" s="12">
        <v>1</v>
      </c>
      <c r="M572" s="7" t="s">
        <v>2887</v>
      </c>
    </row>
    <row r="573" spans="2:13" ht="37.5" customHeight="1" x14ac:dyDescent="0.35">
      <c r="B573" s="11">
        <v>52</v>
      </c>
      <c r="C573" s="5" t="s">
        <v>2882</v>
      </c>
      <c r="D573" s="11">
        <v>40</v>
      </c>
      <c r="E573" s="5" t="s">
        <v>3014</v>
      </c>
      <c r="F573" s="5" t="s">
        <v>3015</v>
      </c>
      <c r="G573" s="5" t="s">
        <v>2405</v>
      </c>
      <c r="H573" s="5" t="s">
        <v>38</v>
      </c>
      <c r="I573" s="5" t="s">
        <v>53</v>
      </c>
      <c r="J573" s="5" t="s">
        <v>404</v>
      </c>
      <c r="K573" s="5" t="s">
        <v>1306</v>
      </c>
      <c r="L573" s="11">
        <v>1</v>
      </c>
      <c r="M573" s="5" t="s">
        <v>2887</v>
      </c>
    </row>
    <row r="574" spans="2:13" ht="37.5" customHeight="1" x14ac:dyDescent="0.35">
      <c r="B574" s="12">
        <v>52</v>
      </c>
      <c r="C574" s="7" t="s">
        <v>2882</v>
      </c>
      <c r="D574" s="12">
        <v>41</v>
      </c>
      <c r="E574" s="7" t="s">
        <v>3016</v>
      </c>
      <c r="F574" s="7" t="s">
        <v>3017</v>
      </c>
      <c r="G574" s="7" t="s">
        <v>656</v>
      </c>
      <c r="H574" s="7" t="s">
        <v>38</v>
      </c>
      <c r="I574" s="7" t="s">
        <v>53</v>
      </c>
      <c r="J574" s="7" t="s">
        <v>404</v>
      </c>
      <c r="K574" s="7" t="s">
        <v>1306</v>
      </c>
      <c r="L574" s="12">
        <v>1</v>
      </c>
      <c r="M574" s="7" t="s">
        <v>2887</v>
      </c>
    </row>
    <row r="575" spans="2:13" ht="21.75" customHeight="1" x14ac:dyDescent="0.35">
      <c r="B575" s="11">
        <v>52</v>
      </c>
      <c r="C575" s="5" t="s">
        <v>2882</v>
      </c>
      <c r="D575" s="11">
        <v>42</v>
      </c>
      <c r="E575" s="5" t="s">
        <v>3018</v>
      </c>
      <c r="F575" s="5" t="s">
        <v>3019</v>
      </c>
      <c r="G575" s="5" t="s">
        <v>973</v>
      </c>
      <c r="H575" s="5" t="s">
        <v>38</v>
      </c>
      <c r="I575" s="5" t="s">
        <v>53</v>
      </c>
      <c r="J575" s="5" t="s">
        <v>404</v>
      </c>
      <c r="K575" s="5" t="s">
        <v>1306</v>
      </c>
      <c r="L575" s="11">
        <v>1</v>
      </c>
      <c r="M575" s="5" t="s">
        <v>2887</v>
      </c>
    </row>
    <row r="576" spans="2:13" ht="37.5" customHeight="1" x14ac:dyDescent="0.35">
      <c r="B576" s="12">
        <v>52</v>
      </c>
      <c r="C576" s="7" t="s">
        <v>2882</v>
      </c>
      <c r="D576" s="12">
        <v>43</v>
      </c>
      <c r="E576" s="7" t="s">
        <v>3020</v>
      </c>
      <c r="F576" s="7" t="s">
        <v>3021</v>
      </c>
      <c r="G576" s="7" t="s">
        <v>727</v>
      </c>
      <c r="H576" s="7" t="s">
        <v>1977</v>
      </c>
      <c r="I576" s="7" t="s">
        <v>3008</v>
      </c>
      <c r="J576" s="7" t="s">
        <v>404</v>
      </c>
      <c r="K576" s="7" t="s">
        <v>3009</v>
      </c>
      <c r="L576" s="12">
        <v>2</v>
      </c>
      <c r="M576" s="7" t="s">
        <v>2887</v>
      </c>
    </row>
    <row r="577" spans="2:13" ht="21.75" customHeight="1" x14ac:dyDescent="0.35">
      <c r="B577" s="11">
        <v>52</v>
      </c>
      <c r="C577" s="5" t="s">
        <v>2882</v>
      </c>
      <c r="D577" s="11">
        <v>44</v>
      </c>
      <c r="E577" s="5" t="s">
        <v>3022</v>
      </c>
      <c r="F577" s="5" t="s">
        <v>3023</v>
      </c>
      <c r="G577" s="5" t="s">
        <v>1647</v>
      </c>
      <c r="H577" s="5" t="s">
        <v>38</v>
      </c>
      <c r="I577" s="5" t="s">
        <v>53</v>
      </c>
      <c r="J577" s="5" t="s">
        <v>404</v>
      </c>
      <c r="K577" s="5" t="s">
        <v>1306</v>
      </c>
      <c r="L577" s="11">
        <v>1</v>
      </c>
      <c r="M577" s="5" t="s">
        <v>2887</v>
      </c>
    </row>
    <row r="578" spans="2:13" ht="37.5" customHeight="1" x14ac:dyDescent="0.35">
      <c r="B578" s="12">
        <v>52</v>
      </c>
      <c r="C578" s="7" t="s">
        <v>2882</v>
      </c>
      <c r="D578" s="12">
        <v>45</v>
      </c>
      <c r="E578" s="7" t="s">
        <v>3024</v>
      </c>
      <c r="F578" s="7" t="s">
        <v>3025</v>
      </c>
      <c r="G578" s="7" t="s">
        <v>595</v>
      </c>
      <c r="H578" s="7" t="s">
        <v>38</v>
      </c>
      <c r="I578" s="7" t="s">
        <v>53</v>
      </c>
      <c r="J578" s="7" t="s">
        <v>404</v>
      </c>
      <c r="K578" s="7" t="s">
        <v>1306</v>
      </c>
      <c r="L578" s="12">
        <v>1</v>
      </c>
      <c r="M578" s="7" t="s">
        <v>2887</v>
      </c>
    </row>
    <row r="579" spans="2:13" ht="37.5" customHeight="1" x14ac:dyDescent="0.35">
      <c r="B579" s="11">
        <v>52</v>
      </c>
      <c r="C579" s="5" t="s">
        <v>2882</v>
      </c>
      <c r="D579" s="11">
        <v>46</v>
      </c>
      <c r="E579" s="5" t="s">
        <v>3026</v>
      </c>
      <c r="F579" s="5" t="s">
        <v>3027</v>
      </c>
      <c r="G579" s="5" t="s">
        <v>939</v>
      </c>
      <c r="H579" s="5" t="s">
        <v>3028</v>
      </c>
      <c r="I579" s="5" t="s">
        <v>3029</v>
      </c>
      <c r="J579" s="5" t="s">
        <v>404</v>
      </c>
      <c r="K579" s="5" t="s">
        <v>3030</v>
      </c>
      <c r="L579" s="11">
        <v>2</v>
      </c>
      <c r="M579" s="5" t="s">
        <v>2887</v>
      </c>
    </row>
    <row r="580" spans="2:13" ht="37.5" customHeight="1" x14ac:dyDescent="0.35">
      <c r="B580" s="12">
        <v>52</v>
      </c>
      <c r="C580" s="7" t="s">
        <v>2882</v>
      </c>
      <c r="D580" s="12">
        <v>47</v>
      </c>
      <c r="E580" s="7" t="s">
        <v>3031</v>
      </c>
      <c r="F580" s="7" t="s">
        <v>3032</v>
      </c>
      <c r="G580" s="7" t="s">
        <v>372</v>
      </c>
      <c r="H580" s="7" t="s">
        <v>1977</v>
      </c>
      <c r="I580" s="7" t="s">
        <v>3008</v>
      </c>
      <c r="J580" s="7" t="s">
        <v>404</v>
      </c>
      <c r="K580" s="7" t="s">
        <v>3009</v>
      </c>
      <c r="L580" s="12">
        <v>2</v>
      </c>
      <c r="M580" s="7" t="s">
        <v>2887</v>
      </c>
    </row>
    <row r="581" spans="2:13" ht="37.5" customHeight="1" x14ac:dyDescent="0.35">
      <c r="B581" s="11">
        <v>52</v>
      </c>
      <c r="C581" s="5" t="s">
        <v>2882</v>
      </c>
      <c r="D581" s="11">
        <v>48</v>
      </c>
      <c r="E581" s="5" t="s">
        <v>3033</v>
      </c>
      <c r="F581" s="5" t="s">
        <v>3034</v>
      </c>
      <c r="G581" s="5" t="s">
        <v>1513</v>
      </c>
      <c r="H581" s="5" t="s">
        <v>1977</v>
      </c>
      <c r="I581" s="5" t="s">
        <v>3008</v>
      </c>
      <c r="J581" s="5" t="s">
        <v>404</v>
      </c>
      <c r="K581" s="5" t="s">
        <v>3009</v>
      </c>
      <c r="L581" s="11">
        <v>2</v>
      </c>
      <c r="M581" s="5" t="s">
        <v>2887</v>
      </c>
    </row>
    <row r="582" spans="2:13" ht="37.5" customHeight="1" x14ac:dyDescent="0.35">
      <c r="B582" s="12">
        <v>52</v>
      </c>
      <c r="C582" s="7" t="s">
        <v>2882</v>
      </c>
      <c r="D582" s="12">
        <v>49</v>
      </c>
      <c r="E582" s="7" t="s">
        <v>3035</v>
      </c>
      <c r="F582" s="7" t="s">
        <v>3036</v>
      </c>
      <c r="G582" s="7" t="s">
        <v>701</v>
      </c>
      <c r="H582" s="7" t="s">
        <v>38</v>
      </c>
      <c r="I582" s="7" t="s">
        <v>53</v>
      </c>
      <c r="J582" s="7" t="s">
        <v>404</v>
      </c>
      <c r="K582" s="7" t="s">
        <v>1306</v>
      </c>
      <c r="L582" s="12">
        <v>1</v>
      </c>
      <c r="M582" s="7" t="s">
        <v>2887</v>
      </c>
    </row>
    <row r="583" spans="2:13" ht="21.75" customHeight="1" x14ac:dyDescent="0.35">
      <c r="B583" s="11">
        <v>52</v>
      </c>
      <c r="C583" s="5" t="s">
        <v>2882</v>
      </c>
      <c r="D583" s="11">
        <v>50</v>
      </c>
      <c r="E583" s="5" t="s">
        <v>3037</v>
      </c>
      <c r="F583" s="5" t="s">
        <v>3038</v>
      </c>
      <c r="G583" s="5" t="s">
        <v>877</v>
      </c>
      <c r="H583" s="5" t="s">
        <v>43</v>
      </c>
      <c r="I583" s="5" t="s">
        <v>2774</v>
      </c>
      <c r="J583" s="5" t="s">
        <v>404</v>
      </c>
      <c r="K583" s="5" t="s">
        <v>3039</v>
      </c>
      <c r="L583" s="11">
        <v>1</v>
      </c>
      <c r="M583" s="5" t="s">
        <v>2887</v>
      </c>
    </row>
    <row r="584" spans="2:13" ht="21.75" customHeight="1" x14ac:dyDescent="0.35">
      <c r="B584" s="12">
        <v>52</v>
      </c>
      <c r="C584" s="7" t="s">
        <v>2882</v>
      </c>
      <c r="D584" s="12">
        <v>51</v>
      </c>
      <c r="E584" s="7" t="s">
        <v>3040</v>
      </c>
      <c r="F584" s="7" t="s">
        <v>3041</v>
      </c>
      <c r="G584" s="7" t="s">
        <v>402</v>
      </c>
      <c r="H584" s="7" t="s">
        <v>37</v>
      </c>
      <c r="I584" s="7" t="s">
        <v>1248</v>
      </c>
      <c r="J584" s="7" t="s">
        <v>2857</v>
      </c>
      <c r="K584" s="7" t="s">
        <v>3042</v>
      </c>
      <c r="L584" s="12">
        <v>1</v>
      </c>
      <c r="M584" s="7" t="s">
        <v>2887</v>
      </c>
    </row>
    <row r="585" spans="2:13" ht="52.5" customHeight="1" x14ac:dyDescent="0.35">
      <c r="B585" s="11">
        <v>52</v>
      </c>
      <c r="C585" s="5" t="s">
        <v>2882</v>
      </c>
      <c r="D585" s="11">
        <v>52</v>
      </c>
      <c r="E585" s="5" t="s">
        <v>3043</v>
      </c>
      <c r="F585" s="5" t="s">
        <v>3044</v>
      </c>
      <c r="G585" s="5" t="s">
        <v>865</v>
      </c>
      <c r="H585" s="5" t="s">
        <v>2986</v>
      </c>
      <c r="I585" s="5" t="s">
        <v>3045</v>
      </c>
      <c r="J585" s="5" t="s">
        <v>404</v>
      </c>
      <c r="K585" s="5" t="s">
        <v>3046</v>
      </c>
      <c r="L585" s="11">
        <v>2</v>
      </c>
      <c r="M585" s="5" t="s">
        <v>2887</v>
      </c>
    </row>
    <row r="586" spans="2:13" ht="52.5" customHeight="1" x14ac:dyDescent="0.35">
      <c r="B586" s="12">
        <v>52</v>
      </c>
      <c r="C586" s="7" t="s">
        <v>2882</v>
      </c>
      <c r="D586" s="12">
        <v>53</v>
      </c>
      <c r="E586" s="7" t="s">
        <v>3047</v>
      </c>
      <c r="F586" s="7" t="s">
        <v>3048</v>
      </c>
      <c r="G586" s="7" t="s">
        <v>749</v>
      </c>
      <c r="H586" s="7" t="s">
        <v>2986</v>
      </c>
      <c r="I586" s="7" t="s">
        <v>3045</v>
      </c>
      <c r="J586" s="7" t="s">
        <v>404</v>
      </c>
      <c r="K586" s="7" t="s">
        <v>3046</v>
      </c>
      <c r="L586" s="12">
        <v>2</v>
      </c>
      <c r="M586" s="7" t="s">
        <v>2887</v>
      </c>
    </row>
    <row r="587" spans="2:13" ht="37.5" customHeight="1" x14ac:dyDescent="0.35">
      <c r="B587" s="11">
        <v>52</v>
      </c>
      <c r="C587" s="5" t="s">
        <v>2882</v>
      </c>
      <c r="D587" s="11">
        <v>54</v>
      </c>
      <c r="E587" s="5" t="s">
        <v>3049</v>
      </c>
      <c r="F587" s="5" t="s">
        <v>3050</v>
      </c>
      <c r="G587" s="5" t="s">
        <v>653</v>
      </c>
      <c r="H587" s="5" t="s">
        <v>2986</v>
      </c>
      <c r="I587" s="5" t="s">
        <v>3051</v>
      </c>
      <c r="J587" s="5" t="s">
        <v>404</v>
      </c>
      <c r="K587" s="5" t="s">
        <v>3052</v>
      </c>
      <c r="L587" s="11">
        <v>2</v>
      </c>
      <c r="M587" s="5" t="s">
        <v>2887</v>
      </c>
    </row>
    <row r="588" spans="2:13" ht="37.5" customHeight="1" x14ac:dyDescent="0.35">
      <c r="B588" s="12">
        <v>52</v>
      </c>
      <c r="C588" s="7" t="s">
        <v>2882</v>
      </c>
      <c r="D588" s="12">
        <v>55</v>
      </c>
      <c r="E588" s="7" t="s">
        <v>3053</v>
      </c>
      <c r="F588" s="7" t="s">
        <v>3054</v>
      </c>
      <c r="G588" s="7" t="s">
        <v>3055</v>
      </c>
      <c r="H588" s="7"/>
      <c r="I588" s="7" t="s">
        <v>53</v>
      </c>
      <c r="J588" s="7" t="s">
        <v>404</v>
      </c>
      <c r="K588" s="7" t="s">
        <v>3056</v>
      </c>
      <c r="L588" s="12">
        <v>1</v>
      </c>
      <c r="M588" s="7" t="s">
        <v>2887</v>
      </c>
    </row>
    <row r="589" spans="2:13" ht="37.5" customHeight="1" x14ac:dyDescent="0.35">
      <c r="B589" s="11">
        <v>52</v>
      </c>
      <c r="C589" s="5" t="s">
        <v>2882</v>
      </c>
      <c r="D589" s="11" t="s">
        <v>3057</v>
      </c>
      <c r="E589" s="5" t="s">
        <v>3058</v>
      </c>
      <c r="F589" s="5" t="s">
        <v>3059</v>
      </c>
      <c r="G589" s="5" t="s">
        <v>805</v>
      </c>
      <c r="H589" s="5" t="s">
        <v>38</v>
      </c>
      <c r="I589" s="5" t="s">
        <v>53</v>
      </c>
      <c r="J589" s="5" t="s">
        <v>404</v>
      </c>
      <c r="K589" s="5" t="s">
        <v>1306</v>
      </c>
      <c r="L589" s="11">
        <v>1</v>
      </c>
      <c r="M589" s="5" t="s">
        <v>2887</v>
      </c>
    </row>
    <row r="590" spans="2:13" ht="37.5" customHeight="1" x14ac:dyDescent="0.35">
      <c r="B590" s="12">
        <v>52</v>
      </c>
      <c r="C590" s="7" t="s">
        <v>2882</v>
      </c>
      <c r="D590" s="12"/>
      <c r="E590" s="7" t="s">
        <v>3060</v>
      </c>
      <c r="F590" s="7" t="s">
        <v>3061</v>
      </c>
      <c r="G590" s="7" t="s">
        <v>662</v>
      </c>
      <c r="H590" s="7" t="s">
        <v>38</v>
      </c>
      <c r="I590" s="7" t="s">
        <v>53</v>
      </c>
      <c r="J590" s="7" t="s">
        <v>404</v>
      </c>
      <c r="K590" s="7" t="s">
        <v>1306</v>
      </c>
      <c r="L590" s="12">
        <v>1</v>
      </c>
      <c r="M590" s="7" t="s">
        <v>2887</v>
      </c>
    </row>
    <row r="591" spans="2:13" ht="21.75" customHeight="1" x14ac:dyDescent="0.35">
      <c r="B591" s="11">
        <v>52</v>
      </c>
      <c r="C591" s="5" t="s">
        <v>2882</v>
      </c>
      <c r="D591" s="11" t="s">
        <v>3062</v>
      </c>
      <c r="E591" s="5" t="s">
        <v>3063</v>
      </c>
      <c r="F591" s="5" t="s">
        <v>3064</v>
      </c>
      <c r="G591" s="5" t="s">
        <v>3065</v>
      </c>
      <c r="H591" s="5" t="s">
        <v>38</v>
      </c>
      <c r="I591" s="5" t="s">
        <v>53</v>
      </c>
      <c r="J591" s="5" t="s">
        <v>404</v>
      </c>
      <c r="K591" s="5" t="s">
        <v>1306</v>
      </c>
      <c r="L591" s="11">
        <v>1</v>
      </c>
      <c r="M591" s="5" t="s">
        <v>2887</v>
      </c>
    </row>
    <row r="592" spans="2:13" ht="37.5" customHeight="1" x14ac:dyDescent="0.35">
      <c r="B592" s="12">
        <v>52</v>
      </c>
      <c r="C592" s="7" t="s">
        <v>2882</v>
      </c>
      <c r="D592" s="12"/>
      <c r="E592" s="7" t="s">
        <v>3066</v>
      </c>
      <c r="F592" s="7" t="s">
        <v>3067</v>
      </c>
      <c r="G592" s="7" t="s">
        <v>1076</v>
      </c>
      <c r="H592" s="7" t="s">
        <v>38</v>
      </c>
      <c r="I592" s="7" t="s">
        <v>53</v>
      </c>
      <c r="J592" s="7" t="s">
        <v>404</v>
      </c>
      <c r="K592" s="7" t="s">
        <v>1306</v>
      </c>
      <c r="L592" s="12">
        <v>1</v>
      </c>
      <c r="M592" s="7" t="s">
        <v>2887</v>
      </c>
    </row>
    <row r="593" spans="2:13" ht="67.5" customHeight="1" x14ac:dyDescent="0.35">
      <c r="B593" s="11">
        <v>52</v>
      </c>
      <c r="C593" s="5" t="s">
        <v>2882</v>
      </c>
      <c r="D593" s="11">
        <v>60</v>
      </c>
      <c r="E593" s="5" t="s">
        <v>3068</v>
      </c>
      <c r="F593" s="5" t="s">
        <v>3069</v>
      </c>
      <c r="G593" s="5" t="s">
        <v>421</v>
      </c>
      <c r="H593" s="5" t="s">
        <v>2979</v>
      </c>
      <c r="I593" s="5" t="s">
        <v>3070</v>
      </c>
      <c r="J593" s="5" t="s">
        <v>404</v>
      </c>
      <c r="K593" s="5" t="s">
        <v>3071</v>
      </c>
      <c r="L593" s="11">
        <v>3</v>
      </c>
      <c r="M593" s="5" t="s">
        <v>2887</v>
      </c>
    </row>
    <row r="594" spans="2:13" ht="37.5" customHeight="1" x14ac:dyDescent="0.35">
      <c r="B594" s="12">
        <v>52</v>
      </c>
      <c r="C594" s="7" t="s">
        <v>2882</v>
      </c>
      <c r="D594" s="12">
        <v>61</v>
      </c>
      <c r="E594" s="7" t="s">
        <v>3072</v>
      </c>
      <c r="F594" s="7" t="s">
        <v>3073</v>
      </c>
      <c r="G594" s="7" t="s">
        <v>631</v>
      </c>
      <c r="H594" s="7" t="s">
        <v>1995</v>
      </c>
      <c r="I594" s="7" t="s">
        <v>3074</v>
      </c>
      <c r="J594" s="7" t="s">
        <v>3075</v>
      </c>
      <c r="K594" s="7" t="s">
        <v>3076</v>
      </c>
      <c r="L594" s="12">
        <v>2</v>
      </c>
      <c r="M594" s="7" t="s">
        <v>2887</v>
      </c>
    </row>
    <row r="595" spans="2:13" ht="52.5" customHeight="1" x14ac:dyDescent="0.35">
      <c r="B595" s="11">
        <v>52</v>
      </c>
      <c r="C595" s="5" t="s">
        <v>2882</v>
      </c>
      <c r="D595" s="11">
        <v>62</v>
      </c>
      <c r="E595" s="5" t="s">
        <v>3077</v>
      </c>
      <c r="F595" s="5" t="s">
        <v>3078</v>
      </c>
      <c r="G595" s="5" t="s">
        <v>549</v>
      </c>
      <c r="H595" s="5" t="s">
        <v>3079</v>
      </c>
      <c r="I595" s="5" t="s">
        <v>3080</v>
      </c>
      <c r="J595" s="5" t="s">
        <v>404</v>
      </c>
      <c r="K595" s="5" t="s">
        <v>3081</v>
      </c>
      <c r="L595" s="11">
        <v>2</v>
      </c>
      <c r="M595" s="5" t="s">
        <v>2887</v>
      </c>
    </row>
    <row r="596" spans="2:13" ht="37.5" customHeight="1" x14ac:dyDescent="0.35">
      <c r="B596" s="12">
        <v>52</v>
      </c>
      <c r="C596" s="7" t="s">
        <v>2882</v>
      </c>
      <c r="D596" s="12">
        <v>63</v>
      </c>
      <c r="E596" s="7" t="s">
        <v>3082</v>
      </c>
      <c r="F596" s="7" t="s">
        <v>3083</v>
      </c>
      <c r="G596" s="7" t="s">
        <v>1667</v>
      </c>
      <c r="H596" s="7" t="s">
        <v>43</v>
      </c>
      <c r="I596" s="7" t="s">
        <v>2885</v>
      </c>
      <c r="J596" s="7" t="s">
        <v>404</v>
      </c>
      <c r="K596" s="7" t="s">
        <v>3084</v>
      </c>
      <c r="L596" s="12">
        <v>1</v>
      </c>
      <c r="M596" s="7" t="s">
        <v>2887</v>
      </c>
    </row>
    <row r="597" spans="2:13" ht="37.5" customHeight="1" x14ac:dyDescent="0.35">
      <c r="B597" s="11">
        <v>52</v>
      </c>
      <c r="C597" s="5" t="s">
        <v>2882</v>
      </c>
      <c r="D597" s="11">
        <v>64</v>
      </c>
      <c r="E597" s="5" t="s">
        <v>3085</v>
      </c>
      <c r="F597" s="5" t="s">
        <v>3086</v>
      </c>
      <c r="G597" s="5" t="s">
        <v>365</v>
      </c>
      <c r="H597" s="5" t="s">
        <v>43</v>
      </c>
      <c r="I597" s="5" t="s">
        <v>3087</v>
      </c>
      <c r="J597" s="5" t="s">
        <v>404</v>
      </c>
      <c r="K597" s="5" t="s">
        <v>3088</v>
      </c>
      <c r="L597" s="11">
        <v>1</v>
      </c>
      <c r="M597" s="5" t="s">
        <v>2887</v>
      </c>
    </row>
    <row r="598" spans="2:13" ht="37.5" customHeight="1" x14ac:dyDescent="0.35">
      <c r="B598" s="12">
        <v>52</v>
      </c>
      <c r="C598" s="7" t="s">
        <v>2882</v>
      </c>
      <c r="D598" s="12">
        <v>65</v>
      </c>
      <c r="E598" s="7" t="s">
        <v>3089</v>
      </c>
      <c r="F598" s="7" t="s">
        <v>3090</v>
      </c>
      <c r="G598" s="7" t="s">
        <v>645</v>
      </c>
      <c r="H598" s="7" t="s">
        <v>43</v>
      </c>
      <c r="I598" s="7" t="s">
        <v>3087</v>
      </c>
      <c r="J598" s="7" t="s">
        <v>404</v>
      </c>
      <c r="K598" s="7" t="s">
        <v>3088</v>
      </c>
      <c r="L598" s="12">
        <v>1</v>
      </c>
      <c r="M598" s="7" t="s">
        <v>2887</v>
      </c>
    </row>
    <row r="599" spans="2:13" ht="52.5" customHeight="1" x14ac:dyDescent="0.35">
      <c r="B599" s="11">
        <v>52</v>
      </c>
      <c r="C599" s="5" t="s">
        <v>2882</v>
      </c>
      <c r="D599" s="11">
        <v>66</v>
      </c>
      <c r="E599" s="5" t="s">
        <v>3091</v>
      </c>
      <c r="F599" s="5" t="s">
        <v>3092</v>
      </c>
      <c r="G599" s="5" t="s">
        <v>1373</v>
      </c>
      <c r="H599" s="5" t="s">
        <v>2986</v>
      </c>
      <c r="I599" s="5" t="s">
        <v>3093</v>
      </c>
      <c r="J599" s="5" t="s">
        <v>404</v>
      </c>
      <c r="K599" s="5" t="s">
        <v>3094</v>
      </c>
      <c r="L599" s="11">
        <v>2</v>
      </c>
      <c r="M599" s="5" t="s">
        <v>2887</v>
      </c>
    </row>
    <row r="600" spans="2:13" ht="37.5" customHeight="1" x14ac:dyDescent="0.35">
      <c r="B600" s="12">
        <v>52</v>
      </c>
      <c r="C600" s="7" t="s">
        <v>2882</v>
      </c>
      <c r="D600" s="12">
        <v>67</v>
      </c>
      <c r="E600" s="7" t="s">
        <v>3095</v>
      </c>
      <c r="F600" s="7" t="s">
        <v>3096</v>
      </c>
      <c r="G600" s="7" t="s">
        <v>3097</v>
      </c>
      <c r="H600" s="7"/>
      <c r="I600" s="7" t="s">
        <v>2885</v>
      </c>
      <c r="J600" s="7" t="s">
        <v>404</v>
      </c>
      <c r="K600" s="7" t="s">
        <v>3098</v>
      </c>
      <c r="L600" s="12">
        <v>1</v>
      </c>
      <c r="M600" s="7" t="s">
        <v>2887</v>
      </c>
    </row>
    <row r="601" spans="2:13" ht="37.5" customHeight="1" x14ac:dyDescent="0.35">
      <c r="B601" s="11">
        <v>52</v>
      </c>
      <c r="C601" s="5" t="s">
        <v>2882</v>
      </c>
      <c r="D601" s="11">
        <v>68</v>
      </c>
      <c r="E601" s="5" t="s">
        <v>3099</v>
      </c>
      <c r="F601" s="5" t="s">
        <v>3100</v>
      </c>
      <c r="G601" s="5" t="s">
        <v>686</v>
      </c>
      <c r="H601" s="5" t="s">
        <v>2986</v>
      </c>
      <c r="I601" s="5" t="s">
        <v>3051</v>
      </c>
      <c r="J601" s="5" t="s">
        <v>404</v>
      </c>
      <c r="K601" s="5" t="s">
        <v>3052</v>
      </c>
      <c r="L601" s="11">
        <v>2</v>
      </c>
      <c r="M601" s="5" t="s">
        <v>2887</v>
      </c>
    </row>
    <row r="602" spans="2:13" ht="21.75" customHeight="1" x14ac:dyDescent="0.35">
      <c r="B602" s="12">
        <v>52</v>
      </c>
      <c r="C602" s="7" t="s">
        <v>2882</v>
      </c>
      <c r="D602" s="12">
        <v>69</v>
      </c>
      <c r="E602" s="7" t="s">
        <v>3101</v>
      </c>
      <c r="F602" s="7" t="s">
        <v>3102</v>
      </c>
      <c r="G602" s="7" t="s">
        <v>608</v>
      </c>
      <c r="H602" s="7" t="s">
        <v>38</v>
      </c>
      <c r="I602" s="7" t="s">
        <v>53</v>
      </c>
      <c r="J602" s="7" t="s">
        <v>404</v>
      </c>
      <c r="K602" s="7" t="s">
        <v>1306</v>
      </c>
      <c r="L602" s="12">
        <v>1</v>
      </c>
      <c r="M602" s="7" t="s">
        <v>2887</v>
      </c>
    </row>
    <row r="603" spans="2:13" ht="21.75" customHeight="1" x14ac:dyDescent="0.35">
      <c r="B603" s="11">
        <v>52</v>
      </c>
      <c r="C603" s="5" t="s">
        <v>2882</v>
      </c>
      <c r="D603" s="11">
        <v>70</v>
      </c>
      <c r="E603" s="5" t="s">
        <v>3103</v>
      </c>
      <c r="F603" s="5" t="s">
        <v>3104</v>
      </c>
      <c r="G603" s="5" t="s">
        <v>800</v>
      </c>
      <c r="H603" s="5" t="s">
        <v>38</v>
      </c>
      <c r="I603" s="5" t="s">
        <v>53</v>
      </c>
      <c r="J603" s="5" t="s">
        <v>404</v>
      </c>
      <c r="K603" s="5" t="s">
        <v>1306</v>
      </c>
      <c r="L603" s="11">
        <v>1</v>
      </c>
      <c r="M603" s="5" t="s">
        <v>2887</v>
      </c>
    </row>
    <row r="604" spans="2:13" ht="37.5" customHeight="1" x14ac:dyDescent="0.35">
      <c r="B604" s="12">
        <v>52</v>
      </c>
      <c r="C604" s="7" t="s">
        <v>2882</v>
      </c>
      <c r="D604" s="12">
        <v>71</v>
      </c>
      <c r="E604" s="7" t="s">
        <v>3105</v>
      </c>
      <c r="F604" s="7" t="s">
        <v>3106</v>
      </c>
      <c r="G604" s="7" t="s">
        <v>25</v>
      </c>
      <c r="H604" s="7" t="s">
        <v>38</v>
      </c>
      <c r="I604" s="7" t="s">
        <v>53</v>
      </c>
      <c r="J604" s="7" t="s">
        <v>404</v>
      </c>
      <c r="K604" s="7" t="s">
        <v>1306</v>
      </c>
      <c r="L604" s="12">
        <v>1</v>
      </c>
      <c r="M604" s="7" t="s">
        <v>2887</v>
      </c>
    </row>
    <row r="605" spans="2:13" ht="37.5" customHeight="1" x14ac:dyDescent="0.35">
      <c r="B605" s="11">
        <v>52</v>
      </c>
      <c r="C605" s="5" t="s">
        <v>2882</v>
      </c>
      <c r="D605" s="11">
        <v>72</v>
      </c>
      <c r="E605" s="5" t="s">
        <v>3107</v>
      </c>
      <c r="F605" s="5" t="s">
        <v>3108</v>
      </c>
      <c r="G605" s="5" t="s">
        <v>766</v>
      </c>
      <c r="H605" s="5" t="s">
        <v>38</v>
      </c>
      <c r="I605" s="5" t="s">
        <v>53</v>
      </c>
      <c r="J605" s="5" t="s">
        <v>404</v>
      </c>
      <c r="K605" s="5" t="s">
        <v>1306</v>
      </c>
      <c r="L605" s="11">
        <v>1</v>
      </c>
      <c r="M605" s="5" t="s">
        <v>2887</v>
      </c>
    </row>
    <row r="606" spans="2:13" ht="37.5" customHeight="1" x14ac:dyDescent="0.35">
      <c r="B606" s="12">
        <v>52</v>
      </c>
      <c r="C606" s="7" t="s">
        <v>2882</v>
      </c>
      <c r="D606" s="12">
        <v>73</v>
      </c>
      <c r="E606" s="7" t="s">
        <v>3109</v>
      </c>
      <c r="F606" s="7" t="s">
        <v>3110</v>
      </c>
      <c r="G606" s="7" t="s">
        <v>176</v>
      </c>
      <c r="H606" s="7" t="s">
        <v>38</v>
      </c>
      <c r="I606" s="7" t="s">
        <v>53</v>
      </c>
      <c r="J606" s="7" t="s">
        <v>404</v>
      </c>
      <c r="K606" s="7" t="s">
        <v>1306</v>
      </c>
      <c r="L606" s="12">
        <v>1</v>
      </c>
      <c r="M606" s="7" t="s">
        <v>2887</v>
      </c>
    </row>
    <row r="607" spans="2:13" ht="37.5" customHeight="1" x14ac:dyDescent="0.35">
      <c r="B607" s="11">
        <v>52</v>
      </c>
      <c r="C607" s="5" t="s">
        <v>2882</v>
      </c>
      <c r="D607" s="11">
        <v>74</v>
      </c>
      <c r="E607" s="5" t="s">
        <v>3111</v>
      </c>
      <c r="F607" s="5" t="s">
        <v>3112</v>
      </c>
      <c r="G607" s="5" t="s">
        <v>1622</v>
      </c>
      <c r="H607" s="5" t="s">
        <v>38</v>
      </c>
      <c r="I607" s="5" t="s">
        <v>53</v>
      </c>
      <c r="J607" s="5" t="s">
        <v>404</v>
      </c>
      <c r="K607" s="5" t="s">
        <v>1306</v>
      </c>
      <c r="L607" s="11">
        <v>1</v>
      </c>
      <c r="M607" s="5" t="s">
        <v>2887</v>
      </c>
    </row>
    <row r="608" spans="2:13" ht="37.5" customHeight="1" x14ac:dyDescent="0.35">
      <c r="B608" s="12">
        <v>52</v>
      </c>
      <c r="C608" s="7" t="s">
        <v>2882</v>
      </c>
      <c r="D608" s="12">
        <v>75</v>
      </c>
      <c r="E608" s="7" t="s">
        <v>3113</v>
      </c>
      <c r="F608" s="7" t="s">
        <v>3114</v>
      </c>
      <c r="G608" s="7" t="s">
        <v>678</v>
      </c>
      <c r="H608" s="7" t="s">
        <v>38</v>
      </c>
      <c r="I608" s="7" t="s">
        <v>53</v>
      </c>
      <c r="J608" s="7" t="s">
        <v>404</v>
      </c>
      <c r="K608" s="7" t="s">
        <v>1306</v>
      </c>
      <c r="L608" s="12">
        <v>1</v>
      </c>
      <c r="M608" s="7" t="s">
        <v>2887</v>
      </c>
    </row>
    <row r="609" spans="2:13" ht="37.5" customHeight="1" x14ac:dyDescent="0.35">
      <c r="B609" s="11">
        <v>52</v>
      </c>
      <c r="C609" s="5" t="s">
        <v>2882</v>
      </c>
      <c r="D609" s="11">
        <v>76</v>
      </c>
      <c r="E609" s="5" t="s">
        <v>3115</v>
      </c>
      <c r="F609" s="5" t="s">
        <v>3116</v>
      </c>
      <c r="G609" s="5" t="s">
        <v>698</v>
      </c>
      <c r="H609" s="5" t="s">
        <v>38</v>
      </c>
      <c r="I609" s="5" t="s">
        <v>53</v>
      </c>
      <c r="J609" s="5" t="s">
        <v>404</v>
      </c>
      <c r="K609" s="5" t="s">
        <v>1306</v>
      </c>
      <c r="L609" s="11">
        <v>1</v>
      </c>
      <c r="M609" s="5" t="s">
        <v>2887</v>
      </c>
    </row>
    <row r="610" spans="2:13" ht="52.5" customHeight="1" x14ac:dyDescent="0.35">
      <c r="B610" s="12">
        <v>52</v>
      </c>
      <c r="C610" s="7" t="s">
        <v>2882</v>
      </c>
      <c r="D610" s="12">
        <v>77</v>
      </c>
      <c r="E610" s="7" t="s">
        <v>3117</v>
      </c>
      <c r="F610" s="7" t="s">
        <v>3118</v>
      </c>
      <c r="G610" s="7" t="s">
        <v>26</v>
      </c>
      <c r="H610" s="7" t="s">
        <v>2986</v>
      </c>
      <c r="I610" s="7" t="s">
        <v>3045</v>
      </c>
      <c r="J610" s="7" t="s">
        <v>404</v>
      </c>
      <c r="K610" s="7" t="s">
        <v>3046</v>
      </c>
      <c r="L610" s="12">
        <v>2</v>
      </c>
      <c r="M610" s="7" t="s">
        <v>2887</v>
      </c>
    </row>
    <row r="611" spans="2:13" ht="37.5" customHeight="1" x14ac:dyDescent="0.35">
      <c r="B611" s="11">
        <v>52</v>
      </c>
      <c r="C611" s="5" t="s">
        <v>2882</v>
      </c>
      <c r="D611" s="11">
        <v>78</v>
      </c>
      <c r="E611" s="5" t="s">
        <v>3119</v>
      </c>
      <c r="F611" s="5" t="s">
        <v>3120</v>
      </c>
      <c r="G611" s="5" t="s">
        <v>1657</v>
      </c>
      <c r="H611" s="5" t="s">
        <v>43</v>
      </c>
      <c r="I611" s="5" t="s">
        <v>1093</v>
      </c>
      <c r="J611" s="5" t="s">
        <v>404</v>
      </c>
      <c r="K611" s="5" t="s">
        <v>1634</v>
      </c>
      <c r="L611" s="11">
        <v>1</v>
      </c>
      <c r="M611" s="5" t="s">
        <v>2887</v>
      </c>
    </row>
    <row r="612" spans="2:13" ht="37.5" customHeight="1" x14ac:dyDescent="0.35">
      <c r="B612" s="12">
        <v>52</v>
      </c>
      <c r="C612" s="7" t="s">
        <v>2882</v>
      </c>
      <c r="D612" s="12">
        <v>79</v>
      </c>
      <c r="E612" s="7" t="s">
        <v>3121</v>
      </c>
      <c r="F612" s="7" t="s">
        <v>3122</v>
      </c>
      <c r="G612" s="7" t="s">
        <v>913</v>
      </c>
      <c r="H612" s="7" t="s">
        <v>37</v>
      </c>
      <c r="I612" s="7" t="s">
        <v>1676</v>
      </c>
      <c r="J612" s="7" t="s">
        <v>2857</v>
      </c>
      <c r="K612" s="7" t="s">
        <v>2858</v>
      </c>
      <c r="L612" s="12">
        <v>1</v>
      </c>
      <c r="M612" s="7" t="s">
        <v>2887</v>
      </c>
    </row>
    <row r="613" spans="2:13" ht="21.75" customHeight="1" x14ac:dyDescent="0.35">
      <c r="B613" s="11">
        <v>52</v>
      </c>
      <c r="C613" s="5" t="s">
        <v>2882</v>
      </c>
      <c r="D613" s="11">
        <v>80</v>
      </c>
      <c r="E613" s="5" t="s">
        <v>3123</v>
      </c>
      <c r="F613" s="5" t="s">
        <v>3124</v>
      </c>
      <c r="G613" s="5" t="s">
        <v>755</v>
      </c>
      <c r="H613" s="5" t="s">
        <v>38</v>
      </c>
      <c r="I613" s="5" t="s">
        <v>53</v>
      </c>
      <c r="J613" s="5" t="s">
        <v>404</v>
      </c>
      <c r="K613" s="5" t="s">
        <v>1306</v>
      </c>
      <c r="L613" s="11">
        <v>1</v>
      </c>
      <c r="M613" s="5" t="s">
        <v>2887</v>
      </c>
    </row>
    <row r="614" spans="2:13" ht="37.5" customHeight="1" x14ac:dyDescent="0.35">
      <c r="B614" s="12">
        <v>52</v>
      </c>
      <c r="C614" s="7" t="s">
        <v>2882</v>
      </c>
      <c r="D614" s="12">
        <v>81</v>
      </c>
      <c r="E614" s="7" t="s">
        <v>3125</v>
      </c>
      <c r="F614" s="7" t="s">
        <v>3126</v>
      </c>
      <c r="G614" s="7" t="s">
        <v>752</v>
      </c>
      <c r="H614" s="7" t="s">
        <v>38</v>
      </c>
      <c r="I614" s="7" t="s">
        <v>53</v>
      </c>
      <c r="J614" s="7" t="s">
        <v>404</v>
      </c>
      <c r="K614" s="7" t="s">
        <v>1306</v>
      </c>
      <c r="L614" s="12">
        <v>1</v>
      </c>
      <c r="M614" s="7" t="s">
        <v>2887</v>
      </c>
    </row>
    <row r="615" spans="2:13" ht="37.5" customHeight="1" x14ac:dyDescent="0.35">
      <c r="B615" s="11">
        <v>52</v>
      </c>
      <c r="C615" s="5" t="s">
        <v>2882</v>
      </c>
      <c r="D615" s="11">
        <v>82</v>
      </c>
      <c r="E615" s="5" t="s">
        <v>3127</v>
      </c>
      <c r="F615" s="5" t="s">
        <v>3128</v>
      </c>
      <c r="G615" s="5" t="s">
        <v>616</v>
      </c>
      <c r="H615" s="5" t="s">
        <v>38</v>
      </c>
      <c r="I615" s="5" t="s">
        <v>53</v>
      </c>
      <c r="J615" s="5" t="s">
        <v>404</v>
      </c>
      <c r="K615" s="5" t="s">
        <v>1306</v>
      </c>
      <c r="L615" s="11">
        <v>1</v>
      </c>
      <c r="M615" s="5" t="s">
        <v>2887</v>
      </c>
    </row>
    <row r="616" spans="2:13" ht="21.75" customHeight="1" x14ac:dyDescent="0.35">
      <c r="B616" s="12">
        <v>52</v>
      </c>
      <c r="C616" s="7" t="s">
        <v>2882</v>
      </c>
      <c r="D616" s="12">
        <v>83</v>
      </c>
      <c r="E616" s="7" t="s">
        <v>3129</v>
      </c>
      <c r="F616" s="7" t="s">
        <v>3130</v>
      </c>
      <c r="G616" s="7" t="s">
        <v>497</v>
      </c>
      <c r="H616" s="7" t="s">
        <v>38</v>
      </c>
      <c r="I616" s="7" t="s">
        <v>53</v>
      </c>
      <c r="J616" s="7" t="s">
        <v>404</v>
      </c>
      <c r="K616" s="7" t="s">
        <v>1306</v>
      </c>
      <c r="L616" s="12">
        <v>1</v>
      </c>
      <c r="M616" s="7" t="s">
        <v>2887</v>
      </c>
    </row>
    <row r="617" spans="2:13" ht="21.75" customHeight="1" x14ac:dyDescent="0.35">
      <c r="B617" s="11">
        <v>52</v>
      </c>
      <c r="C617" s="5" t="s">
        <v>2882</v>
      </c>
      <c r="D617" s="11">
        <v>84</v>
      </c>
      <c r="E617" s="5" t="s">
        <v>3131</v>
      </c>
      <c r="F617" s="5" t="s">
        <v>3132</v>
      </c>
      <c r="G617" s="5" t="s">
        <v>445</v>
      </c>
      <c r="H617" s="5" t="s">
        <v>38</v>
      </c>
      <c r="I617" s="5" t="s">
        <v>53</v>
      </c>
      <c r="J617" s="5" t="s">
        <v>404</v>
      </c>
      <c r="K617" s="5" t="s">
        <v>1306</v>
      </c>
      <c r="L617" s="11">
        <v>1</v>
      </c>
      <c r="M617" s="5" t="s">
        <v>2887</v>
      </c>
    </row>
    <row r="618" spans="2:13" ht="37.5" customHeight="1" x14ac:dyDescent="0.35">
      <c r="B618" s="12">
        <v>52</v>
      </c>
      <c r="C618" s="7" t="s">
        <v>2882</v>
      </c>
      <c r="D618" s="12">
        <v>85</v>
      </c>
      <c r="E618" s="7" t="s">
        <v>3133</v>
      </c>
      <c r="F618" s="7" t="s">
        <v>3134</v>
      </c>
      <c r="G618" s="7" t="s">
        <v>3135</v>
      </c>
      <c r="H618" s="7" t="s">
        <v>3028</v>
      </c>
      <c r="I618" s="7" t="s">
        <v>2024</v>
      </c>
      <c r="J618" s="7" t="s">
        <v>404</v>
      </c>
      <c r="K618" s="7" t="s">
        <v>3136</v>
      </c>
      <c r="L618" s="12">
        <v>2</v>
      </c>
      <c r="M618" s="7" t="s">
        <v>2887</v>
      </c>
    </row>
    <row r="619" spans="2:13" ht="21.75" customHeight="1" x14ac:dyDescent="0.35">
      <c r="B619" s="11">
        <v>52</v>
      </c>
      <c r="C619" s="5" t="s">
        <v>2882</v>
      </c>
      <c r="D619" s="11">
        <v>86</v>
      </c>
      <c r="E619" s="5" t="s">
        <v>3137</v>
      </c>
      <c r="F619" s="5" t="s">
        <v>3138</v>
      </c>
      <c r="G619" s="5" t="s">
        <v>670</v>
      </c>
      <c r="H619" s="5" t="s">
        <v>38</v>
      </c>
      <c r="I619" s="5" t="s">
        <v>53</v>
      </c>
      <c r="J619" s="5" t="s">
        <v>404</v>
      </c>
      <c r="K619" s="5" t="s">
        <v>1306</v>
      </c>
      <c r="L619" s="11">
        <v>1</v>
      </c>
      <c r="M619" s="5" t="s">
        <v>2887</v>
      </c>
    </row>
    <row r="620" spans="2:13" ht="21.75" customHeight="1" x14ac:dyDescent="0.35">
      <c r="B620" s="12">
        <v>52</v>
      </c>
      <c r="C620" s="7" t="s">
        <v>2882</v>
      </c>
      <c r="D620" s="12">
        <v>87</v>
      </c>
      <c r="E620" s="7" t="s">
        <v>3139</v>
      </c>
      <c r="F620" s="7" t="s">
        <v>3140</v>
      </c>
      <c r="G620" s="7" t="s">
        <v>778</v>
      </c>
      <c r="H620" s="7" t="s">
        <v>38</v>
      </c>
      <c r="I620" s="7" t="s">
        <v>53</v>
      </c>
      <c r="J620" s="7" t="s">
        <v>404</v>
      </c>
      <c r="K620" s="7" t="s">
        <v>1306</v>
      </c>
      <c r="L620" s="12">
        <v>1</v>
      </c>
      <c r="M620" s="7" t="s">
        <v>2887</v>
      </c>
    </row>
    <row r="621" spans="2:13" ht="37.5" customHeight="1" x14ac:dyDescent="0.35">
      <c r="B621" s="11">
        <v>52</v>
      </c>
      <c r="C621" s="5" t="s">
        <v>2882</v>
      </c>
      <c r="D621" s="11">
        <v>88</v>
      </c>
      <c r="E621" s="5" t="s">
        <v>3141</v>
      </c>
      <c r="F621" s="5" t="s">
        <v>3142</v>
      </c>
      <c r="G621" s="5" t="s">
        <v>905</v>
      </c>
      <c r="H621" s="5" t="s">
        <v>1977</v>
      </c>
      <c r="I621" s="5" t="s">
        <v>2055</v>
      </c>
      <c r="J621" s="5" t="s">
        <v>404</v>
      </c>
      <c r="K621" s="5" t="s">
        <v>2937</v>
      </c>
      <c r="L621" s="11">
        <v>2</v>
      </c>
      <c r="M621" s="5" t="s">
        <v>2887</v>
      </c>
    </row>
    <row r="622" spans="2:13" ht="37.5" customHeight="1" x14ac:dyDescent="0.35">
      <c r="B622" s="12">
        <v>52</v>
      </c>
      <c r="C622" s="7" t="s">
        <v>2882</v>
      </c>
      <c r="D622" s="12">
        <v>89</v>
      </c>
      <c r="E622" s="7" t="s">
        <v>3143</v>
      </c>
      <c r="F622" s="7" t="s">
        <v>3144</v>
      </c>
      <c r="G622" s="7" t="s">
        <v>192</v>
      </c>
      <c r="H622" s="7" t="s">
        <v>43</v>
      </c>
      <c r="I622" s="7" t="s">
        <v>1093</v>
      </c>
      <c r="J622" s="7" t="s">
        <v>404</v>
      </c>
      <c r="K622" s="7" t="s">
        <v>1634</v>
      </c>
      <c r="L622" s="12">
        <v>1</v>
      </c>
      <c r="M622" s="7" t="s">
        <v>2887</v>
      </c>
    </row>
    <row r="623" spans="2:13" ht="21.75" customHeight="1" x14ac:dyDescent="0.35">
      <c r="B623" s="11">
        <v>52</v>
      </c>
      <c r="C623" s="5" t="s">
        <v>2882</v>
      </c>
      <c r="D623" s="11">
        <v>90</v>
      </c>
      <c r="E623" s="5" t="s">
        <v>3145</v>
      </c>
      <c r="F623" s="5" t="s">
        <v>3146</v>
      </c>
      <c r="G623" s="5" t="s">
        <v>813</v>
      </c>
      <c r="H623" s="5" t="s">
        <v>43</v>
      </c>
      <c r="I623" s="5" t="s">
        <v>1093</v>
      </c>
      <c r="J623" s="5" t="s">
        <v>404</v>
      </c>
      <c r="K623" s="5" t="s">
        <v>1634</v>
      </c>
      <c r="L623" s="11">
        <v>1</v>
      </c>
      <c r="M623" s="5" t="s">
        <v>2887</v>
      </c>
    </row>
    <row r="624" spans="2:13" ht="37.5" customHeight="1" x14ac:dyDescent="0.35">
      <c r="B624" s="12">
        <v>52</v>
      </c>
      <c r="C624" s="7" t="s">
        <v>2882</v>
      </c>
      <c r="D624" s="12">
        <v>91</v>
      </c>
      <c r="E624" s="7" t="s">
        <v>3147</v>
      </c>
      <c r="F624" s="7" t="s">
        <v>3148</v>
      </c>
      <c r="G624" s="7" t="s">
        <v>279</v>
      </c>
      <c r="H624" s="7" t="s">
        <v>38</v>
      </c>
      <c r="I624" s="7" t="s">
        <v>53</v>
      </c>
      <c r="J624" s="7" t="s">
        <v>404</v>
      </c>
      <c r="K624" s="7" t="s">
        <v>1306</v>
      </c>
      <c r="L624" s="12">
        <v>1</v>
      </c>
      <c r="M624" s="7" t="s">
        <v>2887</v>
      </c>
    </row>
    <row r="625" spans="2:13" ht="37.5" customHeight="1" x14ac:dyDescent="0.35">
      <c r="B625" s="11">
        <v>52</v>
      </c>
      <c r="C625" s="5" t="s">
        <v>2882</v>
      </c>
      <c r="D625" s="11">
        <v>92</v>
      </c>
      <c r="E625" s="5" t="s">
        <v>3149</v>
      </c>
      <c r="F625" s="5" t="s">
        <v>3150</v>
      </c>
      <c r="G625" s="5" t="s">
        <v>244</v>
      </c>
      <c r="H625" s="5" t="s">
        <v>43</v>
      </c>
      <c r="I625" s="5" t="s">
        <v>1093</v>
      </c>
      <c r="J625" s="5" t="s">
        <v>404</v>
      </c>
      <c r="K625" s="5" t="s">
        <v>1634</v>
      </c>
      <c r="L625" s="11">
        <v>1</v>
      </c>
      <c r="M625" s="5" t="s">
        <v>2887</v>
      </c>
    </row>
    <row r="626" spans="2:13" ht="37.5" customHeight="1" x14ac:dyDescent="0.35">
      <c r="B626" s="12">
        <v>52</v>
      </c>
      <c r="C626" s="7" t="s">
        <v>2882</v>
      </c>
      <c r="D626" s="12">
        <v>93</v>
      </c>
      <c r="E626" s="7" t="s">
        <v>3151</v>
      </c>
      <c r="F626" s="7" t="s">
        <v>3152</v>
      </c>
      <c r="G626" s="7" t="s">
        <v>536</v>
      </c>
      <c r="H626" s="7" t="s">
        <v>38</v>
      </c>
      <c r="I626" s="7" t="s">
        <v>53</v>
      </c>
      <c r="J626" s="7" t="s">
        <v>404</v>
      </c>
      <c r="K626" s="7" t="s">
        <v>1306</v>
      </c>
      <c r="L626" s="12">
        <v>1</v>
      </c>
      <c r="M626" s="7" t="s">
        <v>2887</v>
      </c>
    </row>
    <row r="627" spans="2:13" ht="21.75" customHeight="1" x14ac:dyDescent="0.35">
      <c r="B627" s="11">
        <v>52</v>
      </c>
      <c r="C627" s="5" t="s">
        <v>2882</v>
      </c>
      <c r="D627" s="11">
        <v>94</v>
      </c>
      <c r="E627" s="5" t="s">
        <v>3153</v>
      </c>
      <c r="F627" s="5" t="s">
        <v>3154</v>
      </c>
      <c r="G627" s="5" t="s">
        <v>625</v>
      </c>
      <c r="H627" s="5" t="s">
        <v>38</v>
      </c>
      <c r="I627" s="5" t="s">
        <v>53</v>
      </c>
      <c r="J627" s="5" t="s">
        <v>404</v>
      </c>
      <c r="K627" s="5" t="s">
        <v>1306</v>
      </c>
      <c r="L627" s="11">
        <v>1</v>
      </c>
      <c r="M627" s="5" t="s">
        <v>2887</v>
      </c>
    </row>
    <row r="628" spans="2:13" ht="37.5" customHeight="1" x14ac:dyDescent="0.35">
      <c r="B628" s="12">
        <v>52</v>
      </c>
      <c r="C628" s="7" t="s">
        <v>2882</v>
      </c>
      <c r="D628" s="12">
        <v>95</v>
      </c>
      <c r="E628" s="7" t="s">
        <v>3155</v>
      </c>
      <c r="F628" s="7" t="s">
        <v>3156</v>
      </c>
      <c r="G628" s="7" t="s">
        <v>761</v>
      </c>
      <c r="H628" s="7" t="s">
        <v>1574</v>
      </c>
      <c r="I628" s="7" t="s">
        <v>56</v>
      </c>
      <c r="J628" s="7" t="s">
        <v>404</v>
      </c>
      <c r="K628" s="7" t="s">
        <v>1625</v>
      </c>
      <c r="L628" s="12">
        <v>1</v>
      </c>
      <c r="M628" s="7" t="s">
        <v>2887</v>
      </c>
    </row>
    <row r="629" spans="2:13" ht="37.5" customHeight="1" x14ac:dyDescent="0.35">
      <c r="B629" s="11">
        <v>52</v>
      </c>
      <c r="C629" s="5" t="s">
        <v>2882</v>
      </c>
      <c r="D629" s="11">
        <v>96</v>
      </c>
      <c r="E629" s="5" t="s">
        <v>3157</v>
      </c>
      <c r="F629" s="5" t="s">
        <v>3158</v>
      </c>
      <c r="G629" s="5" t="s">
        <v>31</v>
      </c>
      <c r="H629" s="5" t="s">
        <v>43</v>
      </c>
      <c r="I629" s="5" t="s">
        <v>1093</v>
      </c>
      <c r="J629" s="5" t="s">
        <v>404</v>
      </c>
      <c r="K629" s="5" t="s">
        <v>1634</v>
      </c>
      <c r="L629" s="11">
        <v>1</v>
      </c>
      <c r="M629" s="5" t="s">
        <v>2887</v>
      </c>
    </row>
    <row r="630" spans="2:13" ht="37.5" customHeight="1" x14ac:dyDescent="0.35">
      <c r="B630" s="12">
        <v>52</v>
      </c>
      <c r="C630" s="7" t="s">
        <v>2882</v>
      </c>
      <c r="D630" s="12">
        <v>97</v>
      </c>
      <c r="E630" s="7" t="s">
        <v>3159</v>
      </c>
      <c r="F630" s="7" t="s">
        <v>3160</v>
      </c>
      <c r="G630" s="7" t="s">
        <v>959</v>
      </c>
      <c r="H630" s="7" t="s">
        <v>473</v>
      </c>
      <c r="I630" s="7" t="s">
        <v>52</v>
      </c>
      <c r="J630" s="7" t="s">
        <v>404</v>
      </c>
      <c r="K630" s="7" t="s">
        <v>474</v>
      </c>
      <c r="L630" s="12">
        <v>1</v>
      </c>
      <c r="M630" s="7" t="s">
        <v>2887</v>
      </c>
    </row>
    <row r="631" spans="2:13" ht="21.75" customHeight="1" x14ac:dyDescent="0.35">
      <c r="B631" s="11">
        <v>52</v>
      </c>
      <c r="C631" s="5" t="s">
        <v>2882</v>
      </c>
      <c r="D631" s="11">
        <v>98</v>
      </c>
      <c r="E631" s="5" t="s">
        <v>3161</v>
      </c>
      <c r="F631" s="5" t="s">
        <v>3162</v>
      </c>
      <c r="G631" s="5" t="s">
        <v>3163</v>
      </c>
      <c r="H631" s="5" t="s">
        <v>38</v>
      </c>
      <c r="I631" s="5" t="s">
        <v>53</v>
      </c>
      <c r="J631" s="5" t="s">
        <v>404</v>
      </c>
      <c r="K631" s="5" t="s">
        <v>1306</v>
      </c>
      <c r="L631" s="11">
        <v>1</v>
      </c>
      <c r="M631" s="5" t="s">
        <v>2887</v>
      </c>
    </row>
    <row r="632" spans="2:13" ht="37.5" customHeight="1" x14ac:dyDescent="0.35">
      <c r="B632" s="12">
        <v>52</v>
      </c>
      <c r="C632" s="7" t="s">
        <v>2882</v>
      </c>
      <c r="D632" s="12">
        <v>99</v>
      </c>
      <c r="E632" s="7" t="s">
        <v>3164</v>
      </c>
      <c r="F632" s="7" t="s">
        <v>3165</v>
      </c>
      <c r="G632" s="7" t="s">
        <v>3166</v>
      </c>
      <c r="H632" s="7" t="s">
        <v>37</v>
      </c>
      <c r="I632" s="7" t="s">
        <v>1676</v>
      </c>
      <c r="J632" s="7" t="s">
        <v>2857</v>
      </c>
      <c r="K632" s="7" t="s">
        <v>2858</v>
      </c>
      <c r="L632" s="12">
        <v>1</v>
      </c>
      <c r="M632" s="7" t="s">
        <v>2887</v>
      </c>
    </row>
    <row r="633" spans="2:13" ht="37.5" customHeight="1" x14ac:dyDescent="0.35">
      <c r="B633" s="11">
        <v>52</v>
      </c>
      <c r="C633" s="5" t="s">
        <v>2882</v>
      </c>
      <c r="D633" s="11">
        <v>100</v>
      </c>
      <c r="E633" s="5" t="s">
        <v>3167</v>
      </c>
      <c r="F633" s="5" t="s">
        <v>3168</v>
      </c>
      <c r="G633" s="5" t="s">
        <v>742</v>
      </c>
      <c r="H633" s="5" t="s">
        <v>38</v>
      </c>
      <c r="I633" s="5" t="s">
        <v>53</v>
      </c>
      <c r="J633" s="5" t="s">
        <v>404</v>
      </c>
      <c r="K633" s="5" t="s">
        <v>1306</v>
      </c>
      <c r="L633" s="11">
        <v>1</v>
      </c>
      <c r="M633" s="5" t="s">
        <v>2887</v>
      </c>
    </row>
    <row r="634" spans="2:13" ht="37.5" customHeight="1" x14ac:dyDescent="0.35">
      <c r="B634" s="12">
        <v>52</v>
      </c>
      <c r="C634" s="7" t="s">
        <v>2882</v>
      </c>
      <c r="D634" s="12">
        <v>101</v>
      </c>
      <c r="E634" s="7" t="s">
        <v>3169</v>
      </c>
      <c r="F634" s="7" t="s">
        <v>3170</v>
      </c>
      <c r="G634" s="7" t="s">
        <v>2603</v>
      </c>
      <c r="H634" s="7" t="s">
        <v>38</v>
      </c>
      <c r="I634" s="7" t="s">
        <v>53</v>
      </c>
      <c r="J634" s="7" t="s">
        <v>404</v>
      </c>
      <c r="K634" s="7" t="s">
        <v>1306</v>
      </c>
      <c r="L634" s="12">
        <v>1</v>
      </c>
      <c r="M634" s="7" t="s">
        <v>2887</v>
      </c>
    </row>
    <row r="635" spans="2:13" ht="37.5" customHeight="1" x14ac:dyDescent="0.35">
      <c r="B635" s="11">
        <v>52</v>
      </c>
      <c r="C635" s="5" t="s">
        <v>2882</v>
      </c>
      <c r="D635" s="11">
        <v>102</v>
      </c>
      <c r="E635" s="5" t="s">
        <v>3171</v>
      </c>
      <c r="F635" s="5" t="s">
        <v>3172</v>
      </c>
      <c r="G635" s="5" t="s">
        <v>880</v>
      </c>
      <c r="H635" s="5" t="s">
        <v>1977</v>
      </c>
      <c r="I635" s="5" t="s">
        <v>2055</v>
      </c>
      <c r="J635" s="5" t="s">
        <v>404</v>
      </c>
      <c r="K635" s="5" t="s">
        <v>2937</v>
      </c>
      <c r="L635" s="11">
        <v>2</v>
      </c>
      <c r="M635" s="5" t="s">
        <v>2887</v>
      </c>
    </row>
    <row r="636" spans="2:13" ht="37.5" customHeight="1" x14ac:dyDescent="0.35">
      <c r="B636" s="12">
        <v>52</v>
      </c>
      <c r="C636" s="7" t="s">
        <v>2882</v>
      </c>
      <c r="D636" s="12">
        <v>103</v>
      </c>
      <c r="E636" s="7" t="s">
        <v>3173</v>
      </c>
      <c r="F636" s="7" t="s">
        <v>3174</v>
      </c>
      <c r="G636" s="7" t="s">
        <v>232</v>
      </c>
      <c r="H636" s="7" t="s">
        <v>38</v>
      </c>
      <c r="I636" s="7" t="s">
        <v>53</v>
      </c>
      <c r="J636" s="7" t="s">
        <v>404</v>
      </c>
      <c r="K636" s="7" t="s">
        <v>1306</v>
      </c>
      <c r="L636" s="12">
        <v>1</v>
      </c>
      <c r="M636" s="7" t="s">
        <v>2887</v>
      </c>
    </row>
    <row r="637" spans="2:13" ht="37.5" customHeight="1" x14ac:dyDescent="0.35">
      <c r="B637" s="11">
        <v>52</v>
      </c>
      <c r="C637" s="5" t="s">
        <v>2882</v>
      </c>
      <c r="D637" s="11">
        <v>104</v>
      </c>
      <c r="E637" s="5" t="s">
        <v>3026</v>
      </c>
      <c r="F637" s="5" t="s">
        <v>3175</v>
      </c>
      <c r="G637" s="5" t="s">
        <v>3176</v>
      </c>
      <c r="H637" s="5"/>
      <c r="I637" s="5" t="s">
        <v>53</v>
      </c>
      <c r="J637" s="5" t="s">
        <v>404</v>
      </c>
      <c r="K637" s="5" t="s">
        <v>3056</v>
      </c>
      <c r="L637" s="11">
        <v>1</v>
      </c>
      <c r="M637" s="5" t="s">
        <v>2887</v>
      </c>
    </row>
    <row r="638" spans="2:13" ht="21.75" customHeight="1" x14ac:dyDescent="0.35">
      <c r="B638" s="12">
        <v>52</v>
      </c>
      <c r="C638" s="7" t="s">
        <v>2882</v>
      </c>
      <c r="D638" s="12">
        <v>105</v>
      </c>
      <c r="E638" s="7" t="s">
        <v>3177</v>
      </c>
      <c r="F638" s="7" t="s">
        <v>3178</v>
      </c>
      <c r="G638" s="7" t="s">
        <v>862</v>
      </c>
      <c r="H638" s="7" t="s">
        <v>38</v>
      </c>
      <c r="I638" s="7" t="s">
        <v>53</v>
      </c>
      <c r="J638" s="7" t="s">
        <v>404</v>
      </c>
      <c r="K638" s="7" t="s">
        <v>1306</v>
      </c>
      <c r="L638" s="12">
        <v>1</v>
      </c>
      <c r="M638" s="7" t="s">
        <v>2887</v>
      </c>
    </row>
    <row r="639" spans="2:13" ht="37.5" customHeight="1" x14ac:dyDescent="0.35">
      <c r="B639" s="11">
        <v>52</v>
      </c>
      <c r="C639" s="5" t="s">
        <v>2882</v>
      </c>
      <c r="D639" s="11">
        <v>106</v>
      </c>
      <c r="E639" s="5" t="s">
        <v>3179</v>
      </c>
      <c r="F639" s="5" t="s">
        <v>3180</v>
      </c>
      <c r="G639" s="5" t="s">
        <v>842</v>
      </c>
      <c r="H639" s="5" t="s">
        <v>38</v>
      </c>
      <c r="I639" s="5" t="s">
        <v>53</v>
      </c>
      <c r="J639" s="5" t="s">
        <v>404</v>
      </c>
      <c r="K639" s="5" t="s">
        <v>1306</v>
      </c>
      <c r="L639" s="11">
        <v>1</v>
      </c>
      <c r="M639" s="5" t="s">
        <v>2887</v>
      </c>
    </row>
    <row r="640" spans="2:13" ht="21.75" customHeight="1" x14ac:dyDescent="0.35">
      <c r="B640" s="12">
        <v>52</v>
      </c>
      <c r="C640" s="7" t="s">
        <v>2882</v>
      </c>
      <c r="D640" s="12">
        <v>107</v>
      </c>
      <c r="E640" s="7" t="s">
        <v>3181</v>
      </c>
      <c r="F640" s="7" t="s">
        <v>3182</v>
      </c>
      <c r="G640" s="7" t="s">
        <v>2672</v>
      </c>
      <c r="H640" s="7" t="s">
        <v>38</v>
      </c>
      <c r="I640" s="7" t="s">
        <v>53</v>
      </c>
      <c r="J640" s="7" t="s">
        <v>404</v>
      </c>
      <c r="K640" s="7" t="s">
        <v>1306</v>
      </c>
      <c r="L640" s="12">
        <v>1</v>
      </c>
      <c r="M640" s="7" t="s">
        <v>2887</v>
      </c>
    </row>
    <row r="641" spans="2:13" ht="21.75" customHeight="1" x14ac:dyDescent="0.35">
      <c r="B641" s="11">
        <v>52</v>
      </c>
      <c r="C641" s="5" t="s">
        <v>2882</v>
      </c>
      <c r="D641" s="11">
        <v>108</v>
      </c>
      <c r="E641" s="5" t="s">
        <v>3183</v>
      </c>
      <c r="F641" s="5" t="s">
        <v>3184</v>
      </c>
      <c r="G641" s="5" t="s">
        <v>3185</v>
      </c>
      <c r="H641" s="5" t="s">
        <v>38</v>
      </c>
      <c r="I641" s="5" t="s">
        <v>53</v>
      </c>
      <c r="J641" s="5" t="s">
        <v>404</v>
      </c>
      <c r="K641" s="5" t="s">
        <v>1306</v>
      </c>
      <c r="L641" s="11">
        <v>1</v>
      </c>
      <c r="M641" s="5" t="s">
        <v>2887</v>
      </c>
    </row>
    <row r="642" spans="2:13" ht="37.5" customHeight="1" x14ac:dyDescent="0.35">
      <c r="B642" s="12">
        <v>52</v>
      </c>
      <c r="C642" s="7" t="s">
        <v>2882</v>
      </c>
      <c r="D642" s="12">
        <v>109</v>
      </c>
      <c r="E642" s="7" t="s">
        <v>3186</v>
      </c>
      <c r="F642" s="7" t="s">
        <v>3187</v>
      </c>
      <c r="G642" s="7" t="s">
        <v>1742</v>
      </c>
      <c r="H642" s="7" t="s">
        <v>38</v>
      </c>
      <c r="I642" s="7" t="s">
        <v>53</v>
      </c>
      <c r="J642" s="7" t="s">
        <v>404</v>
      </c>
      <c r="K642" s="7" t="s">
        <v>1306</v>
      </c>
      <c r="L642" s="12">
        <v>1</v>
      </c>
      <c r="M642" s="7" t="s">
        <v>2887</v>
      </c>
    </row>
    <row r="643" spans="2:13" ht="21.75" customHeight="1" x14ac:dyDescent="0.35">
      <c r="B643" s="11">
        <v>52</v>
      </c>
      <c r="C643" s="5" t="s">
        <v>2882</v>
      </c>
      <c r="D643" s="11">
        <v>110</v>
      </c>
      <c r="E643" s="5" t="s">
        <v>3188</v>
      </c>
      <c r="F643" s="5" t="s">
        <v>3189</v>
      </c>
      <c r="G643" s="5" t="s">
        <v>3190</v>
      </c>
      <c r="H643" s="5" t="s">
        <v>38</v>
      </c>
      <c r="I643" s="5" t="s">
        <v>53</v>
      </c>
      <c r="J643" s="5" t="s">
        <v>404</v>
      </c>
      <c r="K643" s="5" t="s">
        <v>1306</v>
      </c>
      <c r="L643" s="11">
        <v>1</v>
      </c>
      <c r="M643" s="5" t="s">
        <v>2887</v>
      </c>
    </row>
    <row r="644" spans="2:13" ht="37.5" customHeight="1" x14ac:dyDescent="0.35">
      <c r="B644" s="12">
        <v>52</v>
      </c>
      <c r="C644" s="7" t="s">
        <v>2882</v>
      </c>
      <c r="D644" s="12">
        <v>111</v>
      </c>
      <c r="E644" s="7" t="s">
        <v>3191</v>
      </c>
      <c r="F644" s="7" t="s">
        <v>3192</v>
      </c>
      <c r="G644" s="7" t="s">
        <v>31</v>
      </c>
      <c r="H644" s="7" t="s">
        <v>39</v>
      </c>
      <c r="I644" s="7" t="s">
        <v>1077</v>
      </c>
      <c r="J644" s="7" t="s">
        <v>404</v>
      </c>
      <c r="K644" s="7" t="s">
        <v>3193</v>
      </c>
      <c r="L644" s="12">
        <v>1</v>
      </c>
      <c r="M644" s="7" t="s">
        <v>2887</v>
      </c>
    </row>
    <row r="645" spans="2:13" ht="21.75" customHeight="1" x14ac:dyDescent="0.35">
      <c r="B645" s="11">
        <v>52</v>
      </c>
      <c r="C645" s="5" t="s">
        <v>2882</v>
      </c>
      <c r="D645" s="11">
        <v>112</v>
      </c>
      <c r="E645" s="5" t="s">
        <v>3194</v>
      </c>
      <c r="F645" s="5" t="s">
        <v>3195</v>
      </c>
      <c r="G645" s="5" t="s">
        <v>927</v>
      </c>
      <c r="H645" s="5" t="s">
        <v>817</v>
      </c>
      <c r="I645" s="5" t="s">
        <v>52</v>
      </c>
      <c r="J645" s="5" t="s">
        <v>404</v>
      </c>
      <c r="K645" s="5" t="s">
        <v>818</v>
      </c>
      <c r="L645" s="11">
        <v>1</v>
      </c>
      <c r="M645" s="5" t="s">
        <v>2887</v>
      </c>
    </row>
    <row r="646" spans="2:13" ht="21.75" customHeight="1" x14ac:dyDescent="0.35">
      <c r="B646" s="12">
        <v>52</v>
      </c>
      <c r="C646" s="7" t="s">
        <v>2882</v>
      </c>
      <c r="D646" s="12">
        <v>113</v>
      </c>
      <c r="E646" s="7" t="s">
        <v>3196</v>
      </c>
      <c r="F646" s="7" t="s">
        <v>3197</v>
      </c>
      <c r="G646" s="7" t="s">
        <v>859</v>
      </c>
      <c r="H646" s="7" t="s">
        <v>817</v>
      </c>
      <c r="I646" s="7" t="s">
        <v>52</v>
      </c>
      <c r="J646" s="7" t="s">
        <v>404</v>
      </c>
      <c r="K646" s="7" t="s">
        <v>818</v>
      </c>
      <c r="L646" s="12">
        <v>1</v>
      </c>
      <c r="M646" s="7" t="s">
        <v>2887</v>
      </c>
    </row>
    <row r="647" spans="2:13" ht="21.75" customHeight="1" x14ac:dyDescent="0.35">
      <c r="B647" s="11">
        <v>52</v>
      </c>
      <c r="C647" s="5" t="s">
        <v>2882</v>
      </c>
      <c r="D647" s="11">
        <v>114</v>
      </c>
      <c r="E647" s="5" t="s">
        <v>3198</v>
      </c>
      <c r="F647" s="5" t="s">
        <v>3199</v>
      </c>
      <c r="G647" s="5" t="s">
        <v>856</v>
      </c>
      <c r="H647" s="5" t="s">
        <v>38</v>
      </c>
      <c r="I647" s="5" t="s">
        <v>53</v>
      </c>
      <c r="J647" s="5" t="s">
        <v>404</v>
      </c>
      <c r="K647" s="5" t="s">
        <v>1306</v>
      </c>
      <c r="L647" s="11">
        <v>1</v>
      </c>
      <c r="M647" s="5" t="s">
        <v>2887</v>
      </c>
    </row>
    <row r="648" spans="2:13" ht="37.5" customHeight="1" x14ac:dyDescent="0.35">
      <c r="B648" s="12">
        <v>52</v>
      </c>
      <c r="C648" s="7" t="s">
        <v>2882</v>
      </c>
      <c r="D648" s="12">
        <v>115</v>
      </c>
      <c r="E648" s="7" t="s">
        <v>3200</v>
      </c>
      <c r="F648" s="7" t="s">
        <v>3201</v>
      </c>
      <c r="G648" s="7" t="s">
        <v>851</v>
      </c>
      <c r="H648" s="7" t="s">
        <v>38</v>
      </c>
      <c r="I648" s="7" t="s">
        <v>53</v>
      </c>
      <c r="J648" s="7" t="s">
        <v>404</v>
      </c>
      <c r="K648" s="7" t="s">
        <v>1306</v>
      </c>
      <c r="L648" s="12">
        <v>1</v>
      </c>
      <c r="M648" s="7" t="s">
        <v>2887</v>
      </c>
    </row>
    <row r="649" spans="2:13" ht="37.5" customHeight="1" x14ac:dyDescent="0.35">
      <c r="B649" s="11">
        <v>52</v>
      </c>
      <c r="C649" s="5" t="s">
        <v>2882</v>
      </c>
      <c r="D649" s="11">
        <v>116</v>
      </c>
      <c r="E649" s="5" t="s">
        <v>3202</v>
      </c>
      <c r="F649" s="5" t="s">
        <v>3203</v>
      </c>
      <c r="G649" s="5" t="s">
        <v>848</v>
      </c>
      <c r="H649" s="5" t="s">
        <v>1977</v>
      </c>
      <c r="I649" s="5" t="s">
        <v>2055</v>
      </c>
      <c r="J649" s="5" t="s">
        <v>404</v>
      </c>
      <c r="K649" s="5" t="s">
        <v>2937</v>
      </c>
      <c r="L649" s="11">
        <v>2</v>
      </c>
      <c r="M649" s="5" t="s">
        <v>2887</v>
      </c>
    </row>
    <row r="650" spans="2:13" ht="37.5" customHeight="1" x14ac:dyDescent="0.35">
      <c r="B650" s="12">
        <v>52</v>
      </c>
      <c r="C650" s="7" t="s">
        <v>2882</v>
      </c>
      <c r="D650" s="12">
        <v>117</v>
      </c>
      <c r="E650" s="7" t="s">
        <v>3204</v>
      </c>
      <c r="F650" s="7" t="s">
        <v>3205</v>
      </c>
      <c r="G650" s="7" t="s">
        <v>871</v>
      </c>
      <c r="H650" s="7" t="s">
        <v>38</v>
      </c>
      <c r="I650" s="7" t="s">
        <v>53</v>
      </c>
      <c r="J650" s="7" t="s">
        <v>404</v>
      </c>
      <c r="K650" s="7" t="s">
        <v>1306</v>
      </c>
      <c r="L650" s="12">
        <v>1</v>
      </c>
      <c r="M650" s="7" t="s">
        <v>2887</v>
      </c>
    </row>
    <row r="651" spans="2:13" ht="37.5" customHeight="1" x14ac:dyDescent="0.35">
      <c r="B651" s="11">
        <v>52</v>
      </c>
      <c r="C651" s="5" t="s">
        <v>2882</v>
      </c>
      <c r="D651" s="11">
        <v>118</v>
      </c>
      <c r="E651" s="5" t="s">
        <v>3206</v>
      </c>
      <c r="F651" s="5" t="s">
        <v>3207</v>
      </c>
      <c r="G651" s="5" t="s">
        <v>582</v>
      </c>
      <c r="H651" s="5" t="s">
        <v>38</v>
      </c>
      <c r="I651" s="5" t="s">
        <v>53</v>
      </c>
      <c r="J651" s="5" t="s">
        <v>404</v>
      </c>
      <c r="K651" s="5" t="s">
        <v>1306</v>
      </c>
      <c r="L651" s="11">
        <v>1</v>
      </c>
      <c r="M651" s="5" t="s">
        <v>2887</v>
      </c>
    </row>
    <row r="652" spans="2:13" ht="21.75" customHeight="1" x14ac:dyDescent="0.35">
      <c r="B652" s="12">
        <v>52</v>
      </c>
      <c r="C652" s="7" t="s">
        <v>2882</v>
      </c>
      <c r="D652" s="12">
        <v>119</v>
      </c>
      <c r="E652" s="7" t="s">
        <v>3208</v>
      </c>
      <c r="F652" s="7" t="s">
        <v>3209</v>
      </c>
      <c r="G652" s="7" t="s">
        <v>1692</v>
      </c>
      <c r="H652" s="7" t="s">
        <v>38</v>
      </c>
      <c r="I652" s="7" t="s">
        <v>53</v>
      </c>
      <c r="J652" s="7" t="s">
        <v>404</v>
      </c>
      <c r="K652" s="7" t="s">
        <v>1306</v>
      </c>
      <c r="L652" s="12">
        <v>1</v>
      </c>
      <c r="M652" s="7" t="s">
        <v>2887</v>
      </c>
    </row>
    <row r="653" spans="2:13" ht="21.75" customHeight="1" x14ac:dyDescent="0.35">
      <c r="B653" s="11">
        <v>52</v>
      </c>
      <c r="C653" s="5" t="s">
        <v>2882</v>
      </c>
      <c r="D653" s="11">
        <v>120</v>
      </c>
      <c r="E653" s="5" t="s">
        <v>3210</v>
      </c>
      <c r="F653" s="5" t="s">
        <v>3211</v>
      </c>
      <c r="G653" s="5" t="s">
        <v>845</v>
      </c>
      <c r="H653" s="5" t="s">
        <v>38</v>
      </c>
      <c r="I653" s="5" t="s">
        <v>53</v>
      </c>
      <c r="J653" s="5" t="s">
        <v>404</v>
      </c>
      <c r="K653" s="5" t="s">
        <v>1306</v>
      </c>
      <c r="L653" s="11">
        <v>1</v>
      </c>
      <c r="M653" s="5" t="s">
        <v>2887</v>
      </c>
    </row>
    <row r="654" spans="2:13" ht="21.75" customHeight="1" x14ac:dyDescent="0.35">
      <c r="B654" s="12">
        <v>52</v>
      </c>
      <c r="C654" s="7" t="s">
        <v>2882</v>
      </c>
      <c r="D654" s="12">
        <v>121</v>
      </c>
      <c r="E654" s="7" t="s">
        <v>3212</v>
      </c>
      <c r="F654" s="7" t="s">
        <v>3213</v>
      </c>
      <c r="G654" s="7" t="s">
        <v>1713</v>
      </c>
      <c r="H654" s="7" t="s">
        <v>38</v>
      </c>
      <c r="I654" s="7" t="s">
        <v>53</v>
      </c>
      <c r="J654" s="7" t="s">
        <v>404</v>
      </c>
      <c r="K654" s="7" t="s">
        <v>1306</v>
      </c>
      <c r="L654" s="12">
        <v>1</v>
      </c>
      <c r="M654" s="7" t="s">
        <v>2887</v>
      </c>
    </row>
    <row r="655" spans="2:13" ht="21.75" customHeight="1" x14ac:dyDescent="0.35">
      <c r="B655" s="11">
        <v>52</v>
      </c>
      <c r="C655" s="5" t="s">
        <v>2882</v>
      </c>
      <c r="D655" s="11">
        <v>122</v>
      </c>
      <c r="E655" s="5" t="s">
        <v>3214</v>
      </c>
      <c r="F655" s="5" t="s">
        <v>3215</v>
      </c>
      <c r="G655" s="5" t="s">
        <v>970</v>
      </c>
      <c r="H655" s="5" t="s">
        <v>38</v>
      </c>
      <c r="I655" s="5" t="s">
        <v>53</v>
      </c>
      <c r="J655" s="5" t="s">
        <v>404</v>
      </c>
      <c r="K655" s="5" t="s">
        <v>1306</v>
      </c>
      <c r="L655" s="11">
        <v>1</v>
      </c>
      <c r="M655" s="5" t="s">
        <v>2887</v>
      </c>
    </row>
    <row r="656" spans="2:13" ht="21.75" customHeight="1" x14ac:dyDescent="0.35">
      <c r="B656" s="12">
        <v>52</v>
      </c>
      <c r="C656" s="7" t="s">
        <v>2882</v>
      </c>
      <c r="D656" s="12">
        <v>123</v>
      </c>
      <c r="E656" s="7" t="s">
        <v>3216</v>
      </c>
      <c r="F656" s="7" t="s">
        <v>3217</v>
      </c>
      <c r="G656" s="7" t="s">
        <v>868</v>
      </c>
      <c r="H656" s="7" t="s">
        <v>43</v>
      </c>
      <c r="I656" s="7" t="s">
        <v>1093</v>
      </c>
      <c r="J656" s="7" t="s">
        <v>404</v>
      </c>
      <c r="K656" s="7" t="s">
        <v>1634</v>
      </c>
      <c r="L656" s="12">
        <v>1</v>
      </c>
      <c r="M656" s="7" t="s">
        <v>2887</v>
      </c>
    </row>
    <row r="657" spans="2:13" ht="21.75" customHeight="1" x14ac:dyDescent="0.35">
      <c r="B657" s="11">
        <v>52</v>
      </c>
      <c r="C657" s="5" t="s">
        <v>2882</v>
      </c>
      <c r="D657" s="11">
        <v>124</v>
      </c>
      <c r="E657" s="5" t="s">
        <v>3218</v>
      </c>
      <c r="F657" s="5" t="s">
        <v>3219</v>
      </c>
      <c r="G657" s="5" t="s">
        <v>918</v>
      </c>
      <c r="H657" s="5" t="s">
        <v>38</v>
      </c>
      <c r="I657" s="5" t="s">
        <v>1093</v>
      </c>
      <c r="J657" s="5" t="s">
        <v>404</v>
      </c>
      <c r="K657" s="5" t="s">
        <v>3220</v>
      </c>
      <c r="L657" s="11">
        <v>1</v>
      </c>
      <c r="M657" s="5" t="s">
        <v>2887</v>
      </c>
    </row>
    <row r="658" spans="2:13" ht="21.75" customHeight="1" x14ac:dyDescent="0.35">
      <c r="B658" s="12">
        <v>52</v>
      </c>
      <c r="C658" s="7" t="s">
        <v>2882</v>
      </c>
      <c r="D658" s="12">
        <v>125</v>
      </c>
      <c r="E658" s="7" t="s">
        <v>3221</v>
      </c>
      <c r="F658" s="7" t="s">
        <v>3222</v>
      </c>
      <c r="G658" s="7" t="s">
        <v>828</v>
      </c>
      <c r="H658" s="7" t="s">
        <v>40</v>
      </c>
      <c r="I658" s="7" t="s">
        <v>56</v>
      </c>
      <c r="J658" s="7" t="s">
        <v>404</v>
      </c>
      <c r="K658" s="7" t="s">
        <v>1631</v>
      </c>
      <c r="L658" s="12">
        <v>1</v>
      </c>
      <c r="M658" s="7" t="s">
        <v>2887</v>
      </c>
    </row>
    <row r="659" spans="2:13" ht="21.75" customHeight="1" x14ac:dyDescent="0.35">
      <c r="B659" s="11">
        <v>52</v>
      </c>
      <c r="C659" s="5" t="s">
        <v>2882</v>
      </c>
      <c r="D659" s="11">
        <v>126</v>
      </c>
      <c r="E659" s="5" t="s">
        <v>3223</v>
      </c>
      <c r="F659" s="5" t="s">
        <v>3224</v>
      </c>
      <c r="G659" s="5" t="s">
        <v>541</v>
      </c>
      <c r="H659" s="5" t="s">
        <v>40</v>
      </c>
      <c r="I659" s="5" t="s">
        <v>56</v>
      </c>
      <c r="J659" s="5" t="s">
        <v>404</v>
      </c>
      <c r="K659" s="5" t="s">
        <v>1631</v>
      </c>
      <c r="L659" s="11">
        <v>1</v>
      </c>
      <c r="M659" s="5" t="s">
        <v>2887</v>
      </c>
    </row>
    <row r="660" spans="2:13" ht="37.5" customHeight="1" x14ac:dyDescent="0.35">
      <c r="B660" s="12">
        <v>52</v>
      </c>
      <c r="C660" s="7" t="s">
        <v>2882</v>
      </c>
      <c r="D660" s="12">
        <v>127</v>
      </c>
      <c r="E660" s="7" t="s">
        <v>3225</v>
      </c>
      <c r="F660" s="7" t="s">
        <v>3226</v>
      </c>
      <c r="G660" s="7" t="s">
        <v>24</v>
      </c>
      <c r="H660" s="7" t="s">
        <v>37</v>
      </c>
      <c r="I660" s="7" t="s">
        <v>1676</v>
      </c>
      <c r="J660" s="7" t="s">
        <v>2857</v>
      </c>
      <c r="K660" s="7" t="s">
        <v>2858</v>
      </c>
      <c r="L660" s="12">
        <v>1</v>
      </c>
      <c r="M660" s="7" t="s">
        <v>2887</v>
      </c>
    </row>
    <row r="661" spans="2:13" ht="52.5" customHeight="1" x14ac:dyDescent="0.35">
      <c r="B661" s="11">
        <v>52</v>
      </c>
      <c r="C661" s="5" t="s">
        <v>2882</v>
      </c>
      <c r="D661" s="11">
        <v>128</v>
      </c>
      <c r="E661" s="5" t="s">
        <v>3227</v>
      </c>
      <c r="F661" s="5" t="s">
        <v>3228</v>
      </c>
      <c r="G661" s="5" t="s">
        <v>29</v>
      </c>
      <c r="H661" s="5" t="s">
        <v>1995</v>
      </c>
      <c r="I661" s="5" t="s">
        <v>3229</v>
      </c>
      <c r="J661" s="5" t="s">
        <v>3230</v>
      </c>
      <c r="K661" s="5" t="s">
        <v>3231</v>
      </c>
      <c r="L661" s="11">
        <v>2</v>
      </c>
      <c r="M661" s="5" t="s">
        <v>2887</v>
      </c>
    </row>
    <row r="662" spans="2:13" ht="21.75" customHeight="1" x14ac:dyDescent="0.35">
      <c r="B662" s="12">
        <v>52</v>
      </c>
      <c r="C662" s="7" t="s">
        <v>2882</v>
      </c>
      <c r="D662" s="12">
        <v>129</v>
      </c>
      <c r="E662" s="7" t="s">
        <v>3232</v>
      </c>
      <c r="F662" s="7" t="s">
        <v>3233</v>
      </c>
      <c r="G662" s="7" t="s">
        <v>936</v>
      </c>
      <c r="H662" s="7" t="s">
        <v>43</v>
      </c>
      <c r="I662" s="7" t="s">
        <v>1093</v>
      </c>
      <c r="J662" s="7" t="s">
        <v>404</v>
      </c>
      <c r="K662" s="7" t="s">
        <v>1634</v>
      </c>
      <c r="L662" s="12">
        <v>1</v>
      </c>
      <c r="M662" s="7" t="s">
        <v>2887</v>
      </c>
    </row>
    <row r="663" spans="2:13" ht="37.5" customHeight="1" x14ac:dyDescent="0.35">
      <c r="B663" s="11">
        <v>52</v>
      </c>
      <c r="C663" s="5" t="s">
        <v>2882</v>
      </c>
      <c r="D663" s="11">
        <v>130</v>
      </c>
      <c r="E663" s="5" t="s">
        <v>3234</v>
      </c>
      <c r="F663" s="5" t="s">
        <v>3235</v>
      </c>
      <c r="G663" s="5" t="s">
        <v>953</v>
      </c>
      <c r="H663" s="5" t="s">
        <v>43</v>
      </c>
      <c r="I663" s="5" t="s">
        <v>1093</v>
      </c>
      <c r="J663" s="5" t="s">
        <v>404</v>
      </c>
      <c r="K663" s="5" t="s">
        <v>1634</v>
      </c>
      <c r="L663" s="11">
        <v>1</v>
      </c>
      <c r="M663" s="5" t="s">
        <v>2887</v>
      </c>
    </row>
    <row r="664" spans="2:13" ht="21.75" customHeight="1" x14ac:dyDescent="0.35">
      <c r="B664" s="12">
        <v>52</v>
      </c>
      <c r="C664" s="7" t="s">
        <v>2882</v>
      </c>
      <c r="D664" s="12">
        <v>131</v>
      </c>
      <c r="E664" s="7" t="s">
        <v>3236</v>
      </c>
      <c r="F664" s="7" t="s">
        <v>3237</v>
      </c>
      <c r="G664" s="7" t="s">
        <v>3238</v>
      </c>
      <c r="H664" s="7" t="s">
        <v>43</v>
      </c>
      <c r="I664" s="7" t="s">
        <v>1093</v>
      </c>
      <c r="J664" s="7" t="s">
        <v>404</v>
      </c>
      <c r="K664" s="7" t="s">
        <v>1634</v>
      </c>
      <c r="L664" s="12">
        <v>1</v>
      </c>
      <c r="M664" s="7" t="s">
        <v>2887</v>
      </c>
    </row>
    <row r="665" spans="2:13" ht="37.5" customHeight="1" x14ac:dyDescent="0.35">
      <c r="B665" s="11">
        <v>52</v>
      </c>
      <c r="C665" s="5" t="s">
        <v>2882</v>
      </c>
      <c r="D665" s="11">
        <v>132</v>
      </c>
      <c r="E665" s="5" t="s">
        <v>3239</v>
      </c>
      <c r="F665" s="5" t="s">
        <v>3240</v>
      </c>
      <c r="G665" s="5" t="s">
        <v>962</v>
      </c>
      <c r="H665" s="5" t="s">
        <v>43</v>
      </c>
      <c r="I665" s="5" t="s">
        <v>1093</v>
      </c>
      <c r="J665" s="5" t="s">
        <v>404</v>
      </c>
      <c r="K665" s="5" t="s">
        <v>1634</v>
      </c>
      <c r="L665" s="11">
        <v>1</v>
      </c>
      <c r="M665" s="5" t="s">
        <v>2887</v>
      </c>
    </row>
    <row r="666" spans="2:13" ht="37.5" customHeight="1" x14ac:dyDescent="0.35">
      <c r="B666" s="12">
        <v>52</v>
      </c>
      <c r="C666" s="7" t="s">
        <v>2882</v>
      </c>
      <c r="D666" s="12">
        <v>133</v>
      </c>
      <c r="E666" s="7" t="s">
        <v>3241</v>
      </c>
      <c r="F666" s="7" t="s">
        <v>3242</v>
      </c>
      <c r="G666" s="7" t="s">
        <v>816</v>
      </c>
      <c r="H666" s="7" t="s">
        <v>43</v>
      </c>
      <c r="I666" s="7" t="s">
        <v>1093</v>
      </c>
      <c r="J666" s="7" t="s">
        <v>404</v>
      </c>
      <c r="K666" s="7" t="s">
        <v>1634</v>
      </c>
      <c r="L666" s="12">
        <v>1</v>
      </c>
      <c r="M666" s="7" t="s">
        <v>2887</v>
      </c>
    </row>
    <row r="667" spans="2:13" ht="21.75" customHeight="1" x14ac:dyDescent="0.35">
      <c r="B667" s="11">
        <v>52</v>
      </c>
      <c r="C667" s="5" t="s">
        <v>2882</v>
      </c>
      <c r="D667" s="11">
        <v>134</v>
      </c>
      <c r="E667" s="5" t="s">
        <v>3243</v>
      </c>
      <c r="F667" s="5" t="s">
        <v>3244</v>
      </c>
      <c r="G667" s="5" t="s">
        <v>944</v>
      </c>
      <c r="H667" s="5" t="s">
        <v>38</v>
      </c>
      <c r="I667" s="5" t="s">
        <v>53</v>
      </c>
      <c r="J667" s="5" t="s">
        <v>404</v>
      </c>
      <c r="K667" s="5" t="s">
        <v>1306</v>
      </c>
      <c r="L667" s="11">
        <v>1</v>
      </c>
      <c r="M667" s="5" t="s">
        <v>2887</v>
      </c>
    </row>
    <row r="668" spans="2:13" ht="21.75" customHeight="1" x14ac:dyDescent="0.35">
      <c r="B668" s="12">
        <v>52</v>
      </c>
      <c r="C668" s="7" t="s">
        <v>2882</v>
      </c>
      <c r="D668" s="12">
        <v>135</v>
      </c>
      <c r="E668" s="7" t="s">
        <v>3245</v>
      </c>
      <c r="F668" s="7" t="s">
        <v>3246</v>
      </c>
      <c r="G668" s="7" t="s">
        <v>3247</v>
      </c>
      <c r="H668" s="7" t="s">
        <v>38</v>
      </c>
      <c r="I668" s="7" t="s">
        <v>53</v>
      </c>
      <c r="J668" s="7" t="s">
        <v>404</v>
      </c>
      <c r="K668" s="7" t="s">
        <v>1306</v>
      </c>
      <c r="L668" s="12">
        <v>1</v>
      </c>
      <c r="M668" s="7" t="s">
        <v>2887</v>
      </c>
    </row>
    <row r="669" spans="2:13" ht="21.75" customHeight="1" x14ac:dyDescent="0.35">
      <c r="B669" s="11">
        <v>52</v>
      </c>
      <c r="C669" s="5" t="s">
        <v>2882</v>
      </c>
      <c r="D669" s="11">
        <v>136</v>
      </c>
      <c r="E669" s="5" t="s">
        <v>3248</v>
      </c>
      <c r="F669" s="5" t="s">
        <v>3249</v>
      </c>
      <c r="G669" s="5" t="s">
        <v>1784</v>
      </c>
      <c r="H669" s="5" t="s">
        <v>38</v>
      </c>
      <c r="I669" s="5" t="s">
        <v>53</v>
      </c>
      <c r="J669" s="5" t="s">
        <v>404</v>
      </c>
      <c r="K669" s="5" t="s">
        <v>1306</v>
      </c>
      <c r="L669" s="11">
        <v>1</v>
      </c>
      <c r="M669" s="5" t="s">
        <v>2887</v>
      </c>
    </row>
    <row r="670" spans="2:13" ht="37.5" customHeight="1" x14ac:dyDescent="0.35">
      <c r="B670" s="12">
        <v>52</v>
      </c>
      <c r="C670" s="7" t="s">
        <v>2882</v>
      </c>
      <c r="D670" s="12">
        <v>137</v>
      </c>
      <c r="E670" s="7" t="s">
        <v>3250</v>
      </c>
      <c r="F670" s="7" t="s">
        <v>3251</v>
      </c>
      <c r="G670" s="7" t="s">
        <v>2637</v>
      </c>
      <c r="H670" s="7" t="s">
        <v>37</v>
      </c>
      <c r="I670" s="7" t="s">
        <v>1987</v>
      </c>
      <c r="J670" s="7" t="s">
        <v>2857</v>
      </c>
      <c r="K670" s="7" t="s">
        <v>3252</v>
      </c>
      <c r="L670" s="12">
        <v>1</v>
      </c>
      <c r="M670" s="7" t="s">
        <v>2887</v>
      </c>
    </row>
    <row r="671" spans="2:13" ht="37.5" customHeight="1" x14ac:dyDescent="0.35">
      <c r="B671" s="11">
        <v>52</v>
      </c>
      <c r="C671" s="5" t="s">
        <v>2882</v>
      </c>
      <c r="D671" s="11">
        <v>138</v>
      </c>
      <c r="E671" s="5" t="s">
        <v>3253</v>
      </c>
      <c r="F671" s="5" t="s">
        <v>3254</v>
      </c>
      <c r="G671" s="5" t="s">
        <v>2261</v>
      </c>
      <c r="H671" s="5" t="s">
        <v>1995</v>
      </c>
      <c r="I671" s="5" t="s">
        <v>3255</v>
      </c>
      <c r="J671" s="5" t="s">
        <v>2857</v>
      </c>
      <c r="K671" s="5" t="s">
        <v>3256</v>
      </c>
      <c r="L671" s="11">
        <v>2</v>
      </c>
      <c r="M671" s="5" t="s">
        <v>2887</v>
      </c>
    </row>
    <row r="672" spans="2:13" ht="37.5" customHeight="1" x14ac:dyDescent="0.35">
      <c r="B672" s="12">
        <v>52</v>
      </c>
      <c r="C672" s="7" t="s">
        <v>2882</v>
      </c>
      <c r="D672" s="12">
        <v>139</v>
      </c>
      <c r="E672" s="7" t="s">
        <v>3257</v>
      </c>
      <c r="F672" s="7" t="s">
        <v>3258</v>
      </c>
      <c r="G672" s="7" t="s">
        <v>967</v>
      </c>
      <c r="H672" s="7" t="s">
        <v>38</v>
      </c>
      <c r="I672" s="7" t="s">
        <v>53</v>
      </c>
      <c r="J672" s="7" t="s">
        <v>404</v>
      </c>
      <c r="K672" s="7" t="s">
        <v>1306</v>
      </c>
      <c r="L672" s="12">
        <v>1</v>
      </c>
      <c r="M672" s="7" t="s">
        <v>2887</v>
      </c>
    </row>
    <row r="673" spans="2:13" ht="37.5" customHeight="1" x14ac:dyDescent="0.35">
      <c r="B673" s="11">
        <v>52</v>
      </c>
      <c r="C673" s="5" t="s">
        <v>2882</v>
      </c>
      <c r="D673" s="11">
        <v>140</v>
      </c>
      <c r="E673" s="5" t="s">
        <v>3259</v>
      </c>
      <c r="F673" s="5" t="s">
        <v>3260</v>
      </c>
      <c r="G673" s="5" t="s">
        <v>439</v>
      </c>
      <c r="H673" s="5" t="s">
        <v>38</v>
      </c>
      <c r="I673" s="5" t="s">
        <v>53</v>
      </c>
      <c r="J673" s="5" t="s">
        <v>404</v>
      </c>
      <c r="K673" s="5" t="s">
        <v>1306</v>
      </c>
      <c r="L673" s="11">
        <v>1</v>
      </c>
      <c r="M673" s="5" t="s">
        <v>2887</v>
      </c>
    </row>
    <row r="674" spans="2:13" ht="21.75" customHeight="1" x14ac:dyDescent="0.35">
      <c r="B674" s="12">
        <v>52</v>
      </c>
      <c r="C674" s="7" t="s">
        <v>2882</v>
      </c>
      <c r="D674" s="12">
        <v>141</v>
      </c>
      <c r="E674" s="7" t="s">
        <v>3261</v>
      </c>
      <c r="F674" s="7" t="s">
        <v>3262</v>
      </c>
      <c r="G674" s="7" t="s">
        <v>956</v>
      </c>
      <c r="H674" s="7" t="s">
        <v>38</v>
      </c>
      <c r="I674" s="7" t="s">
        <v>53</v>
      </c>
      <c r="J674" s="7" t="s">
        <v>404</v>
      </c>
      <c r="K674" s="7" t="s">
        <v>1306</v>
      </c>
      <c r="L674" s="12">
        <v>1</v>
      </c>
      <c r="M674" s="7" t="s">
        <v>2887</v>
      </c>
    </row>
    <row r="675" spans="2:13" ht="52.5" customHeight="1" x14ac:dyDescent="0.35">
      <c r="B675" s="11">
        <v>52</v>
      </c>
      <c r="C675" s="5" t="s">
        <v>2882</v>
      </c>
      <c r="D675" s="11">
        <v>412</v>
      </c>
      <c r="E675" s="5" t="s">
        <v>3263</v>
      </c>
      <c r="F675" s="5" t="s">
        <v>3264</v>
      </c>
      <c r="G675" s="5" t="s">
        <v>350</v>
      </c>
      <c r="H675" s="5" t="s">
        <v>3265</v>
      </c>
      <c r="I675" s="5" t="s">
        <v>3266</v>
      </c>
      <c r="J675" s="5" t="s">
        <v>404</v>
      </c>
      <c r="K675" s="5" t="s">
        <v>3267</v>
      </c>
      <c r="L675" s="11">
        <v>3</v>
      </c>
      <c r="M675" s="5" t="s">
        <v>2887</v>
      </c>
    </row>
    <row r="676" spans="2:13" ht="37.5" customHeight="1" x14ac:dyDescent="0.35">
      <c r="B676" s="12">
        <v>52</v>
      </c>
      <c r="C676" s="7" t="s">
        <v>2882</v>
      </c>
      <c r="D676" s="12">
        <v>143</v>
      </c>
      <c r="E676" s="7" t="s">
        <v>3268</v>
      </c>
      <c r="F676" s="7" t="s">
        <v>3269</v>
      </c>
      <c r="G676" s="7" t="s">
        <v>3270</v>
      </c>
      <c r="H676" s="7" t="s">
        <v>40</v>
      </c>
      <c r="I676" s="7" t="s">
        <v>56</v>
      </c>
      <c r="J676" s="7" t="s">
        <v>404</v>
      </c>
      <c r="K676" s="7" t="s">
        <v>1631</v>
      </c>
      <c r="L676" s="12">
        <v>1</v>
      </c>
      <c r="M676" s="7" t="s">
        <v>2887</v>
      </c>
    </row>
    <row r="677" spans="2:13" ht="37.5" customHeight="1" x14ac:dyDescent="0.35">
      <c r="B677" s="11">
        <v>52</v>
      </c>
      <c r="C677" s="5" t="s">
        <v>2882</v>
      </c>
      <c r="D677" s="11">
        <v>144</v>
      </c>
      <c r="E677" s="5" t="s">
        <v>3271</v>
      </c>
      <c r="F677" s="5" t="s">
        <v>3272</v>
      </c>
      <c r="G677" s="5" t="s">
        <v>29</v>
      </c>
      <c r="H677" s="5" t="s">
        <v>3273</v>
      </c>
      <c r="I677" s="5" t="s">
        <v>3274</v>
      </c>
      <c r="J677" s="5" t="s">
        <v>404</v>
      </c>
      <c r="K677" s="5" t="s">
        <v>3275</v>
      </c>
      <c r="L677" s="11">
        <v>2</v>
      </c>
      <c r="M677" s="5" t="s">
        <v>2887</v>
      </c>
    </row>
    <row r="678" spans="2:13" ht="37.5" customHeight="1" x14ac:dyDescent="0.35">
      <c r="B678" s="12">
        <v>52</v>
      </c>
      <c r="C678" s="7" t="s">
        <v>2882</v>
      </c>
      <c r="D678" s="12">
        <v>145</v>
      </c>
      <c r="E678" s="7" t="s">
        <v>3276</v>
      </c>
      <c r="F678" s="7" t="s">
        <v>3277</v>
      </c>
      <c r="G678" s="7" t="s">
        <v>1008</v>
      </c>
      <c r="H678" s="7" t="s">
        <v>2309</v>
      </c>
      <c r="I678" s="7" t="s">
        <v>1057</v>
      </c>
      <c r="J678" s="7" t="s">
        <v>404</v>
      </c>
      <c r="K678" s="7" t="s">
        <v>3278</v>
      </c>
      <c r="L678" s="12">
        <v>2</v>
      </c>
      <c r="M678" s="7" t="s">
        <v>2887</v>
      </c>
    </row>
    <row r="679" spans="2:13" ht="37.5" customHeight="1" x14ac:dyDescent="0.35">
      <c r="B679" s="11">
        <v>52</v>
      </c>
      <c r="C679" s="5" t="s">
        <v>2882</v>
      </c>
      <c r="D679" s="11">
        <v>146</v>
      </c>
      <c r="E679" s="5" t="s">
        <v>3279</v>
      </c>
      <c r="F679" s="5" t="s">
        <v>3280</v>
      </c>
      <c r="G679" s="5" t="s">
        <v>865</v>
      </c>
      <c r="H679" s="5" t="s">
        <v>37</v>
      </c>
      <c r="I679" s="5" t="s">
        <v>1248</v>
      </c>
      <c r="J679" s="5" t="s">
        <v>2857</v>
      </c>
      <c r="K679" s="5" t="s">
        <v>3042</v>
      </c>
      <c r="L679" s="11">
        <v>1</v>
      </c>
      <c r="M679" s="5" t="s">
        <v>2887</v>
      </c>
    </row>
    <row r="680" spans="2:13" ht="37.5" customHeight="1" x14ac:dyDescent="0.35">
      <c r="B680" s="12">
        <v>52</v>
      </c>
      <c r="C680" s="7" t="s">
        <v>2882</v>
      </c>
      <c r="D680" s="12">
        <v>147</v>
      </c>
      <c r="E680" s="7" t="s">
        <v>3281</v>
      </c>
      <c r="F680" s="7" t="s">
        <v>3282</v>
      </c>
      <c r="G680" s="7" t="s">
        <v>3283</v>
      </c>
      <c r="H680" s="7" t="s">
        <v>37</v>
      </c>
      <c r="I680" s="7" t="s">
        <v>1191</v>
      </c>
      <c r="J680" s="7" t="s">
        <v>3284</v>
      </c>
      <c r="K680" s="7" t="s">
        <v>3285</v>
      </c>
      <c r="L680" s="12">
        <v>1</v>
      </c>
      <c r="M680" s="7" t="s">
        <v>2887</v>
      </c>
    </row>
    <row r="681" spans="2:13" ht="21.75" customHeight="1" x14ac:dyDescent="0.35">
      <c r="B681" s="11">
        <v>52</v>
      </c>
      <c r="C681" s="5" t="s">
        <v>2882</v>
      </c>
      <c r="D681" s="11">
        <v>148</v>
      </c>
      <c r="E681" s="5" t="s">
        <v>3286</v>
      </c>
      <c r="F681" s="5" t="s">
        <v>3287</v>
      </c>
      <c r="G681" s="5" t="s">
        <v>198</v>
      </c>
      <c r="H681" s="5" t="s">
        <v>37</v>
      </c>
      <c r="I681" s="5" t="s">
        <v>1191</v>
      </c>
      <c r="J681" s="5" t="s">
        <v>3288</v>
      </c>
      <c r="K681" s="5" t="s">
        <v>3289</v>
      </c>
      <c r="L681" s="11">
        <v>1</v>
      </c>
      <c r="M681" s="5" t="s">
        <v>2887</v>
      </c>
    </row>
    <row r="682" spans="2:13" ht="21.75" customHeight="1" x14ac:dyDescent="0.35">
      <c r="B682" s="12">
        <v>52</v>
      </c>
      <c r="C682" s="7" t="s">
        <v>2882</v>
      </c>
      <c r="D682" s="12">
        <v>149</v>
      </c>
      <c r="E682" s="7" t="s">
        <v>3290</v>
      </c>
      <c r="F682" s="7" t="s">
        <v>3291</v>
      </c>
      <c r="G682" s="7" t="s">
        <v>749</v>
      </c>
      <c r="H682" s="7" t="s">
        <v>38</v>
      </c>
      <c r="I682" s="7" t="s">
        <v>53</v>
      </c>
      <c r="J682" s="7" t="s">
        <v>404</v>
      </c>
      <c r="K682" s="7" t="s">
        <v>1306</v>
      </c>
      <c r="L682" s="12">
        <v>1</v>
      </c>
      <c r="M682" s="7" t="s">
        <v>2887</v>
      </c>
    </row>
    <row r="683" spans="2:13" ht="21.75" customHeight="1" x14ac:dyDescent="0.35">
      <c r="B683" s="11">
        <v>52</v>
      </c>
      <c r="C683" s="5" t="s">
        <v>2882</v>
      </c>
      <c r="D683" s="11">
        <v>150</v>
      </c>
      <c r="E683" s="5" t="s">
        <v>3292</v>
      </c>
      <c r="F683" s="5" t="s">
        <v>3293</v>
      </c>
      <c r="G683" s="5" t="s">
        <v>2768</v>
      </c>
      <c r="H683" s="5" t="s">
        <v>38</v>
      </c>
      <c r="I683" s="5" t="s">
        <v>53</v>
      </c>
      <c r="J683" s="5" t="s">
        <v>404</v>
      </c>
      <c r="K683" s="5" t="s">
        <v>1306</v>
      </c>
      <c r="L683" s="11">
        <v>1</v>
      </c>
      <c r="M683" s="5" t="s">
        <v>2887</v>
      </c>
    </row>
    <row r="684" spans="2:13" ht="21.75" customHeight="1" x14ac:dyDescent="0.35">
      <c r="B684" s="12">
        <v>52</v>
      </c>
      <c r="C684" s="7" t="s">
        <v>2882</v>
      </c>
      <c r="D684" s="12">
        <v>151</v>
      </c>
      <c r="E684" s="7" t="s">
        <v>3294</v>
      </c>
      <c r="F684" s="7" t="s">
        <v>3295</v>
      </c>
      <c r="G684" s="7" t="s">
        <v>1263</v>
      </c>
      <c r="H684" s="7" t="s">
        <v>38</v>
      </c>
      <c r="I684" s="7" t="s">
        <v>53</v>
      </c>
      <c r="J684" s="7" t="s">
        <v>404</v>
      </c>
      <c r="K684" s="7" t="s">
        <v>1306</v>
      </c>
      <c r="L684" s="12">
        <v>1</v>
      </c>
      <c r="M684" s="7" t="s">
        <v>2887</v>
      </c>
    </row>
    <row r="685" spans="2:13" ht="37.5" customHeight="1" x14ac:dyDescent="0.35">
      <c r="B685" s="11">
        <v>52</v>
      </c>
      <c r="C685" s="5" t="s">
        <v>2882</v>
      </c>
      <c r="D685" s="11">
        <v>152</v>
      </c>
      <c r="E685" s="5" t="s">
        <v>3296</v>
      </c>
      <c r="F685" s="5" t="s">
        <v>3297</v>
      </c>
      <c r="G685" s="5" t="s">
        <v>1810</v>
      </c>
      <c r="H685" s="5" t="s">
        <v>838</v>
      </c>
      <c r="I685" s="5" t="s">
        <v>52</v>
      </c>
      <c r="J685" s="5" t="s">
        <v>404</v>
      </c>
      <c r="K685" s="5" t="s">
        <v>839</v>
      </c>
      <c r="L685" s="11">
        <v>1</v>
      </c>
      <c r="M685" s="5" t="s">
        <v>2887</v>
      </c>
    </row>
    <row r="686" spans="2:13" ht="37.5" customHeight="1" x14ac:dyDescent="0.35">
      <c r="B686" s="12">
        <v>52</v>
      </c>
      <c r="C686" s="7" t="s">
        <v>2882</v>
      </c>
      <c r="D686" s="12">
        <v>153</v>
      </c>
      <c r="E686" s="7" t="s">
        <v>3298</v>
      </c>
      <c r="F686" s="7" t="s">
        <v>3299</v>
      </c>
      <c r="G686" s="7" t="s">
        <v>1211</v>
      </c>
      <c r="H686" s="7" t="s">
        <v>838</v>
      </c>
      <c r="I686" s="7" t="s">
        <v>52</v>
      </c>
      <c r="J686" s="7" t="s">
        <v>404</v>
      </c>
      <c r="K686" s="7" t="s">
        <v>839</v>
      </c>
      <c r="L686" s="12">
        <v>1</v>
      </c>
      <c r="M686" s="7" t="s">
        <v>2887</v>
      </c>
    </row>
    <row r="687" spans="2:13" ht="21.75" customHeight="1" x14ac:dyDescent="0.35">
      <c r="B687" s="11">
        <v>52</v>
      </c>
      <c r="C687" s="5" t="s">
        <v>2882</v>
      </c>
      <c r="D687" s="11">
        <v>154</v>
      </c>
      <c r="E687" s="5" t="s">
        <v>3300</v>
      </c>
      <c r="F687" s="5" t="s">
        <v>3301</v>
      </c>
      <c r="G687" s="5" t="s">
        <v>3302</v>
      </c>
      <c r="H687" s="5" t="s">
        <v>38</v>
      </c>
      <c r="I687" s="5" t="s">
        <v>53</v>
      </c>
      <c r="J687" s="5" t="s">
        <v>404</v>
      </c>
      <c r="K687" s="5" t="s">
        <v>1306</v>
      </c>
      <c r="L687" s="11">
        <v>1</v>
      </c>
      <c r="M687" s="5" t="s">
        <v>2887</v>
      </c>
    </row>
    <row r="688" spans="2:13" ht="37.5" customHeight="1" x14ac:dyDescent="0.35">
      <c r="B688" s="12">
        <v>52</v>
      </c>
      <c r="C688" s="7" t="s">
        <v>2882</v>
      </c>
      <c r="D688" s="12">
        <v>155</v>
      </c>
      <c r="E688" s="7" t="s">
        <v>3303</v>
      </c>
      <c r="F688" s="7" t="s">
        <v>3304</v>
      </c>
      <c r="G688" s="7" t="s">
        <v>1793</v>
      </c>
      <c r="H688" s="7" t="s">
        <v>38</v>
      </c>
      <c r="I688" s="7" t="s">
        <v>53</v>
      </c>
      <c r="J688" s="7" t="s">
        <v>404</v>
      </c>
      <c r="K688" s="7" t="s">
        <v>1306</v>
      </c>
      <c r="L688" s="12">
        <v>1</v>
      </c>
      <c r="M688" s="7" t="s">
        <v>2887</v>
      </c>
    </row>
    <row r="689" spans="2:13" ht="21.75" customHeight="1" x14ac:dyDescent="0.35">
      <c r="B689" s="11">
        <v>52</v>
      </c>
      <c r="C689" s="5" t="s">
        <v>2882</v>
      </c>
      <c r="D689" s="11">
        <v>156</v>
      </c>
      <c r="E689" s="5" t="s">
        <v>3305</v>
      </c>
      <c r="F689" s="5" t="s">
        <v>3306</v>
      </c>
      <c r="G689" s="5" t="s">
        <v>1787</v>
      </c>
      <c r="H689" s="5" t="s">
        <v>38</v>
      </c>
      <c r="I689" s="5" t="s">
        <v>53</v>
      </c>
      <c r="J689" s="5" t="s">
        <v>404</v>
      </c>
      <c r="K689" s="5" t="s">
        <v>1306</v>
      </c>
      <c r="L689" s="11">
        <v>1</v>
      </c>
      <c r="M689" s="5" t="s">
        <v>2887</v>
      </c>
    </row>
    <row r="690" spans="2:13" ht="21.75" customHeight="1" x14ac:dyDescent="0.35">
      <c r="B690" s="12">
        <v>52</v>
      </c>
      <c r="C690" s="7" t="s">
        <v>2882</v>
      </c>
      <c r="D690" s="12">
        <v>157</v>
      </c>
      <c r="E690" s="7" t="s">
        <v>3307</v>
      </c>
      <c r="F690" s="7" t="s">
        <v>3308</v>
      </c>
      <c r="G690" s="7" t="s">
        <v>900</v>
      </c>
      <c r="H690" s="7" t="s">
        <v>1046</v>
      </c>
      <c r="I690" s="7" t="s">
        <v>1047</v>
      </c>
      <c r="J690" s="7" t="s">
        <v>404</v>
      </c>
      <c r="K690" s="7" t="s">
        <v>3309</v>
      </c>
      <c r="L690" s="12">
        <v>1</v>
      </c>
      <c r="M690" s="7" t="s">
        <v>2887</v>
      </c>
    </row>
    <row r="691" spans="2:13" ht="21.75" customHeight="1" x14ac:dyDescent="0.35">
      <c r="B691" s="11">
        <v>52</v>
      </c>
      <c r="C691" s="5" t="s">
        <v>2882</v>
      </c>
      <c r="D691" s="11">
        <v>158</v>
      </c>
      <c r="E691" s="5" t="s">
        <v>3310</v>
      </c>
      <c r="F691" s="5" t="s">
        <v>3311</v>
      </c>
      <c r="G691" s="5" t="s">
        <v>788</v>
      </c>
      <c r="H691" s="5" t="s">
        <v>39</v>
      </c>
      <c r="I691" s="5" t="s">
        <v>3312</v>
      </c>
      <c r="J691" s="5" t="s">
        <v>3288</v>
      </c>
      <c r="K691" s="5" t="s">
        <v>3313</v>
      </c>
      <c r="L691" s="11">
        <v>1</v>
      </c>
      <c r="M691" s="5" t="s">
        <v>2887</v>
      </c>
    </row>
    <row r="692" spans="2:13" ht="21.75" customHeight="1" x14ac:dyDescent="0.35">
      <c r="B692" s="12">
        <v>52</v>
      </c>
      <c r="C692" s="7" t="s">
        <v>2882</v>
      </c>
      <c r="D692" s="12">
        <v>159</v>
      </c>
      <c r="E692" s="7" t="s">
        <v>3314</v>
      </c>
      <c r="F692" s="7" t="s">
        <v>3315</v>
      </c>
      <c r="G692" s="7" t="s">
        <v>249</v>
      </c>
      <c r="H692" s="7" t="s">
        <v>39</v>
      </c>
      <c r="I692" s="7" t="s">
        <v>3312</v>
      </c>
      <c r="J692" s="7" t="s">
        <v>3288</v>
      </c>
      <c r="K692" s="7" t="s">
        <v>3313</v>
      </c>
      <c r="L692" s="12">
        <v>1</v>
      </c>
      <c r="M692" s="7" t="s">
        <v>2887</v>
      </c>
    </row>
    <row r="693" spans="2:13" ht="21.75" customHeight="1" x14ac:dyDescent="0.35">
      <c r="B693" s="11">
        <v>52</v>
      </c>
      <c r="C693" s="5" t="s">
        <v>2882</v>
      </c>
      <c r="D693" s="11">
        <v>160</v>
      </c>
      <c r="E693" s="5" t="s">
        <v>3316</v>
      </c>
      <c r="F693" s="5" t="s">
        <v>3317</v>
      </c>
      <c r="G693" s="5" t="s">
        <v>1214</v>
      </c>
      <c r="H693" s="5" t="s">
        <v>39</v>
      </c>
      <c r="I693" s="5" t="s">
        <v>1077</v>
      </c>
      <c r="J693" s="5" t="s">
        <v>3288</v>
      </c>
      <c r="K693" s="5" t="s">
        <v>3318</v>
      </c>
      <c r="L693" s="11">
        <v>1</v>
      </c>
      <c r="M693" s="5" t="s">
        <v>2887</v>
      </c>
    </row>
    <row r="694" spans="2:13" ht="21.75" customHeight="1" x14ac:dyDescent="0.35">
      <c r="B694" s="12">
        <v>52</v>
      </c>
      <c r="C694" s="7" t="s">
        <v>2882</v>
      </c>
      <c r="D694" s="12">
        <v>161</v>
      </c>
      <c r="E694" s="7" t="s">
        <v>3319</v>
      </c>
      <c r="F694" s="7" t="s">
        <v>3320</v>
      </c>
      <c r="G694" s="7" t="s">
        <v>1196</v>
      </c>
      <c r="H694" s="7" t="s">
        <v>39</v>
      </c>
      <c r="I694" s="7" t="s">
        <v>1077</v>
      </c>
      <c r="J694" s="7" t="s">
        <v>3288</v>
      </c>
      <c r="K694" s="7" t="s">
        <v>3318</v>
      </c>
      <c r="L694" s="12">
        <v>1</v>
      </c>
      <c r="M694" s="7" t="s">
        <v>2887</v>
      </c>
    </row>
    <row r="695" spans="2:13" ht="21.75" customHeight="1" x14ac:dyDescent="0.35">
      <c r="B695" s="11">
        <v>52</v>
      </c>
      <c r="C695" s="5" t="s">
        <v>2882</v>
      </c>
      <c r="D695" s="11">
        <v>162</v>
      </c>
      <c r="E695" s="5" t="s">
        <v>3321</v>
      </c>
      <c r="F695" s="5" t="s">
        <v>3322</v>
      </c>
      <c r="G695" s="5" t="s">
        <v>3323</v>
      </c>
      <c r="H695" s="5" t="s">
        <v>37</v>
      </c>
      <c r="I695" s="5" t="s">
        <v>3324</v>
      </c>
      <c r="J695" s="5" t="s">
        <v>3288</v>
      </c>
      <c r="K695" s="5" t="s">
        <v>3325</v>
      </c>
      <c r="L695" s="11">
        <v>1</v>
      </c>
      <c r="M695" s="5" t="s">
        <v>2887</v>
      </c>
    </row>
    <row r="696" spans="2:13" ht="37.5" customHeight="1" x14ac:dyDescent="0.35">
      <c r="B696" s="12">
        <v>52</v>
      </c>
      <c r="C696" s="7" t="s">
        <v>2882</v>
      </c>
      <c r="D696" s="12">
        <v>163</v>
      </c>
      <c r="E696" s="7" t="s">
        <v>3326</v>
      </c>
      <c r="F696" s="7" t="s">
        <v>3327</v>
      </c>
      <c r="G696" s="7" t="s">
        <v>3328</v>
      </c>
      <c r="H696" s="7" t="s">
        <v>37</v>
      </c>
      <c r="I696" s="7" t="s">
        <v>1472</v>
      </c>
      <c r="J696" s="7" t="s">
        <v>3288</v>
      </c>
      <c r="K696" s="7" t="s">
        <v>3329</v>
      </c>
      <c r="L696" s="12">
        <v>1</v>
      </c>
      <c r="M696" s="7" t="s">
        <v>2887</v>
      </c>
    </row>
    <row r="697" spans="2:13" ht="82.5" customHeight="1" x14ac:dyDescent="0.35">
      <c r="B697" s="11">
        <v>53</v>
      </c>
      <c r="C697" s="5" t="s">
        <v>3330</v>
      </c>
      <c r="D697" s="11">
        <v>1</v>
      </c>
      <c r="E697" s="5" t="s">
        <v>3331</v>
      </c>
      <c r="F697" s="5" t="s">
        <v>3332</v>
      </c>
      <c r="G697" s="5" t="s">
        <v>29</v>
      </c>
      <c r="H697" s="5" t="s">
        <v>3333</v>
      </c>
      <c r="I697" s="5" t="s">
        <v>3334</v>
      </c>
      <c r="J697" s="5" t="s">
        <v>1585</v>
      </c>
      <c r="K697" s="5" t="s">
        <v>3335</v>
      </c>
      <c r="L697" s="11">
        <v>3</v>
      </c>
      <c r="M697" s="5" t="s">
        <v>2887</v>
      </c>
    </row>
    <row r="698" spans="2:13" ht="37.5" customHeight="1" x14ac:dyDescent="0.35">
      <c r="B698" s="12">
        <v>53</v>
      </c>
      <c r="C698" s="7" t="s">
        <v>3330</v>
      </c>
      <c r="D698" s="12">
        <v>2</v>
      </c>
      <c r="E698" s="7" t="s">
        <v>3336</v>
      </c>
      <c r="F698" s="7" t="s">
        <v>3337</v>
      </c>
      <c r="G698" s="7" t="s">
        <v>472</v>
      </c>
      <c r="H698" s="7" t="s">
        <v>36</v>
      </c>
      <c r="I698" s="7" t="s">
        <v>1259</v>
      </c>
      <c r="J698" s="7" t="s">
        <v>663</v>
      </c>
      <c r="K698" s="7" t="s">
        <v>1387</v>
      </c>
      <c r="L698" s="12">
        <v>1</v>
      </c>
      <c r="M698" s="7" t="s">
        <v>2887</v>
      </c>
    </row>
    <row r="699" spans="2:13" ht="37.5" customHeight="1" x14ac:dyDescent="0.35">
      <c r="B699" s="11">
        <v>53</v>
      </c>
      <c r="C699" s="5" t="s">
        <v>3330</v>
      </c>
      <c r="D699" s="11">
        <v>3</v>
      </c>
      <c r="E699" s="5" t="s">
        <v>3338</v>
      </c>
      <c r="F699" s="5" t="s">
        <v>3339</v>
      </c>
      <c r="G699" s="5" t="s">
        <v>582</v>
      </c>
      <c r="H699" s="5" t="s">
        <v>38</v>
      </c>
      <c r="I699" s="5" t="s">
        <v>53</v>
      </c>
      <c r="J699" s="5" t="s">
        <v>404</v>
      </c>
      <c r="K699" s="5" t="s">
        <v>1306</v>
      </c>
      <c r="L699" s="11">
        <v>1</v>
      </c>
      <c r="M699" s="5" t="s">
        <v>2887</v>
      </c>
    </row>
    <row r="700" spans="2:13" ht="37.5" customHeight="1" x14ac:dyDescent="0.35">
      <c r="B700" s="12">
        <v>53</v>
      </c>
      <c r="C700" s="7" t="s">
        <v>3330</v>
      </c>
      <c r="D700" s="12">
        <v>4</v>
      </c>
      <c r="E700" s="7" t="s">
        <v>3340</v>
      </c>
      <c r="F700" s="7" t="s">
        <v>3341</v>
      </c>
      <c r="G700" s="7" t="s">
        <v>576</v>
      </c>
      <c r="H700" s="7" t="s">
        <v>3342</v>
      </c>
      <c r="I700" s="7" t="s">
        <v>3343</v>
      </c>
      <c r="J700" s="7" t="s">
        <v>404</v>
      </c>
      <c r="K700" s="7" t="s">
        <v>3344</v>
      </c>
      <c r="L700" s="12">
        <v>1</v>
      </c>
      <c r="M700" s="7" t="s">
        <v>2887</v>
      </c>
    </row>
    <row r="701" spans="2:13" ht="37.5" customHeight="1" x14ac:dyDescent="0.35">
      <c r="B701" s="11">
        <v>53</v>
      </c>
      <c r="C701" s="5" t="s">
        <v>3330</v>
      </c>
      <c r="D701" s="11">
        <v>5</v>
      </c>
      <c r="E701" s="5" t="s">
        <v>3345</v>
      </c>
      <c r="F701" s="5" t="s">
        <v>3346</v>
      </c>
      <c r="G701" s="5" t="s">
        <v>566</v>
      </c>
      <c r="H701" s="5" t="s">
        <v>2986</v>
      </c>
      <c r="I701" s="5" t="s">
        <v>3051</v>
      </c>
      <c r="J701" s="5" t="s">
        <v>404</v>
      </c>
      <c r="K701" s="5" t="s">
        <v>3052</v>
      </c>
      <c r="L701" s="11">
        <v>2</v>
      </c>
      <c r="M701" s="5" t="s">
        <v>2887</v>
      </c>
    </row>
    <row r="702" spans="2:13" ht="37.5" customHeight="1" x14ac:dyDescent="0.35">
      <c r="B702" s="12">
        <v>53</v>
      </c>
      <c r="C702" s="7" t="s">
        <v>3330</v>
      </c>
      <c r="D702" s="12">
        <v>6</v>
      </c>
      <c r="E702" s="7" t="s">
        <v>3347</v>
      </c>
      <c r="F702" s="7" t="s">
        <v>3348</v>
      </c>
      <c r="G702" s="7" t="s">
        <v>28</v>
      </c>
      <c r="H702" s="7" t="s">
        <v>3349</v>
      </c>
      <c r="I702" s="7" t="s">
        <v>3274</v>
      </c>
      <c r="J702" s="7" t="s">
        <v>404</v>
      </c>
      <c r="K702" s="7" t="s">
        <v>3350</v>
      </c>
      <c r="L702" s="12">
        <v>2</v>
      </c>
      <c r="M702" s="7" t="s">
        <v>2887</v>
      </c>
    </row>
    <row r="703" spans="2:13" ht="37.5" customHeight="1" x14ac:dyDescent="0.35">
      <c r="B703" s="11">
        <v>53</v>
      </c>
      <c r="C703" s="5" t="s">
        <v>3330</v>
      </c>
      <c r="D703" s="11">
        <v>7</v>
      </c>
      <c r="E703" s="5" t="s">
        <v>3351</v>
      </c>
      <c r="F703" s="5" t="s">
        <v>3352</v>
      </c>
      <c r="G703" s="5" t="s">
        <v>24</v>
      </c>
      <c r="H703" s="5" t="s">
        <v>38</v>
      </c>
      <c r="I703" s="5" t="s">
        <v>53</v>
      </c>
      <c r="J703" s="5" t="s">
        <v>404</v>
      </c>
      <c r="K703" s="5" t="s">
        <v>1306</v>
      </c>
      <c r="L703" s="11">
        <v>1</v>
      </c>
      <c r="M703" s="5" t="s">
        <v>2887</v>
      </c>
    </row>
    <row r="704" spans="2:13" ht="37.5" customHeight="1" x14ac:dyDescent="0.35">
      <c r="B704" s="12">
        <v>53</v>
      </c>
      <c r="C704" s="7" t="s">
        <v>3330</v>
      </c>
      <c r="D704" s="12">
        <v>8</v>
      </c>
      <c r="E704" s="7" t="s">
        <v>3353</v>
      </c>
      <c r="F704" s="7" t="s">
        <v>3354</v>
      </c>
      <c r="G704" s="7" t="s">
        <v>212</v>
      </c>
      <c r="H704" s="7" t="s">
        <v>38</v>
      </c>
      <c r="I704" s="7" t="s">
        <v>53</v>
      </c>
      <c r="J704" s="7" t="s">
        <v>404</v>
      </c>
      <c r="K704" s="7" t="s">
        <v>1306</v>
      </c>
      <c r="L704" s="12">
        <v>1</v>
      </c>
      <c r="M704" s="7" t="s">
        <v>2887</v>
      </c>
    </row>
    <row r="705" spans="2:13" ht="37.5" customHeight="1" x14ac:dyDescent="0.35">
      <c r="B705" s="11">
        <v>53</v>
      </c>
      <c r="C705" s="5" t="s">
        <v>3330</v>
      </c>
      <c r="D705" s="11">
        <v>9</v>
      </c>
      <c r="E705" s="5" t="s">
        <v>3355</v>
      </c>
      <c r="F705" s="5" t="s">
        <v>3356</v>
      </c>
      <c r="G705" s="5" t="s">
        <v>585</v>
      </c>
      <c r="H705" s="5" t="s">
        <v>38</v>
      </c>
      <c r="I705" s="5" t="s">
        <v>53</v>
      </c>
      <c r="J705" s="5" t="s">
        <v>404</v>
      </c>
      <c r="K705" s="5" t="s">
        <v>1306</v>
      </c>
      <c r="L705" s="11">
        <v>1</v>
      </c>
      <c r="M705" s="5" t="s">
        <v>2887</v>
      </c>
    </row>
    <row r="706" spans="2:13" ht="37.5" customHeight="1" x14ac:dyDescent="0.35">
      <c r="B706" s="12">
        <v>53</v>
      </c>
      <c r="C706" s="7" t="s">
        <v>3330</v>
      </c>
      <c r="D706" s="12">
        <v>10</v>
      </c>
      <c r="E706" s="7" t="s">
        <v>3357</v>
      </c>
      <c r="F706" s="7" t="s">
        <v>3358</v>
      </c>
      <c r="G706" s="7" t="s">
        <v>862</v>
      </c>
      <c r="H706" s="7" t="s">
        <v>38</v>
      </c>
      <c r="I706" s="7" t="s">
        <v>53</v>
      </c>
      <c r="J706" s="7" t="s">
        <v>404</v>
      </c>
      <c r="K706" s="7" t="s">
        <v>1306</v>
      </c>
      <c r="L706" s="12">
        <v>1</v>
      </c>
      <c r="M706" s="7" t="s">
        <v>2887</v>
      </c>
    </row>
    <row r="707" spans="2:13" ht="37.5" customHeight="1" x14ac:dyDescent="0.35">
      <c r="B707" s="11">
        <v>53</v>
      </c>
      <c r="C707" s="5" t="s">
        <v>3330</v>
      </c>
      <c r="D707" s="11">
        <v>11</v>
      </c>
      <c r="E707" s="5" t="s">
        <v>3359</v>
      </c>
      <c r="F707" s="5" t="s">
        <v>3360</v>
      </c>
      <c r="G707" s="5" t="s">
        <v>905</v>
      </c>
      <c r="H707" s="5" t="s">
        <v>38</v>
      </c>
      <c r="I707" s="5" t="s">
        <v>53</v>
      </c>
      <c r="J707" s="5" t="s">
        <v>404</v>
      </c>
      <c r="K707" s="5" t="s">
        <v>1306</v>
      </c>
      <c r="L707" s="11">
        <v>1</v>
      </c>
      <c r="M707" s="5" t="s">
        <v>2887</v>
      </c>
    </row>
    <row r="708" spans="2:13" ht="37.5" customHeight="1" x14ac:dyDescent="0.35">
      <c r="B708" s="12">
        <v>53</v>
      </c>
      <c r="C708" s="7" t="s">
        <v>3330</v>
      </c>
      <c r="D708" s="12">
        <v>12</v>
      </c>
      <c r="E708" s="7" t="s">
        <v>3361</v>
      </c>
      <c r="F708" s="7" t="s">
        <v>3362</v>
      </c>
      <c r="G708" s="7" t="s">
        <v>428</v>
      </c>
      <c r="H708" s="7" t="s">
        <v>38</v>
      </c>
      <c r="I708" s="7" t="s">
        <v>53</v>
      </c>
      <c r="J708" s="7" t="s">
        <v>404</v>
      </c>
      <c r="K708" s="7" t="s">
        <v>1306</v>
      </c>
      <c r="L708" s="12">
        <v>1</v>
      </c>
      <c r="M708" s="7" t="s">
        <v>2887</v>
      </c>
    </row>
    <row r="709" spans="2:13" ht="37.5" customHeight="1" x14ac:dyDescent="0.35">
      <c r="B709" s="11">
        <v>53</v>
      </c>
      <c r="C709" s="5" t="s">
        <v>3330</v>
      </c>
      <c r="D709" s="11">
        <v>13</v>
      </c>
      <c r="E709" s="5" t="s">
        <v>3363</v>
      </c>
      <c r="F709" s="5" t="s">
        <v>3364</v>
      </c>
      <c r="G709" s="5" t="s">
        <v>794</v>
      </c>
      <c r="H709" s="5" t="s">
        <v>43</v>
      </c>
      <c r="I709" s="5" t="s">
        <v>1093</v>
      </c>
      <c r="J709" s="5" t="s">
        <v>404</v>
      </c>
      <c r="K709" s="5" t="s">
        <v>1634</v>
      </c>
      <c r="L709" s="11">
        <v>1</v>
      </c>
      <c r="M709" s="5" t="s">
        <v>2887</v>
      </c>
    </row>
    <row r="710" spans="2:13" ht="37.5" customHeight="1" x14ac:dyDescent="0.35">
      <c r="B710" s="12">
        <v>53</v>
      </c>
      <c r="C710" s="7" t="s">
        <v>3330</v>
      </c>
      <c r="D710" s="12">
        <v>14</v>
      </c>
      <c r="E710" s="7" t="s">
        <v>3365</v>
      </c>
      <c r="F710" s="7" t="s">
        <v>3366</v>
      </c>
      <c r="G710" s="7" t="s">
        <v>656</v>
      </c>
      <c r="H710" s="7" t="s">
        <v>43</v>
      </c>
      <c r="I710" s="7" t="s">
        <v>1093</v>
      </c>
      <c r="J710" s="7" t="s">
        <v>404</v>
      </c>
      <c r="K710" s="7" t="s">
        <v>1634</v>
      </c>
      <c r="L710" s="12">
        <v>1</v>
      </c>
      <c r="M710" s="7" t="s">
        <v>2887</v>
      </c>
    </row>
    <row r="711" spans="2:13" ht="37.5" customHeight="1" x14ac:dyDescent="0.35">
      <c r="B711" s="11">
        <v>53</v>
      </c>
      <c r="C711" s="5" t="s">
        <v>3330</v>
      </c>
      <c r="D711" s="11">
        <v>15</v>
      </c>
      <c r="E711" s="5" t="s">
        <v>3367</v>
      </c>
      <c r="F711" s="5" t="s">
        <v>3368</v>
      </c>
      <c r="G711" s="5" t="s">
        <v>1226</v>
      </c>
      <c r="H711" s="5" t="s">
        <v>38</v>
      </c>
      <c r="I711" s="5" t="s">
        <v>53</v>
      </c>
      <c r="J711" s="5" t="s">
        <v>404</v>
      </c>
      <c r="K711" s="5" t="s">
        <v>1306</v>
      </c>
      <c r="L711" s="11">
        <v>1</v>
      </c>
      <c r="M711" s="5" t="s">
        <v>2887</v>
      </c>
    </row>
    <row r="712" spans="2:13" ht="37.5" customHeight="1" x14ac:dyDescent="0.35">
      <c r="B712" s="12">
        <v>53</v>
      </c>
      <c r="C712" s="7" t="s">
        <v>3330</v>
      </c>
      <c r="D712" s="12">
        <v>16</v>
      </c>
      <c r="E712" s="7" t="s">
        <v>3369</v>
      </c>
      <c r="F712" s="7" t="s">
        <v>3370</v>
      </c>
      <c r="G712" s="7" t="s">
        <v>3371</v>
      </c>
      <c r="H712" s="7" t="s">
        <v>3372</v>
      </c>
      <c r="I712" s="7" t="s">
        <v>3373</v>
      </c>
      <c r="J712" s="7" t="s">
        <v>404</v>
      </c>
      <c r="K712" s="7" t="s">
        <v>3374</v>
      </c>
      <c r="L712" s="12">
        <v>2</v>
      </c>
      <c r="M712" s="7" t="s">
        <v>2887</v>
      </c>
    </row>
    <row r="713" spans="2:13" ht="37.5" customHeight="1" x14ac:dyDescent="0.35">
      <c r="B713" s="11">
        <v>53</v>
      </c>
      <c r="C713" s="5" t="s">
        <v>3330</v>
      </c>
      <c r="D713" s="11">
        <v>17</v>
      </c>
      <c r="E713" s="5" t="s">
        <v>3375</v>
      </c>
      <c r="F713" s="5" t="s">
        <v>3376</v>
      </c>
      <c r="G713" s="5" t="s">
        <v>31</v>
      </c>
      <c r="H713" s="5" t="s">
        <v>43</v>
      </c>
      <c r="I713" s="5" t="s">
        <v>1093</v>
      </c>
      <c r="J713" s="5" t="s">
        <v>404</v>
      </c>
      <c r="K713" s="5" t="s">
        <v>1634</v>
      </c>
      <c r="L713" s="11">
        <v>1</v>
      </c>
      <c r="M713" s="5" t="s">
        <v>2887</v>
      </c>
    </row>
    <row r="714" spans="2:13" ht="37.5" customHeight="1" x14ac:dyDescent="0.35">
      <c r="B714" s="12">
        <v>53</v>
      </c>
      <c r="C714" s="7" t="s">
        <v>3330</v>
      </c>
      <c r="D714" s="12">
        <v>18</v>
      </c>
      <c r="E714" s="7" t="s">
        <v>3377</v>
      </c>
      <c r="F714" s="7" t="s">
        <v>3378</v>
      </c>
      <c r="G714" s="7" t="s">
        <v>1710</v>
      </c>
      <c r="H714" s="7" t="s">
        <v>40</v>
      </c>
      <c r="I714" s="7" t="s">
        <v>56</v>
      </c>
      <c r="J714" s="7" t="s">
        <v>404</v>
      </c>
      <c r="K714" s="7" t="s">
        <v>1631</v>
      </c>
      <c r="L714" s="12">
        <v>1</v>
      </c>
      <c r="M714" s="7" t="s">
        <v>2887</v>
      </c>
    </row>
    <row r="715" spans="2:13" ht="37.5" customHeight="1" x14ac:dyDescent="0.35">
      <c r="B715" s="11">
        <v>53</v>
      </c>
      <c r="C715" s="5" t="s">
        <v>3330</v>
      </c>
      <c r="D715" s="11">
        <v>19</v>
      </c>
      <c r="E715" s="5" t="s">
        <v>3379</v>
      </c>
      <c r="F715" s="5" t="s">
        <v>3380</v>
      </c>
      <c r="G715" s="5" t="s">
        <v>631</v>
      </c>
      <c r="H715" s="5" t="s">
        <v>38</v>
      </c>
      <c r="I715" s="5" t="s">
        <v>53</v>
      </c>
      <c r="J715" s="5" t="s">
        <v>404</v>
      </c>
      <c r="K715" s="5" t="s">
        <v>1306</v>
      </c>
      <c r="L715" s="11">
        <v>1</v>
      </c>
      <c r="M715" s="5" t="s">
        <v>2887</v>
      </c>
    </row>
    <row r="716" spans="2:13" ht="37.5" customHeight="1" x14ac:dyDescent="0.35">
      <c r="B716" s="12">
        <v>53</v>
      </c>
      <c r="C716" s="7" t="s">
        <v>3330</v>
      </c>
      <c r="D716" s="12">
        <v>20</v>
      </c>
      <c r="E716" s="7" t="s">
        <v>3381</v>
      </c>
      <c r="F716" s="7" t="s">
        <v>3382</v>
      </c>
      <c r="G716" s="7" t="s">
        <v>1373</v>
      </c>
      <c r="H716" s="7" t="s">
        <v>37</v>
      </c>
      <c r="I716" s="7" t="s">
        <v>1264</v>
      </c>
      <c r="J716" s="7" t="s">
        <v>404</v>
      </c>
      <c r="K716" s="7" t="s">
        <v>3383</v>
      </c>
      <c r="L716" s="12">
        <v>1</v>
      </c>
      <c r="M716" s="7" t="s">
        <v>2887</v>
      </c>
    </row>
    <row r="717" spans="2:13" ht="37.5" customHeight="1" x14ac:dyDescent="0.35">
      <c r="B717" s="11">
        <v>53</v>
      </c>
      <c r="C717" s="5" t="s">
        <v>3330</v>
      </c>
      <c r="D717" s="11">
        <v>21</v>
      </c>
      <c r="E717" s="5" t="s">
        <v>3384</v>
      </c>
      <c r="F717" s="5" t="s">
        <v>3385</v>
      </c>
      <c r="G717" s="5" t="s">
        <v>358</v>
      </c>
      <c r="H717" s="5" t="s">
        <v>43</v>
      </c>
      <c r="I717" s="5" t="s">
        <v>1093</v>
      </c>
      <c r="J717" s="5" t="s">
        <v>404</v>
      </c>
      <c r="K717" s="5" t="s">
        <v>1634</v>
      </c>
      <c r="L717" s="11">
        <v>1</v>
      </c>
      <c r="M717" s="5" t="s">
        <v>2887</v>
      </c>
    </row>
    <row r="718" spans="2:13" ht="37.5" customHeight="1" x14ac:dyDescent="0.35">
      <c r="B718" s="12">
        <v>53</v>
      </c>
      <c r="C718" s="7" t="s">
        <v>3330</v>
      </c>
      <c r="D718" s="12">
        <v>22</v>
      </c>
      <c r="E718" s="7" t="s">
        <v>3386</v>
      </c>
      <c r="F718" s="7" t="s">
        <v>3387</v>
      </c>
      <c r="G718" s="7" t="s">
        <v>541</v>
      </c>
      <c r="H718" s="7" t="s">
        <v>43</v>
      </c>
      <c r="I718" s="7" t="s">
        <v>1093</v>
      </c>
      <c r="J718" s="7" t="s">
        <v>404</v>
      </c>
      <c r="K718" s="7" t="s">
        <v>1634</v>
      </c>
      <c r="L718" s="12">
        <v>1</v>
      </c>
      <c r="M718" s="7" t="s">
        <v>2887</v>
      </c>
    </row>
    <row r="719" spans="2:13" ht="37.5" customHeight="1" x14ac:dyDescent="0.35">
      <c r="B719" s="11">
        <v>53</v>
      </c>
      <c r="C719" s="5" t="s">
        <v>3330</v>
      </c>
      <c r="D719" s="11">
        <v>23</v>
      </c>
      <c r="E719" s="5" t="s">
        <v>3388</v>
      </c>
      <c r="F719" s="5" t="s">
        <v>3389</v>
      </c>
      <c r="G719" s="5" t="s">
        <v>736</v>
      </c>
      <c r="H719" s="5" t="s">
        <v>40</v>
      </c>
      <c r="I719" s="5" t="s">
        <v>56</v>
      </c>
      <c r="J719" s="5" t="s">
        <v>404</v>
      </c>
      <c r="K719" s="5" t="s">
        <v>1631</v>
      </c>
      <c r="L719" s="11">
        <v>1</v>
      </c>
      <c r="M719" s="5" t="s">
        <v>2887</v>
      </c>
    </row>
    <row r="720" spans="2:13" ht="37.5" customHeight="1" x14ac:dyDescent="0.35">
      <c r="B720" s="12">
        <v>53</v>
      </c>
      <c r="C720" s="7" t="s">
        <v>3330</v>
      </c>
      <c r="D720" s="12">
        <v>24</v>
      </c>
      <c r="E720" s="7" t="s">
        <v>3390</v>
      </c>
      <c r="F720" s="7" t="s">
        <v>3391</v>
      </c>
      <c r="G720" s="7" t="s">
        <v>936</v>
      </c>
      <c r="H720" s="7" t="s">
        <v>43</v>
      </c>
      <c r="I720" s="7" t="s">
        <v>1093</v>
      </c>
      <c r="J720" s="7" t="s">
        <v>404</v>
      </c>
      <c r="K720" s="7" t="s">
        <v>1634</v>
      </c>
      <c r="L720" s="12">
        <v>1</v>
      </c>
      <c r="M720" s="7" t="s">
        <v>2887</v>
      </c>
    </row>
    <row r="721" spans="2:13" ht="37.5" customHeight="1" x14ac:dyDescent="0.35">
      <c r="B721" s="11">
        <v>53</v>
      </c>
      <c r="C721" s="5" t="s">
        <v>3330</v>
      </c>
      <c r="D721" s="11">
        <v>25</v>
      </c>
      <c r="E721" s="5" t="s">
        <v>3392</v>
      </c>
      <c r="F721" s="5" t="s">
        <v>3393</v>
      </c>
      <c r="G721" s="5" t="s">
        <v>939</v>
      </c>
      <c r="H721" s="5" t="s">
        <v>37</v>
      </c>
      <c r="I721" s="5" t="s">
        <v>1191</v>
      </c>
      <c r="J721" s="5" t="s">
        <v>1192</v>
      </c>
      <c r="K721" s="5" t="s">
        <v>1193</v>
      </c>
      <c r="L721" s="11">
        <v>1</v>
      </c>
      <c r="M721" s="5" t="s">
        <v>2887</v>
      </c>
    </row>
    <row r="722" spans="2:13" ht="37.5" customHeight="1" x14ac:dyDescent="0.35">
      <c r="B722" s="12">
        <v>53</v>
      </c>
      <c r="C722" s="7" t="s">
        <v>3330</v>
      </c>
      <c r="D722" s="12">
        <v>26</v>
      </c>
      <c r="E722" s="7" t="s">
        <v>3394</v>
      </c>
      <c r="F722" s="7" t="s">
        <v>3395</v>
      </c>
      <c r="G722" s="7" t="s">
        <v>3283</v>
      </c>
      <c r="H722" s="7" t="s">
        <v>37</v>
      </c>
      <c r="I722" s="7" t="s">
        <v>1191</v>
      </c>
      <c r="J722" s="7" t="s">
        <v>1192</v>
      </c>
      <c r="K722" s="7" t="s">
        <v>1193</v>
      </c>
      <c r="L722" s="12">
        <v>1</v>
      </c>
      <c r="M722" s="7" t="s">
        <v>2887</v>
      </c>
    </row>
    <row r="723" spans="2:13" ht="37.5" customHeight="1" x14ac:dyDescent="0.35">
      <c r="B723" s="11">
        <v>53</v>
      </c>
      <c r="C723" s="5" t="s">
        <v>3330</v>
      </c>
      <c r="D723" s="11">
        <v>27</v>
      </c>
      <c r="E723" s="5" t="s">
        <v>3396</v>
      </c>
      <c r="F723" s="5" t="s">
        <v>3397</v>
      </c>
      <c r="G723" s="5" t="s">
        <v>2254</v>
      </c>
      <c r="H723" s="5" t="s">
        <v>38</v>
      </c>
      <c r="I723" s="5" t="s">
        <v>53</v>
      </c>
      <c r="J723" s="5" t="s">
        <v>404</v>
      </c>
      <c r="K723" s="5" t="s">
        <v>1306</v>
      </c>
      <c r="L723" s="11">
        <v>1</v>
      </c>
      <c r="M723" s="5" t="s">
        <v>2887</v>
      </c>
    </row>
    <row r="724" spans="2:13" ht="37.5" customHeight="1" x14ac:dyDescent="0.35">
      <c r="B724" s="12">
        <v>53</v>
      </c>
      <c r="C724" s="7" t="s">
        <v>3330</v>
      </c>
      <c r="D724" s="12">
        <v>28</v>
      </c>
      <c r="E724" s="7" t="s">
        <v>3398</v>
      </c>
      <c r="F724" s="7" t="s">
        <v>3399</v>
      </c>
      <c r="G724" s="7" t="s">
        <v>1667</v>
      </c>
      <c r="H724" s="7" t="s">
        <v>38</v>
      </c>
      <c r="I724" s="7" t="s">
        <v>53</v>
      </c>
      <c r="J724" s="7" t="s">
        <v>404</v>
      </c>
      <c r="K724" s="7" t="s">
        <v>1306</v>
      </c>
      <c r="L724" s="12">
        <v>1</v>
      </c>
      <c r="M724" s="7" t="s">
        <v>2887</v>
      </c>
    </row>
    <row r="725" spans="2:13" ht="37.5" customHeight="1" x14ac:dyDescent="0.35">
      <c r="B725" s="11">
        <v>53</v>
      </c>
      <c r="C725" s="5" t="s">
        <v>3330</v>
      </c>
      <c r="D725" s="11">
        <v>29</v>
      </c>
      <c r="E725" s="5" t="s">
        <v>3400</v>
      </c>
      <c r="F725" s="5" t="s">
        <v>3401</v>
      </c>
      <c r="G725" s="5" t="s">
        <v>1793</v>
      </c>
      <c r="H725" s="5" t="s">
        <v>38</v>
      </c>
      <c r="I725" s="5" t="s">
        <v>53</v>
      </c>
      <c r="J725" s="5" t="s">
        <v>404</v>
      </c>
      <c r="K725" s="5" t="s">
        <v>1306</v>
      </c>
      <c r="L725" s="11">
        <v>1</v>
      </c>
      <c r="M725" s="5" t="s">
        <v>2887</v>
      </c>
    </row>
    <row r="726" spans="2:13" ht="37.5" customHeight="1" x14ac:dyDescent="0.35">
      <c r="B726" s="12">
        <v>53</v>
      </c>
      <c r="C726" s="7" t="s">
        <v>3330</v>
      </c>
      <c r="D726" s="12">
        <v>30</v>
      </c>
      <c r="E726" s="7" t="s">
        <v>3402</v>
      </c>
      <c r="F726" s="7" t="s">
        <v>3403</v>
      </c>
      <c r="G726" s="7" t="s">
        <v>3328</v>
      </c>
      <c r="H726" s="7" t="s">
        <v>37</v>
      </c>
      <c r="I726" s="7" t="s">
        <v>1264</v>
      </c>
      <c r="J726" s="7" t="s">
        <v>1192</v>
      </c>
      <c r="K726" s="7" t="s">
        <v>1654</v>
      </c>
      <c r="L726" s="12">
        <v>1</v>
      </c>
      <c r="M726" s="7" t="s">
        <v>2887</v>
      </c>
    </row>
    <row r="727" spans="2:13" ht="67.5" customHeight="1" x14ac:dyDescent="0.35">
      <c r="B727" s="11">
        <v>53</v>
      </c>
      <c r="C727" s="5" t="s">
        <v>3330</v>
      </c>
      <c r="D727" s="11">
        <v>31</v>
      </c>
      <c r="E727" s="5" t="s">
        <v>3404</v>
      </c>
      <c r="F727" s="5" t="s">
        <v>3405</v>
      </c>
      <c r="G727" s="5" t="s">
        <v>2637</v>
      </c>
      <c r="H727" s="5" t="s">
        <v>3406</v>
      </c>
      <c r="I727" s="5" t="s">
        <v>3407</v>
      </c>
      <c r="J727" s="5" t="s">
        <v>3408</v>
      </c>
      <c r="K727" s="5" t="s">
        <v>3409</v>
      </c>
      <c r="L727" s="11">
        <v>3</v>
      </c>
      <c r="M727" s="5" t="s">
        <v>2887</v>
      </c>
    </row>
    <row r="728" spans="2:13" ht="37.5" customHeight="1" x14ac:dyDescent="0.35">
      <c r="B728" s="12">
        <v>54</v>
      </c>
      <c r="C728" s="7" t="s">
        <v>3410</v>
      </c>
      <c r="D728" s="12">
        <v>1</v>
      </c>
      <c r="E728" s="7" t="s">
        <v>3411</v>
      </c>
      <c r="F728" s="7" t="s">
        <v>3412</v>
      </c>
      <c r="G728" s="7" t="s">
        <v>695</v>
      </c>
      <c r="H728" s="7" t="s">
        <v>38</v>
      </c>
      <c r="I728" s="7" t="s">
        <v>53</v>
      </c>
      <c r="J728" s="7" t="s">
        <v>404</v>
      </c>
      <c r="K728" s="7" t="s">
        <v>1306</v>
      </c>
      <c r="L728" s="12">
        <v>1</v>
      </c>
      <c r="M728" s="7" t="s">
        <v>2887</v>
      </c>
    </row>
    <row r="729" spans="2:13" ht="37.5" customHeight="1" x14ac:dyDescent="0.35">
      <c r="B729" s="11">
        <v>54</v>
      </c>
      <c r="C729" s="5" t="s">
        <v>3410</v>
      </c>
      <c r="D729" s="11">
        <v>2</v>
      </c>
      <c r="E729" s="5" t="s">
        <v>3413</v>
      </c>
      <c r="F729" s="5" t="s">
        <v>3414</v>
      </c>
      <c r="G729" s="5" t="s">
        <v>3283</v>
      </c>
      <c r="H729" s="5" t="s">
        <v>37</v>
      </c>
      <c r="I729" s="5" t="s">
        <v>998</v>
      </c>
      <c r="J729" s="5" t="s">
        <v>3415</v>
      </c>
      <c r="K729" s="5" t="s">
        <v>3416</v>
      </c>
      <c r="L729" s="11">
        <v>1</v>
      </c>
      <c r="M729" s="5" t="s">
        <v>2887</v>
      </c>
    </row>
    <row r="730" spans="2:13" ht="97.5" customHeight="1" x14ac:dyDescent="0.35">
      <c r="B730" s="12">
        <v>55</v>
      </c>
      <c r="C730" s="7" t="s">
        <v>3417</v>
      </c>
      <c r="D730" s="12">
        <v>1</v>
      </c>
      <c r="E730" s="7" t="s">
        <v>3418</v>
      </c>
      <c r="F730" s="7" t="s">
        <v>3419</v>
      </c>
      <c r="G730" s="7" t="s">
        <v>30</v>
      </c>
      <c r="H730" s="7" t="s">
        <v>3420</v>
      </c>
      <c r="I730" s="7" t="s">
        <v>3421</v>
      </c>
      <c r="J730" s="7" t="s">
        <v>404</v>
      </c>
      <c r="K730" s="7" t="s">
        <v>3422</v>
      </c>
      <c r="L730" s="12">
        <v>4</v>
      </c>
      <c r="M730" s="7" t="s">
        <v>2887</v>
      </c>
    </row>
    <row r="731" spans="2:13" ht="37.5" customHeight="1" x14ac:dyDescent="0.35">
      <c r="B731" s="11">
        <v>55</v>
      </c>
      <c r="C731" s="5" t="s">
        <v>3417</v>
      </c>
      <c r="D731" s="11">
        <v>2</v>
      </c>
      <c r="E731" s="5" t="s">
        <v>3423</v>
      </c>
      <c r="F731" s="5" t="s">
        <v>3424</v>
      </c>
      <c r="G731" s="5" t="s">
        <v>1235</v>
      </c>
      <c r="H731" s="5" t="s">
        <v>1977</v>
      </c>
      <c r="I731" s="5" t="s">
        <v>2055</v>
      </c>
      <c r="J731" s="5" t="s">
        <v>404</v>
      </c>
      <c r="K731" s="5" t="s">
        <v>2937</v>
      </c>
      <c r="L731" s="11">
        <v>2</v>
      </c>
      <c r="M731" s="5" t="s">
        <v>2887</v>
      </c>
    </row>
    <row r="732" spans="2:13" ht="37.5" customHeight="1" x14ac:dyDescent="0.35">
      <c r="B732" s="12">
        <v>55</v>
      </c>
      <c r="C732" s="7" t="s">
        <v>3417</v>
      </c>
      <c r="D732" s="12">
        <v>3</v>
      </c>
      <c r="E732" s="7" t="s">
        <v>3425</v>
      </c>
      <c r="F732" s="7" t="s">
        <v>3426</v>
      </c>
      <c r="G732" s="7" t="s">
        <v>365</v>
      </c>
      <c r="H732" s="7" t="s">
        <v>43</v>
      </c>
      <c r="I732" s="7" t="s">
        <v>53</v>
      </c>
      <c r="J732" s="7" t="s">
        <v>2875</v>
      </c>
      <c r="K732" s="7" t="s">
        <v>3427</v>
      </c>
      <c r="L732" s="12">
        <v>1</v>
      </c>
      <c r="M732" s="7" t="s">
        <v>2887</v>
      </c>
    </row>
    <row r="733" spans="2:13" ht="37.5" customHeight="1" x14ac:dyDescent="0.35">
      <c r="B733" s="11">
        <v>55</v>
      </c>
      <c r="C733" s="5" t="s">
        <v>3417</v>
      </c>
      <c r="D733" s="11">
        <v>4</v>
      </c>
      <c r="E733" s="5" t="s">
        <v>3428</v>
      </c>
      <c r="F733" s="5" t="s">
        <v>3429</v>
      </c>
      <c r="G733" s="5" t="s">
        <v>766</v>
      </c>
      <c r="H733" s="5" t="s">
        <v>38</v>
      </c>
      <c r="I733" s="5" t="s">
        <v>53</v>
      </c>
      <c r="J733" s="5" t="s">
        <v>404</v>
      </c>
      <c r="K733" s="5" t="s">
        <v>1306</v>
      </c>
      <c r="L733" s="11">
        <v>1</v>
      </c>
      <c r="M733" s="5" t="s">
        <v>2887</v>
      </c>
    </row>
    <row r="734" spans="2:13" ht="37.5" customHeight="1" x14ac:dyDescent="0.35">
      <c r="B734" s="12">
        <v>55</v>
      </c>
      <c r="C734" s="7" t="s">
        <v>3417</v>
      </c>
      <c r="D734" s="12">
        <v>5</v>
      </c>
      <c r="E734" s="7" t="s">
        <v>3430</v>
      </c>
      <c r="F734" s="7" t="s">
        <v>3431</v>
      </c>
      <c r="G734" s="7" t="s">
        <v>825</v>
      </c>
      <c r="H734" s="7" t="s">
        <v>2986</v>
      </c>
      <c r="I734" s="7" t="s">
        <v>53</v>
      </c>
      <c r="J734" s="7" t="s">
        <v>404</v>
      </c>
      <c r="K734" s="7" t="s">
        <v>3432</v>
      </c>
      <c r="L734" s="12">
        <v>2</v>
      </c>
      <c r="M734" s="7" t="s">
        <v>2887</v>
      </c>
    </row>
    <row r="735" spans="2:13" ht="37.5" customHeight="1" x14ac:dyDescent="0.35">
      <c r="B735" s="11">
        <v>55</v>
      </c>
      <c r="C735" s="5" t="s">
        <v>3417</v>
      </c>
      <c r="D735" s="11">
        <v>6</v>
      </c>
      <c r="E735" s="5" t="s">
        <v>3433</v>
      </c>
      <c r="F735" s="5" t="s">
        <v>3434</v>
      </c>
      <c r="G735" s="5" t="s">
        <v>24</v>
      </c>
      <c r="H735" s="5" t="s">
        <v>38</v>
      </c>
      <c r="I735" s="5" t="s">
        <v>53</v>
      </c>
      <c r="J735" s="5" t="s">
        <v>404</v>
      </c>
      <c r="K735" s="5" t="s">
        <v>1306</v>
      </c>
      <c r="L735" s="11">
        <v>1</v>
      </c>
      <c r="M735" s="5" t="s">
        <v>2887</v>
      </c>
    </row>
    <row r="736" spans="2:13" ht="37.5" customHeight="1" x14ac:dyDescent="0.35">
      <c r="B736" s="12">
        <v>55</v>
      </c>
      <c r="C736" s="7" t="s">
        <v>3417</v>
      </c>
      <c r="D736" s="12">
        <v>7</v>
      </c>
      <c r="E736" s="7" t="s">
        <v>3435</v>
      </c>
      <c r="F736" s="7" t="s">
        <v>3436</v>
      </c>
      <c r="G736" s="7" t="s">
        <v>3437</v>
      </c>
      <c r="H736" s="7" t="s">
        <v>38</v>
      </c>
      <c r="I736" s="7" t="s">
        <v>53</v>
      </c>
      <c r="J736" s="7" t="s">
        <v>404</v>
      </c>
      <c r="K736" s="7" t="s">
        <v>1306</v>
      </c>
      <c r="L736" s="12">
        <v>1</v>
      </c>
      <c r="M736" s="7" t="s">
        <v>2887</v>
      </c>
    </row>
    <row r="737" spans="2:13" ht="37.5" customHeight="1" x14ac:dyDescent="0.35">
      <c r="B737" s="11">
        <v>55</v>
      </c>
      <c r="C737" s="5" t="s">
        <v>3417</v>
      </c>
      <c r="D737" s="11">
        <v>8</v>
      </c>
      <c r="E737" s="5" t="s">
        <v>3438</v>
      </c>
      <c r="F737" s="5" t="s">
        <v>3439</v>
      </c>
      <c r="G737" s="5" t="s">
        <v>749</v>
      </c>
      <c r="H737" s="5" t="s">
        <v>38</v>
      </c>
      <c r="I737" s="5" t="s">
        <v>53</v>
      </c>
      <c r="J737" s="5" t="s">
        <v>404</v>
      </c>
      <c r="K737" s="5" t="s">
        <v>1306</v>
      </c>
      <c r="L737" s="11">
        <v>1</v>
      </c>
      <c r="M737" s="5" t="s">
        <v>2887</v>
      </c>
    </row>
    <row r="738" spans="2:13" ht="37.5" customHeight="1" x14ac:dyDescent="0.35">
      <c r="B738" s="12">
        <v>55</v>
      </c>
      <c r="C738" s="7" t="s">
        <v>3417</v>
      </c>
      <c r="D738" s="12">
        <v>9</v>
      </c>
      <c r="E738" s="7" t="s">
        <v>3440</v>
      </c>
      <c r="F738" s="7" t="s">
        <v>3441</v>
      </c>
      <c r="G738" s="7" t="s">
        <v>749</v>
      </c>
      <c r="H738" s="7" t="s">
        <v>43</v>
      </c>
      <c r="I738" s="7" t="s">
        <v>53</v>
      </c>
      <c r="J738" s="7" t="s">
        <v>404</v>
      </c>
      <c r="K738" s="7" t="s">
        <v>3442</v>
      </c>
      <c r="L738" s="12">
        <v>1</v>
      </c>
      <c r="M738" s="7" t="s">
        <v>2887</v>
      </c>
    </row>
    <row r="739" spans="2:13" ht="37.5" customHeight="1" x14ac:dyDescent="0.35">
      <c r="B739" s="11">
        <v>55</v>
      </c>
      <c r="C739" s="5" t="s">
        <v>3417</v>
      </c>
      <c r="D739" s="11">
        <v>10</v>
      </c>
      <c r="E739" s="5" t="s">
        <v>3443</v>
      </c>
      <c r="F739" s="5" t="s">
        <v>3444</v>
      </c>
      <c r="G739" s="5" t="s">
        <v>590</v>
      </c>
      <c r="H739" s="5" t="s">
        <v>3349</v>
      </c>
      <c r="I739" s="5" t="s">
        <v>3274</v>
      </c>
      <c r="J739" s="5" t="s">
        <v>404</v>
      </c>
      <c r="K739" s="5" t="s">
        <v>3350</v>
      </c>
      <c r="L739" s="11">
        <v>2</v>
      </c>
      <c r="M739" s="5" t="s">
        <v>2887</v>
      </c>
    </row>
    <row r="740" spans="2:13" ht="37.5" customHeight="1" x14ac:dyDescent="0.35">
      <c r="B740" s="12">
        <v>55</v>
      </c>
      <c r="C740" s="7" t="s">
        <v>3417</v>
      </c>
      <c r="D740" s="12">
        <v>11</v>
      </c>
      <c r="E740" s="7" t="s">
        <v>3445</v>
      </c>
      <c r="F740" s="7" t="s">
        <v>3446</v>
      </c>
      <c r="G740" s="7" t="s">
        <v>285</v>
      </c>
      <c r="H740" s="7" t="s">
        <v>1995</v>
      </c>
      <c r="I740" s="7" t="s">
        <v>3074</v>
      </c>
      <c r="J740" s="7" t="s">
        <v>3230</v>
      </c>
      <c r="K740" s="7" t="s">
        <v>3447</v>
      </c>
      <c r="L740" s="12">
        <v>2</v>
      </c>
      <c r="M740" s="7" t="s">
        <v>2887</v>
      </c>
    </row>
    <row r="741" spans="2:13" ht="37.5" customHeight="1" x14ac:dyDescent="0.35">
      <c r="B741" s="11">
        <v>55</v>
      </c>
      <c r="C741" s="5" t="s">
        <v>3417</v>
      </c>
      <c r="D741" s="11">
        <v>12</v>
      </c>
      <c r="E741" s="5" t="s">
        <v>3448</v>
      </c>
      <c r="F741" s="5" t="s">
        <v>3449</v>
      </c>
      <c r="G741" s="5" t="s">
        <v>1961</v>
      </c>
      <c r="H741" s="5" t="s">
        <v>43</v>
      </c>
      <c r="I741" s="5" t="s">
        <v>3450</v>
      </c>
      <c r="J741" s="5" t="s">
        <v>404</v>
      </c>
      <c r="K741" s="5" t="s">
        <v>3451</v>
      </c>
      <c r="L741" s="11">
        <v>1</v>
      </c>
      <c r="M741" s="5" t="s">
        <v>2887</v>
      </c>
    </row>
    <row r="742" spans="2:13" ht="37.5" customHeight="1" x14ac:dyDescent="0.35">
      <c r="B742" s="12">
        <v>55</v>
      </c>
      <c r="C742" s="7" t="s">
        <v>3417</v>
      </c>
      <c r="D742" s="12">
        <v>13</v>
      </c>
      <c r="E742" s="7" t="s">
        <v>3452</v>
      </c>
      <c r="F742" s="7" t="s">
        <v>3453</v>
      </c>
      <c r="G742" s="7" t="s">
        <v>862</v>
      </c>
      <c r="H742" s="7" t="s">
        <v>38</v>
      </c>
      <c r="I742" s="7" t="s">
        <v>53</v>
      </c>
      <c r="J742" s="7" t="s">
        <v>404</v>
      </c>
      <c r="K742" s="7" t="s">
        <v>1306</v>
      </c>
      <c r="L742" s="12">
        <v>1</v>
      </c>
      <c r="M742" s="7" t="s">
        <v>2887</v>
      </c>
    </row>
    <row r="743" spans="2:13" ht="37.5" customHeight="1" x14ac:dyDescent="0.35">
      <c r="B743" s="11">
        <v>55</v>
      </c>
      <c r="C743" s="5" t="s">
        <v>3417</v>
      </c>
      <c r="D743" s="11">
        <v>14</v>
      </c>
      <c r="E743" s="5" t="s">
        <v>3454</v>
      </c>
      <c r="F743" s="5" t="s">
        <v>3455</v>
      </c>
      <c r="G743" s="5" t="s">
        <v>851</v>
      </c>
      <c r="H743" s="5" t="s">
        <v>38</v>
      </c>
      <c r="I743" s="5" t="s">
        <v>53</v>
      </c>
      <c r="J743" s="5" t="s">
        <v>404</v>
      </c>
      <c r="K743" s="5" t="s">
        <v>1306</v>
      </c>
      <c r="L743" s="11">
        <v>1</v>
      </c>
      <c r="M743" s="5" t="s">
        <v>2887</v>
      </c>
    </row>
    <row r="744" spans="2:13" ht="37.5" customHeight="1" x14ac:dyDescent="0.35">
      <c r="B744" s="12">
        <v>55</v>
      </c>
      <c r="C744" s="7" t="s">
        <v>3417</v>
      </c>
      <c r="D744" s="12">
        <v>15</v>
      </c>
      <c r="E744" s="7" t="s">
        <v>3456</v>
      </c>
      <c r="F744" s="7" t="s">
        <v>3457</v>
      </c>
      <c r="G744" s="7" t="s">
        <v>3328</v>
      </c>
      <c r="H744" s="7" t="s">
        <v>38</v>
      </c>
      <c r="I744" s="7" t="s">
        <v>53</v>
      </c>
      <c r="J744" s="7" t="s">
        <v>404</v>
      </c>
      <c r="K744" s="7" t="s">
        <v>1306</v>
      </c>
      <c r="L744" s="12">
        <v>1</v>
      </c>
      <c r="M744" s="7" t="s">
        <v>2887</v>
      </c>
    </row>
    <row r="745" spans="2:13" ht="37.5" customHeight="1" x14ac:dyDescent="0.35">
      <c r="B745" s="11">
        <v>55</v>
      </c>
      <c r="C745" s="5" t="s">
        <v>3417</v>
      </c>
      <c r="D745" s="11">
        <v>16</v>
      </c>
      <c r="E745" s="5" t="s">
        <v>3458</v>
      </c>
      <c r="F745" s="5" t="s">
        <v>3459</v>
      </c>
      <c r="G745" s="5" t="s">
        <v>828</v>
      </c>
      <c r="H745" s="5" t="s">
        <v>40</v>
      </c>
      <c r="I745" s="5" t="s">
        <v>56</v>
      </c>
      <c r="J745" s="5" t="s">
        <v>404</v>
      </c>
      <c r="K745" s="5" t="s">
        <v>1631</v>
      </c>
      <c r="L745" s="11">
        <v>1</v>
      </c>
      <c r="M745" s="5" t="s">
        <v>2887</v>
      </c>
    </row>
    <row r="746" spans="2:13" ht="37.5" customHeight="1" x14ac:dyDescent="0.35">
      <c r="B746" s="12">
        <v>55</v>
      </c>
      <c r="C746" s="7" t="s">
        <v>3417</v>
      </c>
      <c r="D746" s="12">
        <v>17</v>
      </c>
      <c r="E746" s="7" t="s">
        <v>3460</v>
      </c>
      <c r="F746" s="7" t="s">
        <v>3461</v>
      </c>
      <c r="G746" s="7" t="s">
        <v>842</v>
      </c>
      <c r="H746" s="7" t="s">
        <v>43</v>
      </c>
      <c r="I746" s="7" t="s">
        <v>1093</v>
      </c>
      <c r="J746" s="7" t="s">
        <v>404</v>
      </c>
      <c r="K746" s="7" t="s">
        <v>1634</v>
      </c>
      <c r="L746" s="12">
        <v>1</v>
      </c>
      <c r="M746" s="7" t="s">
        <v>2887</v>
      </c>
    </row>
    <row r="747" spans="2:13" ht="37.5" customHeight="1" x14ac:dyDescent="0.35">
      <c r="B747" s="11">
        <v>55</v>
      </c>
      <c r="C747" s="5" t="s">
        <v>3417</v>
      </c>
      <c r="D747" s="11">
        <v>18</v>
      </c>
      <c r="E747" s="5" t="s">
        <v>3462</v>
      </c>
      <c r="F747" s="5" t="s">
        <v>3463</v>
      </c>
      <c r="G747" s="5" t="s">
        <v>1730</v>
      </c>
      <c r="H747" s="5" t="s">
        <v>38</v>
      </c>
      <c r="I747" s="5" t="s">
        <v>53</v>
      </c>
      <c r="J747" s="5" t="s">
        <v>404</v>
      </c>
      <c r="K747" s="5" t="s">
        <v>1306</v>
      </c>
      <c r="L747" s="11">
        <v>1</v>
      </c>
      <c r="M747" s="5" t="s">
        <v>2887</v>
      </c>
    </row>
    <row r="748" spans="2:13" ht="82.5" customHeight="1" x14ac:dyDescent="0.35">
      <c r="B748" s="12">
        <v>55</v>
      </c>
      <c r="C748" s="7" t="s">
        <v>3417</v>
      </c>
      <c r="D748" s="12">
        <v>19</v>
      </c>
      <c r="E748" s="7" t="s">
        <v>3464</v>
      </c>
      <c r="F748" s="7" t="s">
        <v>3465</v>
      </c>
      <c r="G748" s="7" t="s">
        <v>25</v>
      </c>
      <c r="H748" s="7" t="s">
        <v>3466</v>
      </c>
      <c r="I748" s="7" t="s">
        <v>3467</v>
      </c>
      <c r="J748" s="7" t="s">
        <v>3468</v>
      </c>
      <c r="K748" s="7" t="s">
        <v>3469</v>
      </c>
      <c r="L748" s="12">
        <v>5</v>
      </c>
      <c r="M748" s="7" t="s">
        <v>2887</v>
      </c>
    </row>
    <row r="749" spans="2:13" ht="37.5" customHeight="1" x14ac:dyDescent="0.35">
      <c r="B749" s="11">
        <v>55</v>
      </c>
      <c r="C749" s="5" t="s">
        <v>3417</v>
      </c>
      <c r="D749" s="11">
        <v>20</v>
      </c>
      <c r="E749" s="5" t="s">
        <v>3470</v>
      </c>
      <c r="F749" s="5" t="s">
        <v>3471</v>
      </c>
      <c r="G749" s="5" t="s">
        <v>3472</v>
      </c>
      <c r="H749" s="5" t="s">
        <v>38</v>
      </c>
      <c r="I749" s="5" t="s">
        <v>53</v>
      </c>
      <c r="J749" s="5" t="s">
        <v>404</v>
      </c>
      <c r="K749" s="5" t="s">
        <v>1306</v>
      </c>
      <c r="L749" s="11">
        <v>1</v>
      </c>
      <c r="M749" s="5" t="s">
        <v>2887</v>
      </c>
    </row>
    <row r="750" spans="2:13" ht="37.5" customHeight="1" x14ac:dyDescent="0.35">
      <c r="B750" s="12">
        <v>55</v>
      </c>
      <c r="C750" s="7" t="s">
        <v>3417</v>
      </c>
      <c r="D750" s="12">
        <v>21</v>
      </c>
      <c r="E750" s="7" t="s">
        <v>3473</v>
      </c>
      <c r="F750" s="7" t="s">
        <v>3474</v>
      </c>
      <c r="G750" s="7" t="s">
        <v>993</v>
      </c>
      <c r="H750" s="7" t="s">
        <v>1995</v>
      </c>
      <c r="I750" s="7" t="s">
        <v>3074</v>
      </c>
      <c r="J750" s="7" t="s">
        <v>3230</v>
      </c>
      <c r="K750" s="7" t="s">
        <v>3447</v>
      </c>
      <c r="L750" s="12">
        <v>2</v>
      </c>
      <c r="M750" s="7" t="s">
        <v>2887</v>
      </c>
    </row>
    <row r="751" spans="2:13" ht="52.5" customHeight="1" x14ac:dyDescent="0.35">
      <c r="B751" s="11">
        <v>55</v>
      </c>
      <c r="C751" s="5" t="s">
        <v>3417</v>
      </c>
      <c r="D751" s="11">
        <v>22</v>
      </c>
      <c r="E751" s="5" t="s">
        <v>3475</v>
      </c>
      <c r="F751" s="5" t="s">
        <v>3476</v>
      </c>
      <c r="G751" s="5" t="s">
        <v>29</v>
      </c>
      <c r="H751" s="5" t="s">
        <v>3477</v>
      </c>
      <c r="I751" s="5" t="s">
        <v>3478</v>
      </c>
      <c r="J751" s="5" t="s">
        <v>3468</v>
      </c>
      <c r="K751" s="5" t="s">
        <v>3479</v>
      </c>
      <c r="L751" s="11">
        <v>3</v>
      </c>
      <c r="M751" s="5" t="s">
        <v>2887</v>
      </c>
    </row>
    <row r="752" spans="2:13" ht="37.5" customHeight="1" x14ac:dyDescent="0.35">
      <c r="B752" s="12">
        <v>55</v>
      </c>
      <c r="C752" s="7" t="s">
        <v>3417</v>
      </c>
      <c r="D752" s="12">
        <v>23</v>
      </c>
      <c r="E752" s="7" t="s">
        <v>3480</v>
      </c>
      <c r="F752" s="7" t="s">
        <v>3481</v>
      </c>
      <c r="G752" s="7" t="s">
        <v>279</v>
      </c>
      <c r="H752" s="7" t="s">
        <v>433</v>
      </c>
      <c r="I752" s="7" t="s">
        <v>1222</v>
      </c>
      <c r="J752" s="7" t="s">
        <v>3230</v>
      </c>
      <c r="K752" s="7" t="s">
        <v>3482</v>
      </c>
      <c r="L752" s="12">
        <v>2</v>
      </c>
      <c r="M752" s="7" t="s">
        <v>2887</v>
      </c>
    </row>
    <row r="753" spans="2:13" ht="37.5" customHeight="1" x14ac:dyDescent="0.35">
      <c r="B753" s="11">
        <v>55</v>
      </c>
      <c r="C753" s="5" t="s">
        <v>3417</v>
      </c>
      <c r="D753" s="11">
        <v>24</v>
      </c>
      <c r="E753" s="5" t="s">
        <v>3483</v>
      </c>
      <c r="F753" s="5" t="s">
        <v>3484</v>
      </c>
      <c r="G753" s="5" t="s">
        <v>1045</v>
      </c>
      <c r="H753" s="5" t="s">
        <v>38</v>
      </c>
      <c r="I753" s="5" t="s">
        <v>53</v>
      </c>
      <c r="J753" s="5" t="s">
        <v>404</v>
      </c>
      <c r="K753" s="5" t="s">
        <v>1306</v>
      </c>
      <c r="L753" s="11">
        <v>1</v>
      </c>
      <c r="M753" s="5" t="s">
        <v>2887</v>
      </c>
    </row>
    <row r="754" spans="2:13" ht="37.5" customHeight="1" x14ac:dyDescent="0.35">
      <c r="B754" s="12">
        <v>55</v>
      </c>
      <c r="C754" s="7" t="s">
        <v>3417</v>
      </c>
      <c r="D754" s="12">
        <v>25</v>
      </c>
      <c r="E754" s="7" t="s">
        <v>3485</v>
      </c>
      <c r="F754" s="7" t="s">
        <v>3486</v>
      </c>
      <c r="G754" s="7" t="s">
        <v>1127</v>
      </c>
      <c r="H754" s="7" t="s">
        <v>3487</v>
      </c>
      <c r="I754" s="7" t="s">
        <v>3488</v>
      </c>
      <c r="J754" s="7" t="s">
        <v>404</v>
      </c>
      <c r="K754" s="7" t="s">
        <v>3489</v>
      </c>
      <c r="L754" s="12">
        <v>2</v>
      </c>
      <c r="M754" s="7" t="s">
        <v>2887</v>
      </c>
    </row>
    <row r="755" spans="2:13" ht="37.5" customHeight="1" x14ac:dyDescent="0.35">
      <c r="B755" s="11">
        <v>55</v>
      </c>
      <c r="C755" s="5" t="s">
        <v>3417</v>
      </c>
      <c r="D755" s="11">
        <v>26</v>
      </c>
      <c r="E755" s="5" t="s">
        <v>3490</v>
      </c>
      <c r="F755" s="5" t="s">
        <v>3491</v>
      </c>
      <c r="G755" s="5" t="s">
        <v>3492</v>
      </c>
      <c r="H755" s="5" t="s">
        <v>817</v>
      </c>
      <c r="I755" s="5" t="s">
        <v>52</v>
      </c>
      <c r="J755" s="5" t="s">
        <v>404</v>
      </c>
      <c r="K755" s="5" t="s">
        <v>818</v>
      </c>
      <c r="L755" s="11">
        <v>1</v>
      </c>
      <c r="M755" s="5" t="s">
        <v>2887</v>
      </c>
    </row>
    <row r="756" spans="2:13" ht="37.5" customHeight="1" x14ac:dyDescent="0.35">
      <c r="B756" s="12">
        <v>55</v>
      </c>
      <c r="C756" s="7" t="s">
        <v>3417</v>
      </c>
      <c r="D756" s="12">
        <v>27</v>
      </c>
      <c r="E756" s="7" t="s">
        <v>3493</v>
      </c>
      <c r="F756" s="7" t="s">
        <v>3494</v>
      </c>
      <c r="G756" s="7" t="s">
        <v>202</v>
      </c>
      <c r="H756" s="7" t="s">
        <v>37</v>
      </c>
      <c r="I756" s="7" t="s">
        <v>1472</v>
      </c>
      <c r="J756" s="7" t="s">
        <v>2857</v>
      </c>
      <c r="K756" s="7" t="s">
        <v>3495</v>
      </c>
      <c r="L756" s="12">
        <v>1</v>
      </c>
      <c r="M756" s="7" t="s">
        <v>2887</v>
      </c>
    </row>
    <row r="757" spans="2:13" ht="37.5" customHeight="1" x14ac:dyDescent="0.35">
      <c r="B757" s="11">
        <v>55</v>
      </c>
      <c r="C757" s="5" t="s">
        <v>3417</v>
      </c>
      <c r="D757" s="11">
        <v>28</v>
      </c>
      <c r="E757" s="5" t="s">
        <v>3496</v>
      </c>
      <c r="F757" s="5" t="s">
        <v>3497</v>
      </c>
      <c r="G757" s="5" t="s">
        <v>877</v>
      </c>
      <c r="H757" s="5" t="s">
        <v>37</v>
      </c>
      <c r="I757" s="5" t="s">
        <v>3498</v>
      </c>
      <c r="J757" s="5" t="s">
        <v>2857</v>
      </c>
      <c r="K757" s="5" t="s">
        <v>3499</v>
      </c>
      <c r="L757" s="11">
        <v>1</v>
      </c>
      <c r="M757" s="5" t="s">
        <v>2887</v>
      </c>
    </row>
    <row r="758" spans="2:13" ht="37.5" customHeight="1" x14ac:dyDescent="0.35">
      <c r="B758" s="12">
        <v>55</v>
      </c>
      <c r="C758" s="7" t="s">
        <v>3417</v>
      </c>
      <c r="D758" s="12">
        <v>29</v>
      </c>
      <c r="E758" s="7" t="s">
        <v>3500</v>
      </c>
      <c r="F758" s="7" t="s">
        <v>3501</v>
      </c>
      <c r="G758" s="7" t="s">
        <v>3502</v>
      </c>
      <c r="H758" s="7" t="s">
        <v>37</v>
      </c>
      <c r="I758" s="7" t="s">
        <v>998</v>
      </c>
      <c r="J758" s="7" t="s">
        <v>2857</v>
      </c>
      <c r="K758" s="7" t="s">
        <v>3503</v>
      </c>
      <c r="L758" s="12">
        <v>1</v>
      </c>
      <c r="M758" s="7" t="s">
        <v>2887</v>
      </c>
    </row>
    <row r="759" spans="2:13" ht="37.5" customHeight="1" x14ac:dyDescent="0.35">
      <c r="B759" s="11">
        <v>55</v>
      </c>
      <c r="C759" s="5" t="s">
        <v>3417</v>
      </c>
      <c r="D759" s="11">
        <v>30</v>
      </c>
      <c r="E759" s="5" t="s">
        <v>3504</v>
      </c>
      <c r="F759" s="5" t="s">
        <v>3505</v>
      </c>
      <c r="G759" s="5" t="s">
        <v>1263</v>
      </c>
      <c r="H759" s="5" t="s">
        <v>37</v>
      </c>
      <c r="I759" s="5" t="s">
        <v>3506</v>
      </c>
      <c r="J759" s="5" t="s">
        <v>2857</v>
      </c>
      <c r="K759" s="5" t="s">
        <v>3507</v>
      </c>
      <c r="L759" s="11">
        <v>1</v>
      </c>
      <c r="M759" s="5" t="s">
        <v>2887</v>
      </c>
    </row>
    <row r="760" spans="2:13" ht="37.5" customHeight="1" x14ac:dyDescent="0.35">
      <c r="B760" s="12">
        <v>56</v>
      </c>
      <c r="C760" s="7" t="s">
        <v>3508</v>
      </c>
      <c r="D760" s="12">
        <v>1</v>
      </c>
      <c r="E760" s="7" t="s">
        <v>3509</v>
      </c>
      <c r="F760" s="7" t="s">
        <v>3510</v>
      </c>
      <c r="G760" s="7" t="s">
        <v>549</v>
      </c>
      <c r="H760" s="7" t="s">
        <v>38</v>
      </c>
      <c r="I760" s="7" t="s">
        <v>3511</v>
      </c>
      <c r="J760" s="7" t="s">
        <v>404</v>
      </c>
      <c r="K760" s="7" t="s">
        <v>3512</v>
      </c>
      <c r="L760" s="12">
        <v>1</v>
      </c>
      <c r="M760" s="7" t="s">
        <v>2887</v>
      </c>
    </row>
    <row r="761" spans="2:13" ht="37.5" customHeight="1" x14ac:dyDescent="0.35">
      <c r="B761" s="11">
        <v>57</v>
      </c>
      <c r="C761" s="5" t="s">
        <v>3513</v>
      </c>
      <c r="D761" s="11">
        <v>1</v>
      </c>
      <c r="E761" s="5" t="s">
        <v>3514</v>
      </c>
      <c r="F761" s="5" t="s">
        <v>3515</v>
      </c>
      <c r="G761" s="5" t="s">
        <v>3283</v>
      </c>
      <c r="H761" s="5" t="s">
        <v>37</v>
      </c>
      <c r="I761" s="5" t="s">
        <v>1248</v>
      </c>
      <c r="J761" s="5" t="s">
        <v>3516</v>
      </c>
      <c r="K761" s="5" t="s">
        <v>3517</v>
      </c>
      <c r="L761" s="11">
        <v>1</v>
      </c>
      <c r="M761" s="5" t="s">
        <v>2887</v>
      </c>
    </row>
    <row r="762" spans="2:13" ht="37.5" customHeight="1" x14ac:dyDescent="0.35">
      <c r="B762" s="12">
        <v>58</v>
      </c>
      <c r="C762" s="7" t="s">
        <v>3518</v>
      </c>
      <c r="D762" s="12">
        <v>1</v>
      </c>
      <c r="E762" s="7" t="s">
        <v>3519</v>
      </c>
      <c r="F762" s="7" t="s">
        <v>3520</v>
      </c>
      <c r="G762" s="7" t="s">
        <v>168</v>
      </c>
      <c r="H762" s="7" t="s">
        <v>38</v>
      </c>
      <c r="I762" s="7" t="s">
        <v>53</v>
      </c>
      <c r="J762" s="7" t="s">
        <v>404</v>
      </c>
      <c r="K762" s="7" t="s">
        <v>1306</v>
      </c>
      <c r="L762" s="12">
        <v>1</v>
      </c>
      <c r="M762" s="7" t="s">
        <v>2887</v>
      </c>
    </row>
    <row r="763" spans="2:13" ht="52.5" customHeight="1" x14ac:dyDescent="0.35">
      <c r="B763" s="11">
        <v>58</v>
      </c>
      <c r="C763" s="5" t="s">
        <v>3518</v>
      </c>
      <c r="D763" s="11">
        <v>2</v>
      </c>
      <c r="E763" s="5" t="s">
        <v>3521</v>
      </c>
      <c r="F763" s="5" t="s">
        <v>3522</v>
      </c>
      <c r="G763" s="5" t="s">
        <v>566</v>
      </c>
      <c r="H763" s="5" t="s">
        <v>2979</v>
      </c>
      <c r="I763" s="5" t="s">
        <v>2024</v>
      </c>
      <c r="J763" s="5" t="s">
        <v>3230</v>
      </c>
      <c r="K763" s="5" t="s">
        <v>3523</v>
      </c>
      <c r="L763" s="11">
        <v>3</v>
      </c>
      <c r="M763" s="5" t="s">
        <v>2887</v>
      </c>
    </row>
    <row r="764" spans="2:13" ht="37.5" customHeight="1" x14ac:dyDescent="0.35">
      <c r="B764" s="12">
        <v>58</v>
      </c>
      <c r="C764" s="7" t="s">
        <v>3518</v>
      </c>
      <c r="D764" s="12">
        <v>3</v>
      </c>
      <c r="E764" s="7" t="s">
        <v>3524</v>
      </c>
      <c r="F764" s="7" t="s">
        <v>3525</v>
      </c>
      <c r="G764" s="7" t="s">
        <v>1294</v>
      </c>
      <c r="H764" s="7" t="s">
        <v>38</v>
      </c>
      <c r="I764" s="7" t="s">
        <v>53</v>
      </c>
      <c r="J764" s="7" t="s">
        <v>404</v>
      </c>
      <c r="K764" s="7" t="s">
        <v>1306</v>
      </c>
      <c r="L764" s="12">
        <v>1</v>
      </c>
      <c r="M764" s="7" t="s">
        <v>2887</v>
      </c>
    </row>
    <row r="765" spans="2:13" ht="37.5" customHeight="1" x14ac:dyDescent="0.35">
      <c r="B765" s="11">
        <v>58</v>
      </c>
      <c r="C765" s="5" t="s">
        <v>3518</v>
      </c>
      <c r="D765" s="11">
        <v>4</v>
      </c>
      <c r="E765" s="5" t="s">
        <v>3526</v>
      </c>
      <c r="F765" s="5" t="s">
        <v>3527</v>
      </c>
      <c r="G765" s="5" t="s">
        <v>428</v>
      </c>
      <c r="H765" s="5" t="s">
        <v>38</v>
      </c>
      <c r="I765" s="5" t="s">
        <v>53</v>
      </c>
      <c r="J765" s="5" t="s">
        <v>404</v>
      </c>
      <c r="K765" s="5" t="s">
        <v>1306</v>
      </c>
      <c r="L765" s="11">
        <v>1</v>
      </c>
      <c r="M765" s="5" t="s">
        <v>2887</v>
      </c>
    </row>
    <row r="766" spans="2:13" ht="52.5" customHeight="1" x14ac:dyDescent="0.35">
      <c r="B766" s="12">
        <v>58</v>
      </c>
      <c r="C766" s="7" t="s">
        <v>3518</v>
      </c>
      <c r="D766" s="12">
        <v>5</v>
      </c>
      <c r="E766" s="7" t="s">
        <v>3528</v>
      </c>
      <c r="F766" s="7" t="s">
        <v>3529</v>
      </c>
      <c r="G766" s="7" t="s">
        <v>29</v>
      </c>
      <c r="H766" s="7" t="s">
        <v>3530</v>
      </c>
      <c r="I766" s="7" t="s">
        <v>3531</v>
      </c>
      <c r="J766" s="7" t="s">
        <v>404</v>
      </c>
      <c r="K766" s="7" t="s">
        <v>3532</v>
      </c>
      <c r="L766" s="12">
        <v>3</v>
      </c>
      <c r="M766" s="7" t="s">
        <v>2887</v>
      </c>
    </row>
    <row r="767" spans="2:13" ht="52.5" customHeight="1" x14ac:dyDescent="0.35">
      <c r="B767" s="11">
        <v>58</v>
      </c>
      <c r="C767" s="5" t="s">
        <v>3518</v>
      </c>
      <c r="D767" s="11">
        <v>6</v>
      </c>
      <c r="E767" s="5" t="s">
        <v>3533</v>
      </c>
      <c r="F767" s="5" t="s">
        <v>3534</v>
      </c>
      <c r="G767" s="5" t="s">
        <v>472</v>
      </c>
      <c r="H767" s="5" t="s">
        <v>3530</v>
      </c>
      <c r="I767" s="5" t="s">
        <v>3531</v>
      </c>
      <c r="J767" s="5" t="s">
        <v>3535</v>
      </c>
      <c r="K767" s="5" t="s">
        <v>3536</v>
      </c>
      <c r="L767" s="11">
        <v>3</v>
      </c>
      <c r="M767" s="5" t="s">
        <v>2887</v>
      </c>
    </row>
    <row r="768" spans="2:13" ht="37.5" customHeight="1" x14ac:dyDescent="0.35">
      <c r="B768" s="12">
        <v>58</v>
      </c>
      <c r="C768" s="7" t="s">
        <v>3518</v>
      </c>
      <c r="D768" s="12">
        <v>7</v>
      </c>
      <c r="E768" s="7" t="s">
        <v>3537</v>
      </c>
      <c r="F768" s="7" t="s">
        <v>3538</v>
      </c>
      <c r="G768" s="7" t="s">
        <v>395</v>
      </c>
      <c r="H768" s="7" t="s">
        <v>38</v>
      </c>
      <c r="I768" s="7" t="s">
        <v>53</v>
      </c>
      <c r="J768" s="7" t="s">
        <v>404</v>
      </c>
      <c r="K768" s="7" t="s">
        <v>1306</v>
      </c>
      <c r="L768" s="12">
        <v>1</v>
      </c>
      <c r="M768" s="7" t="s">
        <v>2887</v>
      </c>
    </row>
    <row r="769" spans="2:13" ht="82.5" customHeight="1" x14ac:dyDescent="0.35">
      <c r="B769" s="11">
        <v>58</v>
      </c>
      <c r="C769" s="5" t="s">
        <v>3518</v>
      </c>
      <c r="D769" s="11">
        <v>8</v>
      </c>
      <c r="E769" s="5" t="s">
        <v>3539</v>
      </c>
      <c r="F769" s="5" t="s">
        <v>3540</v>
      </c>
      <c r="G769" s="5" t="s">
        <v>25</v>
      </c>
      <c r="H769" s="5" t="s">
        <v>3420</v>
      </c>
      <c r="I769" s="5" t="s">
        <v>3541</v>
      </c>
      <c r="J769" s="5" t="s">
        <v>3468</v>
      </c>
      <c r="K769" s="5" t="s">
        <v>3542</v>
      </c>
      <c r="L769" s="11">
        <v>4</v>
      </c>
      <c r="M769" s="5" t="s">
        <v>2887</v>
      </c>
    </row>
    <row r="770" spans="2:13" ht="52.5" customHeight="1" x14ac:dyDescent="0.35">
      <c r="B770" s="12">
        <v>58</v>
      </c>
      <c r="C770" s="7" t="s">
        <v>3518</v>
      </c>
      <c r="D770" s="12">
        <v>9</v>
      </c>
      <c r="E770" s="7" t="s">
        <v>3543</v>
      </c>
      <c r="F770" s="7" t="s">
        <v>3544</v>
      </c>
      <c r="G770" s="7" t="s">
        <v>24</v>
      </c>
      <c r="H770" s="7" t="s">
        <v>1977</v>
      </c>
      <c r="I770" s="7" t="s">
        <v>3545</v>
      </c>
      <c r="J770" s="7" t="s">
        <v>404</v>
      </c>
      <c r="K770" s="7" t="s">
        <v>3546</v>
      </c>
      <c r="L770" s="12">
        <v>2</v>
      </c>
      <c r="M770" s="7" t="s">
        <v>2887</v>
      </c>
    </row>
    <row r="771" spans="2:13" ht="37.5" customHeight="1" x14ac:dyDescent="0.35">
      <c r="B771" s="11">
        <v>58</v>
      </c>
      <c r="C771" s="5" t="s">
        <v>3518</v>
      </c>
      <c r="D771" s="11">
        <v>10</v>
      </c>
      <c r="E771" s="5" t="s">
        <v>3547</v>
      </c>
      <c r="F771" s="5" t="s">
        <v>3548</v>
      </c>
      <c r="G771" s="5" t="s">
        <v>365</v>
      </c>
      <c r="H771" s="5" t="s">
        <v>38</v>
      </c>
      <c r="I771" s="5" t="s">
        <v>53</v>
      </c>
      <c r="J771" s="5" t="s">
        <v>404</v>
      </c>
      <c r="K771" s="5" t="s">
        <v>1306</v>
      </c>
      <c r="L771" s="11">
        <v>1</v>
      </c>
      <c r="M771" s="5" t="s">
        <v>2887</v>
      </c>
    </row>
    <row r="772" spans="2:13" ht="37.5" customHeight="1" x14ac:dyDescent="0.35">
      <c r="B772" s="12">
        <v>58</v>
      </c>
      <c r="C772" s="7" t="s">
        <v>3518</v>
      </c>
      <c r="D772" s="12">
        <v>11</v>
      </c>
      <c r="E772" s="7" t="s">
        <v>3549</v>
      </c>
      <c r="F772" s="7" t="s">
        <v>3550</v>
      </c>
      <c r="G772" s="7" t="s">
        <v>457</v>
      </c>
      <c r="H772" s="7" t="s">
        <v>38</v>
      </c>
      <c r="I772" s="7" t="s">
        <v>53</v>
      </c>
      <c r="J772" s="7" t="s">
        <v>404</v>
      </c>
      <c r="K772" s="7" t="s">
        <v>1306</v>
      </c>
      <c r="L772" s="12">
        <v>1</v>
      </c>
      <c r="M772" s="7" t="s">
        <v>2887</v>
      </c>
    </row>
    <row r="773" spans="2:13" ht="52.5" customHeight="1" x14ac:dyDescent="0.35">
      <c r="B773" s="11">
        <v>58</v>
      </c>
      <c r="C773" s="5" t="s">
        <v>3518</v>
      </c>
      <c r="D773" s="11">
        <v>12</v>
      </c>
      <c r="E773" s="5" t="s">
        <v>3551</v>
      </c>
      <c r="F773" s="5" t="s">
        <v>3552</v>
      </c>
      <c r="G773" s="5" t="s">
        <v>33</v>
      </c>
      <c r="H773" s="5" t="s">
        <v>2986</v>
      </c>
      <c r="I773" s="5" t="s">
        <v>3553</v>
      </c>
      <c r="J773" s="5" t="s">
        <v>404</v>
      </c>
      <c r="K773" s="5" t="s">
        <v>3554</v>
      </c>
      <c r="L773" s="11">
        <v>2</v>
      </c>
      <c r="M773" s="5" t="s">
        <v>2887</v>
      </c>
    </row>
    <row r="774" spans="2:13" ht="37.5" customHeight="1" x14ac:dyDescent="0.35">
      <c r="B774" s="12">
        <v>58</v>
      </c>
      <c r="C774" s="7" t="s">
        <v>3518</v>
      </c>
      <c r="D774" s="12">
        <v>13</v>
      </c>
      <c r="E774" s="7" t="s">
        <v>3555</v>
      </c>
      <c r="F774" s="7" t="s">
        <v>3556</v>
      </c>
      <c r="G774" s="7" t="s">
        <v>549</v>
      </c>
      <c r="H774" s="7" t="s">
        <v>3557</v>
      </c>
      <c r="I774" s="7" t="s">
        <v>3029</v>
      </c>
      <c r="J774" s="7" t="s">
        <v>404</v>
      </c>
      <c r="K774" s="7" t="s">
        <v>3558</v>
      </c>
      <c r="L774" s="12">
        <v>2</v>
      </c>
      <c r="M774" s="7" t="s">
        <v>2887</v>
      </c>
    </row>
    <row r="775" spans="2:13" ht="37.5" customHeight="1" x14ac:dyDescent="0.35">
      <c r="B775" s="11">
        <v>58</v>
      </c>
      <c r="C775" s="5" t="s">
        <v>3518</v>
      </c>
      <c r="D775" s="11">
        <v>14</v>
      </c>
      <c r="E775" s="5" t="s">
        <v>3559</v>
      </c>
      <c r="F775" s="5" t="s">
        <v>3560</v>
      </c>
      <c r="G775" s="5" t="s">
        <v>26</v>
      </c>
      <c r="H775" s="5" t="s">
        <v>38</v>
      </c>
      <c r="I775" s="5" t="s">
        <v>53</v>
      </c>
      <c r="J775" s="5" t="s">
        <v>404</v>
      </c>
      <c r="K775" s="5" t="s">
        <v>1306</v>
      </c>
      <c r="L775" s="11">
        <v>1</v>
      </c>
      <c r="M775" s="5" t="s">
        <v>2887</v>
      </c>
    </row>
    <row r="776" spans="2:13" ht="37.5" customHeight="1" x14ac:dyDescent="0.35">
      <c r="B776" s="12">
        <v>58</v>
      </c>
      <c r="C776" s="7" t="s">
        <v>3518</v>
      </c>
      <c r="D776" s="12">
        <v>15</v>
      </c>
      <c r="E776" s="7" t="s">
        <v>3561</v>
      </c>
      <c r="F776" s="7" t="s">
        <v>3562</v>
      </c>
      <c r="G776" s="7" t="s">
        <v>497</v>
      </c>
      <c r="H776" s="7" t="s">
        <v>1977</v>
      </c>
      <c r="I776" s="7" t="s">
        <v>2055</v>
      </c>
      <c r="J776" s="7" t="s">
        <v>404</v>
      </c>
      <c r="K776" s="7" t="s">
        <v>2937</v>
      </c>
      <c r="L776" s="12">
        <v>2</v>
      </c>
      <c r="M776" s="7" t="s">
        <v>2887</v>
      </c>
    </row>
    <row r="777" spans="2:13" ht="37.5" customHeight="1" x14ac:dyDescent="0.35">
      <c r="B777" s="11">
        <v>58</v>
      </c>
      <c r="C777" s="5" t="s">
        <v>3518</v>
      </c>
      <c r="D777" s="11">
        <v>16</v>
      </c>
      <c r="E777" s="5" t="s">
        <v>3563</v>
      </c>
      <c r="F777" s="5" t="s">
        <v>3564</v>
      </c>
      <c r="G777" s="5" t="s">
        <v>31</v>
      </c>
      <c r="H777" s="5" t="s">
        <v>38</v>
      </c>
      <c r="I777" s="5" t="s">
        <v>53</v>
      </c>
      <c r="J777" s="5" t="s">
        <v>404</v>
      </c>
      <c r="K777" s="5" t="s">
        <v>1306</v>
      </c>
      <c r="L777" s="11">
        <v>1</v>
      </c>
      <c r="M777" s="5" t="s">
        <v>2887</v>
      </c>
    </row>
    <row r="778" spans="2:13" ht="37.5" customHeight="1" x14ac:dyDescent="0.35">
      <c r="B778" s="12">
        <v>58</v>
      </c>
      <c r="C778" s="7" t="s">
        <v>3518</v>
      </c>
      <c r="D778" s="12">
        <v>17</v>
      </c>
      <c r="E778" s="7" t="s">
        <v>3565</v>
      </c>
      <c r="F778" s="7" t="s">
        <v>3566</v>
      </c>
      <c r="G778" s="7" t="s">
        <v>638</v>
      </c>
      <c r="H778" s="7" t="s">
        <v>1977</v>
      </c>
      <c r="I778" s="7" t="s">
        <v>2055</v>
      </c>
      <c r="J778" s="7" t="s">
        <v>404</v>
      </c>
      <c r="K778" s="7" t="s">
        <v>2937</v>
      </c>
      <c r="L778" s="12">
        <v>2</v>
      </c>
      <c r="M778" s="7" t="s">
        <v>2887</v>
      </c>
    </row>
    <row r="779" spans="2:13" ht="82.5" customHeight="1" x14ac:dyDescent="0.35">
      <c r="B779" s="11">
        <v>58</v>
      </c>
      <c r="C779" s="5" t="s">
        <v>3518</v>
      </c>
      <c r="D779" s="11">
        <v>18</v>
      </c>
      <c r="E779" s="5" t="s">
        <v>3567</v>
      </c>
      <c r="F779" s="5" t="s">
        <v>3568</v>
      </c>
      <c r="G779" s="5" t="s">
        <v>27</v>
      </c>
      <c r="H779" s="5" t="s">
        <v>3569</v>
      </c>
      <c r="I779" s="5" t="s">
        <v>3570</v>
      </c>
      <c r="J779" s="5" t="s">
        <v>404</v>
      </c>
      <c r="K779" s="5" t="s">
        <v>3571</v>
      </c>
      <c r="L779" s="11">
        <v>3</v>
      </c>
      <c r="M779" s="5" t="s">
        <v>2887</v>
      </c>
    </row>
    <row r="780" spans="2:13" ht="37.5" customHeight="1" x14ac:dyDescent="0.35">
      <c r="B780" s="12">
        <v>58</v>
      </c>
      <c r="C780" s="7" t="s">
        <v>3518</v>
      </c>
      <c r="D780" s="12">
        <v>19</v>
      </c>
      <c r="E780" s="7" t="s">
        <v>3572</v>
      </c>
      <c r="F780" s="7" t="s">
        <v>3573</v>
      </c>
      <c r="G780" s="7" t="s">
        <v>880</v>
      </c>
      <c r="H780" s="7" t="s">
        <v>38</v>
      </c>
      <c r="I780" s="7" t="s">
        <v>53</v>
      </c>
      <c r="J780" s="7" t="s">
        <v>404</v>
      </c>
      <c r="K780" s="7" t="s">
        <v>1306</v>
      </c>
      <c r="L780" s="12">
        <v>1</v>
      </c>
      <c r="M780" s="7" t="s">
        <v>2887</v>
      </c>
    </row>
    <row r="781" spans="2:13" ht="52.5" customHeight="1" x14ac:dyDescent="0.35">
      <c r="B781" s="11">
        <v>58</v>
      </c>
      <c r="C781" s="5" t="s">
        <v>3518</v>
      </c>
      <c r="D781" s="11">
        <v>20</v>
      </c>
      <c r="E781" s="5" t="s">
        <v>3574</v>
      </c>
      <c r="F781" s="5" t="s">
        <v>3575</v>
      </c>
      <c r="G781" s="5" t="s">
        <v>560</v>
      </c>
      <c r="H781" s="5" t="s">
        <v>3576</v>
      </c>
      <c r="I781" s="5" t="s">
        <v>3577</v>
      </c>
      <c r="J781" s="5" t="s">
        <v>404</v>
      </c>
      <c r="K781" s="5" t="s">
        <v>3578</v>
      </c>
      <c r="L781" s="11">
        <v>2</v>
      </c>
      <c r="M781" s="5" t="s">
        <v>2887</v>
      </c>
    </row>
    <row r="782" spans="2:13" ht="37.5" customHeight="1" x14ac:dyDescent="0.35">
      <c r="B782" s="12">
        <v>58</v>
      </c>
      <c r="C782" s="7" t="s">
        <v>3518</v>
      </c>
      <c r="D782" s="12">
        <v>21</v>
      </c>
      <c r="E782" s="7" t="s">
        <v>3579</v>
      </c>
      <c r="F782" s="7" t="s">
        <v>3580</v>
      </c>
      <c r="G782" s="7" t="s">
        <v>766</v>
      </c>
      <c r="H782" s="7" t="s">
        <v>38</v>
      </c>
      <c r="I782" s="7" t="s">
        <v>53</v>
      </c>
      <c r="J782" s="7" t="s">
        <v>404</v>
      </c>
      <c r="K782" s="7" t="s">
        <v>1306</v>
      </c>
      <c r="L782" s="12">
        <v>1</v>
      </c>
      <c r="M782" s="7" t="s">
        <v>2887</v>
      </c>
    </row>
    <row r="783" spans="2:13" ht="52.5" customHeight="1" x14ac:dyDescent="0.35">
      <c r="B783" s="11">
        <v>58</v>
      </c>
      <c r="C783" s="5" t="s">
        <v>3518</v>
      </c>
      <c r="D783" s="11">
        <v>22</v>
      </c>
      <c r="E783" s="5" t="s">
        <v>3581</v>
      </c>
      <c r="F783" s="5" t="s">
        <v>3582</v>
      </c>
      <c r="G783" s="5" t="s">
        <v>282</v>
      </c>
      <c r="H783" s="5" t="s">
        <v>2986</v>
      </c>
      <c r="I783" s="5" t="s">
        <v>3583</v>
      </c>
      <c r="J783" s="5" t="s">
        <v>404</v>
      </c>
      <c r="K783" s="5" t="s">
        <v>3584</v>
      </c>
      <c r="L783" s="11">
        <v>2</v>
      </c>
      <c r="M783" s="5" t="s">
        <v>2887</v>
      </c>
    </row>
    <row r="784" spans="2:13" ht="97.5" customHeight="1" x14ac:dyDescent="0.35">
      <c r="B784" s="12"/>
      <c r="C784" s="7" t="s">
        <v>3585</v>
      </c>
      <c r="D784" s="12">
        <v>23</v>
      </c>
      <c r="E784" s="7" t="s">
        <v>3586</v>
      </c>
      <c r="F784" s="7" t="s">
        <v>3587</v>
      </c>
      <c r="G784" s="7" t="s">
        <v>531</v>
      </c>
      <c r="H784" s="7" t="s">
        <v>3588</v>
      </c>
      <c r="I784" s="7" t="s">
        <v>3589</v>
      </c>
      <c r="J784" s="7" t="s">
        <v>404</v>
      </c>
      <c r="K784" s="7" t="s">
        <v>3590</v>
      </c>
      <c r="L784" s="12">
        <v>4</v>
      </c>
      <c r="M784" s="7"/>
    </row>
    <row r="785" spans="2:13" ht="37.5" customHeight="1" x14ac:dyDescent="0.35">
      <c r="B785" s="11"/>
      <c r="C785" s="5" t="s">
        <v>3585</v>
      </c>
      <c r="D785" s="11">
        <v>24</v>
      </c>
      <c r="E785" s="5" t="s">
        <v>3591</v>
      </c>
      <c r="F785" s="5" t="s">
        <v>3592</v>
      </c>
      <c r="G785" s="5" t="s">
        <v>805</v>
      </c>
      <c r="H785" s="5" t="s">
        <v>38</v>
      </c>
      <c r="I785" s="5" t="s">
        <v>53</v>
      </c>
      <c r="J785" s="5" t="s">
        <v>404</v>
      </c>
      <c r="K785" s="5" t="s">
        <v>1306</v>
      </c>
      <c r="L785" s="11">
        <v>1</v>
      </c>
      <c r="M785" s="5"/>
    </row>
    <row r="786" spans="2:13" ht="37.5" customHeight="1" x14ac:dyDescent="0.35">
      <c r="B786" s="12"/>
      <c r="C786" s="7" t="s">
        <v>3585</v>
      </c>
      <c r="D786" s="12">
        <v>25</v>
      </c>
      <c r="E786" s="7" t="s">
        <v>3593</v>
      </c>
      <c r="F786" s="7" t="s">
        <v>3594</v>
      </c>
      <c r="G786" s="7" t="s">
        <v>1076</v>
      </c>
      <c r="H786" s="7" t="s">
        <v>3595</v>
      </c>
      <c r="I786" s="7" t="s">
        <v>2967</v>
      </c>
      <c r="J786" s="7" t="s">
        <v>404</v>
      </c>
      <c r="K786" s="7" t="s">
        <v>3596</v>
      </c>
      <c r="L786" s="12">
        <v>1</v>
      </c>
      <c r="M786" s="7"/>
    </row>
    <row r="787" spans="2:13" ht="37.5" customHeight="1" x14ac:dyDescent="0.35">
      <c r="B787" s="11"/>
      <c r="C787" s="5" t="s">
        <v>3585</v>
      </c>
      <c r="D787" s="11">
        <v>26</v>
      </c>
      <c r="E787" s="5" t="s">
        <v>3597</v>
      </c>
      <c r="F787" s="5" t="s">
        <v>3598</v>
      </c>
      <c r="G787" s="5" t="s">
        <v>279</v>
      </c>
      <c r="H787" s="5" t="s">
        <v>38</v>
      </c>
      <c r="I787" s="5" t="s">
        <v>2967</v>
      </c>
      <c r="J787" s="5" t="s">
        <v>404</v>
      </c>
      <c r="K787" s="5" t="s">
        <v>2976</v>
      </c>
      <c r="L787" s="11">
        <v>1</v>
      </c>
      <c r="M787" s="5"/>
    </row>
    <row r="788" spans="2:13" ht="37.5" customHeight="1" x14ac:dyDescent="0.35">
      <c r="B788" s="12"/>
      <c r="C788" s="7" t="s">
        <v>3585</v>
      </c>
      <c r="D788" s="12">
        <v>27</v>
      </c>
      <c r="E788" s="7" t="s">
        <v>3599</v>
      </c>
      <c r="F788" s="7" t="s">
        <v>3600</v>
      </c>
      <c r="G788" s="7" t="s">
        <v>576</v>
      </c>
      <c r="H788" s="7" t="s">
        <v>38</v>
      </c>
      <c r="I788" s="7" t="s">
        <v>2967</v>
      </c>
      <c r="J788" s="7" t="s">
        <v>404</v>
      </c>
      <c r="K788" s="7" t="s">
        <v>2976</v>
      </c>
      <c r="L788" s="12">
        <v>1</v>
      </c>
      <c r="M788" s="7"/>
    </row>
    <row r="789" spans="2:13" ht="37.5" customHeight="1" x14ac:dyDescent="0.35">
      <c r="B789" s="11"/>
      <c r="C789" s="5" t="s">
        <v>3585</v>
      </c>
      <c r="D789" s="11">
        <v>28</v>
      </c>
      <c r="E789" s="5" t="s">
        <v>3601</v>
      </c>
      <c r="F789" s="5" t="s">
        <v>3602</v>
      </c>
      <c r="G789" s="5" t="s">
        <v>2415</v>
      </c>
      <c r="H789" s="5" t="s">
        <v>38</v>
      </c>
      <c r="I789" s="5" t="s">
        <v>2967</v>
      </c>
      <c r="J789" s="5" t="s">
        <v>404</v>
      </c>
      <c r="K789" s="5" t="s">
        <v>2976</v>
      </c>
      <c r="L789" s="11">
        <v>1</v>
      </c>
      <c r="M789" s="5"/>
    </row>
    <row r="790" spans="2:13" ht="37.5" customHeight="1" x14ac:dyDescent="0.35">
      <c r="B790" s="12"/>
      <c r="C790" s="7" t="s">
        <v>3585</v>
      </c>
      <c r="D790" s="12">
        <v>29</v>
      </c>
      <c r="E790" s="7" t="s">
        <v>3603</v>
      </c>
      <c r="F790" s="7" t="s">
        <v>3604</v>
      </c>
      <c r="G790" s="7" t="s">
        <v>28</v>
      </c>
      <c r="H790" s="7" t="s">
        <v>38</v>
      </c>
      <c r="I790" s="7" t="s">
        <v>2967</v>
      </c>
      <c r="J790" s="7" t="s">
        <v>404</v>
      </c>
      <c r="K790" s="7" t="s">
        <v>2976</v>
      </c>
      <c r="L790" s="12">
        <v>1</v>
      </c>
      <c r="M790" s="7"/>
    </row>
    <row r="791" spans="2:13" ht="52.5" customHeight="1" x14ac:dyDescent="0.35">
      <c r="B791" s="11"/>
      <c r="C791" s="5" t="s">
        <v>3585</v>
      </c>
      <c r="D791" s="11">
        <v>30</v>
      </c>
      <c r="E791" s="5" t="s">
        <v>3605</v>
      </c>
      <c r="F791" s="5" t="s">
        <v>3606</v>
      </c>
      <c r="G791" s="5" t="s">
        <v>421</v>
      </c>
      <c r="H791" s="5" t="s">
        <v>2986</v>
      </c>
      <c r="I791" s="5" t="s">
        <v>2987</v>
      </c>
      <c r="J791" s="5" t="s">
        <v>404</v>
      </c>
      <c r="K791" s="5" t="s">
        <v>2988</v>
      </c>
      <c r="L791" s="11">
        <v>2</v>
      </c>
      <c r="M791" s="5"/>
    </row>
    <row r="792" spans="2:13" ht="67.5" customHeight="1" x14ac:dyDescent="0.35">
      <c r="B792" s="12"/>
      <c r="C792" s="7" t="s">
        <v>3585</v>
      </c>
      <c r="D792" s="12">
        <v>31</v>
      </c>
      <c r="E792" s="7" t="s">
        <v>3607</v>
      </c>
      <c r="F792" s="7" t="s">
        <v>3608</v>
      </c>
      <c r="G792" s="7" t="s">
        <v>1164</v>
      </c>
      <c r="H792" s="7" t="s">
        <v>3609</v>
      </c>
      <c r="I792" s="7" t="s">
        <v>3610</v>
      </c>
      <c r="J792" s="7" t="s">
        <v>404</v>
      </c>
      <c r="K792" s="7" t="s">
        <v>3611</v>
      </c>
      <c r="L792" s="12">
        <v>3</v>
      </c>
      <c r="M792" s="7"/>
    </row>
    <row r="793" spans="2:13" ht="37.5" customHeight="1" x14ac:dyDescent="0.35">
      <c r="B793" s="11"/>
      <c r="C793" s="5" t="s">
        <v>3585</v>
      </c>
      <c r="D793" s="11">
        <v>32</v>
      </c>
      <c r="E793" s="5" t="s">
        <v>3612</v>
      </c>
      <c r="F793" s="5" t="s">
        <v>3613</v>
      </c>
      <c r="G793" s="5" t="s">
        <v>445</v>
      </c>
      <c r="H793" s="5" t="s">
        <v>3614</v>
      </c>
      <c r="I793" s="5" t="s">
        <v>2310</v>
      </c>
      <c r="J793" s="5" t="s">
        <v>404</v>
      </c>
      <c r="K793" s="5" t="s">
        <v>3615</v>
      </c>
      <c r="L793" s="11">
        <v>2</v>
      </c>
      <c r="M793" s="5"/>
    </row>
    <row r="794" spans="2:13" ht="37.5" customHeight="1" x14ac:dyDescent="0.35">
      <c r="B794" s="12"/>
      <c r="C794" s="7" t="s">
        <v>3585</v>
      </c>
      <c r="D794" s="12">
        <v>33</v>
      </c>
      <c r="E794" s="7" t="s">
        <v>3616</v>
      </c>
      <c r="F794" s="7" t="s">
        <v>3617</v>
      </c>
      <c r="G794" s="7" t="s">
        <v>402</v>
      </c>
      <c r="H794" s="7" t="s">
        <v>3618</v>
      </c>
      <c r="I794" s="7" t="s">
        <v>3619</v>
      </c>
      <c r="J794" s="7" t="s">
        <v>404</v>
      </c>
      <c r="K794" s="7" t="s">
        <v>3620</v>
      </c>
      <c r="L794" s="12">
        <v>1</v>
      </c>
      <c r="M794" s="7"/>
    </row>
    <row r="795" spans="2:13" ht="37.5" customHeight="1" x14ac:dyDescent="0.35">
      <c r="B795" s="11"/>
      <c r="C795" s="5" t="s">
        <v>3585</v>
      </c>
      <c r="D795" s="11">
        <v>34</v>
      </c>
      <c r="E795" s="5" t="s">
        <v>3621</v>
      </c>
      <c r="F795" s="5" t="s">
        <v>3622</v>
      </c>
      <c r="G795" s="5" t="s">
        <v>439</v>
      </c>
      <c r="H795" s="5" t="s">
        <v>1977</v>
      </c>
      <c r="I795" s="5" t="s">
        <v>2055</v>
      </c>
      <c r="J795" s="5" t="s">
        <v>404</v>
      </c>
      <c r="K795" s="5" t="s">
        <v>2937</v>
      </c>
      <c r="L795" s="11">
        <v>2</v>
      </c>
      <c r="M795" s="5"/>
    </row>
    <row r="796" spans="2:13" ht="52.5" customHeight="1" x14ac:dyDescent="0.35">
      <c r="B796" s="12"/>
      <c r="C796" s="7" t="s">
        <v>3585</v>
      </c>
      <c r="D796" s="12">
        <v>35</v>
      </c>
      <c r="E796" s="7" t="s">
        <v>3623</v>
      </c>
      <c r="F796" s="7" t="s">
        <v>3624</v>
      </c>
      <c r="G796" s="7" t="s">
        <v>185</v>
      </c>
      <c r="H796" s="7" t="s">
        <v>1977</v>
      </c>
      <c r="I796" s="7" t="s">
        <v>3545</v>
      </c>
      <c r="J796" s="7" t="s">
        <v>404</v>
      </c>
      <c r="K796" s="7" t="s">
        <v>3546</v>
      </c>
      <c r="L796" s="12">
        <v>2</v>
      </c>
      <c r="M796" s="7"/>
    </row>
    <row r="797" spans="2:13" ht="37.5" customHeight="1" x14ac:dyDescent="0.35">
      <c r="B797" s="11"/>
      <c r="C797" s="5" t="s">
        <v>3585</v>
      </c>
      <c r="D797" s="11">
        <v>36</v>
      </c>
      <c r="E797" s="5" t="s">
        <v>3625</v>
      </c>
      <c r="F797" s="5" t="s">
        <v>3626</v>
      </c>
      <c r="G797" s="5" t="s">
        <v>29</v>
      </c>
      <c r="H797" s="5" t="s">
        <v>1977</v>
      </c>
      <c r="I797" s="5" t="s">
        <v>2055</v>
      </c>
      <c r="J797" s="5" t="s">
        <v>404</v>
      </c>
      <c r="K797" s="5" t="s">
        <v>2937</v>
      </c>
      <c r="L797" s="11">
        <v>2</v>
      </c>
      <c r="M797" s="5"/>
    </row>
    <row r="798" spans="2:13" ht="37.5" customHeight="1" x14ac:dyDescent="0.35">
      <c r="B798" s="12"/>
      <c r="C798" s="7" t="s">
        <v>3585</v>
      </c>
      <c r="D798" s="12">
        <v>37</v>
      </c>
      <c r="E798" s="7" t="s">
        <v>3627</v>
      </c>
      <c r="F798" s="7" t="s">
        <v>3628</v>
      </c>
      <c r="G798" s="7" t="s">
        <v>32</v>
      </c>
      <c r="H798" s="7" t="s">
        <v>1977</v>
      </c>
      <c r="I798" s="7" t="s">
        <v>2055</v>
      </c>
      <c r="J798" s="7" t="s">
        <v>404</v>
      </c>
      <c r="K798" s="7" t="s">
        <v>2937</v>
      </c>
      <c r="L798" s="12">
        <v>2</v>
      </c>
      <c r="M798" s="7"/>
    </row>
    <row r="799" spans="2:13" ht="37.5" customHeight="1" x14ac:dyDescent="0.35">
      <c r="B799" s="11"/>
      <c r="C799" s="5" t="s">
        <v>3585</v>
      </c>
      <c r="D799" s="11">
        <v>38</v>
      </c>
      <c r="E799" s="5" t="s">
        <v>3629</v>
      </c>
      <c r="F799" s="5" t="s">
        <v>3630</v>
      </c>
      <c r="G799" s="5" t="s">
        <v>686</v>
      </c>
      <c r="H799" s="5" t="s">
        <v>1977</v>
      </c>
      <c r="I799" s="5" t="s">
        <v>2055</v>
      </c>
      <c r="J799" s="5" t="s">
        <v>404</v>
      </c>
      <c r="K799" s="5" t="s">
        <v>2937</v>
      </c>
      <c r="L799" s="11">
        <v>2</v>
      </c>
      <c r="M799" s="5"/>
    </row>
    <row r="800" spans="2:13" ht="37.5" customHeight="1" x14ac:dyDescent="0.35">
      <c r="B800" s="12"/>
      <c r="C800" s="7" t="s">
        <v>3585</v>
      </c>
      <c r="D800" s="12">
        <v>39</v>
      </c>
      <c r="E800" s="7" t="s">
        <v>3631</v>
      </c>
      <c r="F800" s="7" t="s">
        <v>3632</v>
      </c>
      <c r="G800" s="7" t="s">
        <v>536</v>
      </c>
      <c r="H800" s="7" t="s">
        <v>1977</v>
      </c>
      <c r="I800" s="7" t="s">
        <v>2055</v>
      </c>
      <c r="J800" s="7" t="s">
        <v>404</v>
      </c>
      <c r="K800" s="7" t="s">
        <v>2937</v>
      </c>
      <c r="L800" s="12">
        <v>2</v>
      </c>
      <c r="M800" s="7"/>
    </row>
    <row r="801" spans="2:13" ht="37.5" customHeight="1" x14ac:dyDescent="0.35">
      <c r="B801" s="11"/>
      <c r="C801" s="5" t="s">
        <v>3585</v>
      </c>
      <c r="D801" s="11">
        <v>40</v>
      </c>
      <c r="E801" s="5" t="s">
        <v>3633</v>
      </c>
      <c r="F801" s="5" t="s">
        <v>3634</v>
      </c>
      <c r="G801" s="5" t="s">
        <v>206</v>
      </c>
      <c r="H801" s="5" t="s">
        <v>1977</v>
      </c>
      <c r="I801" s="5" t="s">
        <v>2055</v>
      </c>
      <c r="J801" s="5" t="s">
        <v>404</v>
      </c>
      <c r="K801" s="5" t="s">
        <v>2937</v>
      </c>
      <c r="L801" s="11">
        <v>2</v>
      </c>
      <c r="M801" s="5"/>
    </row>
    <row r="802" spans="2:13" ht="21.75" customHeight="1" x14ac:dyDescent="0.35">
      <c r="B802" s="12"/>
      <c r="C802" s="7" t="s">
        <v>3585</v>
      </c>
      <c r="D802" s="12">
        <v>41</v>
      </c>
      <c r="E802" s="7" t="s">
        <v>3635</v>
      </c>
      <c r="F802" s="7" t="s">
        <v>3636</v>
      </c>
      <c r="G802" s="7" t="s">
        <v>810</v>
      </c>
      <c r="H802" s="7" t="s">
        <v>43</v>
      </c>
      <c r="I802" s="7" t="s">
        <v>1093</v>
      </c>
      <c r="J802" s="7" t="s">
        <v>404</v>
      </c>
      <c r="K802" s="7" t="s">
        <v>1634</v>
      </c>
      <c r="L802" s="12">
        <v>1</v>
      </c>
      <c r="M802" s="7"/>
    </row>
    <row r="803" spans="2:13" ht="37.5" customHeight="1" x14ac:dyDescent="0.35">
      <c r="B803" s="11"/>
      <c r="C803" s="5" t="s">
        <v>3585</v>
      </c>
      <c r="D803" s="11">
        <v>42</v>
      </c>
      <c r="E803" s="5" t="s">
        <v>3637</v>
      </c>
      <c r="F803" s="5" t="s">
        <v>3638</v>
      </c>
      <c r="G803" s="5" t="s">
        <v>761</v>
      </c>
      <c r="H803" s="5" t="s">
        <v>43</v>
      </c>
      <c r="I803" s="5" t="s">
        <v>1093</v>
      </c>
      <c r="J803" s="5" t="s">
        <v>404</v>
      </c>
      <c r="K803" s="5" t="s">
        <v>1634</v>
      </c>
      <c r="L803" s="11">
        <v>1</v>
      </c>
      <c r="M803" s="5"/>
    </row>
    <row r="804" spans="2:13" ht="21.75" customHeight="1" x14ac:dyDescent="0.35">
      <c r="B804" s="12"/>
      <c r="C804" s="7" t="s">
        <v>3585</v>
      </c>
      <c r="D804" s="12">
        <v>43</v>
      </c>
      <c r="E804" s="7" t="s">
        <v>3639</v>
      </c>
      <c r="F804" s="7" t="s">
        <v>3640</v>
      </c>
      <c r="G804" s="7" t="s">
        <v>973</v>
      </c>
      <c r="H804" s="7" t="s">
        <v>43</v>
      </c>
      <c r="I804" s="7" t="s">
        <v>1093</v>
      </c>
      <c r="J804" s="7" t="s">
        <v>404</v>
      </c>
      <c r="K804" s="7" t="s">
        <v>1634</v>
      </c>
      <c r="L804" s="12">
        <v>1</v>
      </c>
      <c r="M804" s="7"/>
    </row>
    <row r="805" spans="2:13" ht="52.5" customHeight="1" x14ac:dyDescent="0.35">
      <c r="B805" s="11"/>
      <c r="C805" s="5" t="s">
        <v>3585</v>
      </c>
      <c r="D805" s="11">
        <v>44</v>
      </c>
      <c r="E805" s="5" t="s">
        <v>3641</v>
      </c>
      <c r="F805" s="5" t="s">
        <v>3642</v>
      </c>
      <c r="G805" s="5" t="s">
        <v>3643</v>
      </c>
      <c r="H805" s="5" t="s">
        <v>3644</v>
      </c>
      <c r="I805" s="5" t="s">
        <v>3645</v>
      </c>
      <c r="J805" s="5" t="s">
        <v>3646</v>
      </c>
      <c r="K805" s="5" t="s">
        <v>3647</v>
      </c>
      <c r="L805" s="11">
        <v>2</v>
      </c>
      <c r="M805" s="5"/>
    </row>
    <row r="806" spans="2:13" ht="37.5" customHeight="1" x14ac:dyDescent="0.35">
      <c r="B806" s="12"/>
      <c r="C806" s="7" t="s">
        <v>3585</v>
      </c>
      <c r="D806" s="12">
        <v>45</v>
      </c>
      <c r="E806" s="7" t="s">
        <v>3648</v>
      </c>
      <c r="F806" s="7" t="s">
        <v>3649</v>
      </c>
      <c r="G806" s="7" t="s">
        <v>625</v>
      </c>
      <c r="H806" s="7" t="s">
        <v>1977</v>
      </c>
      <c r="I806" s="7" t="s">
        <v>3008</v>
      </c>
      <c r="J806" s="7" t="s">
        <v>404</v>
      </c>
      <c r="K806" s="7" t="s">
        <v>3009</v>
      </c>
      <c r="L806" s="12">
        <v>2</v>
      </c>
      <c r="M806" s="7"/>
    </row>
    <row r="807" spans="2:13" ht="37.5" customHeight="1" x14ac:dyDescent="0.35">
      <c r="B807" s="11"/>
      <c r="C807" s="5" t="s">
        <v>3585</v>
      </c>
      <c r="D807" s="11">
        <v>46</v>
      </c>
      <c r="E807" s="5" t="s">
        <v>3650</v>
      </c>
      <c r="F807" s="5" t="s">
        <v>3651</v>
      </c>
      <c r="G807" s="5" t="s">
        <v>552</v>
      </c>
      <c r="H807" s="5" t="s">
        <v>1977</v>
      </c>
      <c r="I807" s="5" t="s">
        <v>3008</v>
      </c>
      <c r="J807" s="5" t="s">
        <v>404</v>
      </c>
      <c r="K807" s="5" t="s">
        <v>3009</v>
      </c>
      <c r="L807" s="11">
        <v>2</v>
      </c>
      <c r="M807" s="5"/>
    </row>
    <row r="808" spans="2:13" ht="37.5" customHeight="1" x14ac:dyDescent="0.35">
      <c r="B808" s="12"/>
      <c r="C808" s="7" t="s">
        <v>3585</v>
      </c>
      <c r="D808" s="12">
        <v>47</v>
      </c>
      <c r="E808" s="7" t="s">
        <v>3652</v>
      </c>
      <c r="F808" s="7" t="s">
        <v>3653</v>
      </c>
      <c r="G808" s="7" t="s">
        <v>3065</v>
      </c>
      <c r="H808" s="7" t="s">
        <v>1977</v>
      </c>
      <c r="I808" s="7" t="s">
        <v>53</v>
      </c>
      <c r="J808" s="7" t="s">
        <v>404</v>
      </c>
      <c r="K808" s="7" t="s">
        <v>3654</v>
      </c>
      <c r="L808" s="12">
        <v>1</v>
      </c>
      <c r="M808" s="7"/>
    </row>
    <row r="809" spans="2:13" ht="37.5" customHeight="1" x14ac:dyDescent="0.35">
      <c r="B809" s="11"/>
      <c r="C809" s="5" t="s">
        <v>3585</v>
      </c>
      <c r="D809" s="11">
        <v>48</v>
      </c>
      <c r="E809" s="5" t="s">
        <v>3655</v>
      </c>
      <c r="F809" s="5" t="s">
        <v>3656</v>
      </c>
      <c r="G809" s="5" t="s">
        <v>585</v>
      </c>
      <c r="H809" s="5" t="s">
        <v>38</v>
      </c>
      <c r="I809" s="5" t="s">
        <v>53</v>
      </c>
      <c r="J809" s="5" t="s">
        <v>404</v>
      </c>
      <c r="K809" s="5" t="s">
        <v>1306</v>
      </c>
      <c r="L809" s="11">
        <v>1</v>
      </c>
      <c r="M809" s="5"/>
    </row>
    <row r="810" spans="2:13" ht="52.5" customHeight="1" x14ac:dyDescent="0.35">
      <c r="B810" s="12"/>
      <c r="C810" s="7" t="s">
        <v>3585</v>
      </c>
      <c r="D810" s="12">
        <v>49</v>
      </c>
      <c r="E810" s="7" t="s">
        <v>3657</v>
      </c>
      <c r="F810" s="7" t="s">
        <v>3658</v>
      </c>
      <c r="G810" s="7" t="s">
        <v>244</v>
      </c>
      <c r="H810" s="7" t="s">
        <v>3659</v>
      </c>
      <c r="I810" s="7" t="s">
        <v>3660</v>
      </c>
      <c r="J810" s="7" t="s">
        <v>3468</v>
      </c>
      <c r="K810" s="7" t="s">
        <v>3661</v>
      </c>
      <c r="L810" s="12">
        <v>3</v>
      </c>
      <c r="M810" s="7"/>
    </row>
    <row r="811" spans="2:13" ht="37.5" customHeight="1" x14ac:dyDescent="0.35">
      <c r="B811" s="11"/>
      <c r="C811" s="5" t="s">
        <v>3585</v>
      </c>
      <c r="D811" s="11">
        <v>50</v>
      </c>
      <c r="E811" s="5" t="s">
        <v>3662</v>
      </c>
      <c r="F811" s="5" t="s">
        <v>3663</v>
      </c>
      <c r="G811" s="5" t="s">
        <v>825</v>
      </c>
      <c r="H811" s="5" t="s">
        <v>38</v>
      </c>
      <c r="I811" s="5" t="s">
        <v>53</v>
      </c>
      <c r="J811" s="5" t="s">
        <v>404</v>
      </c>
      <c r="K811" s="5" t="s">
        <v>1306</v>
      </c>
      <c r="L811" s="11">
        <v>1</v>
      </c>
      <c r="M811" s="5"/>
    </row>
    <row r="812" spans="2:13" ht="37.5" customHeight="1" x14ac:dyDescent="0.35">
      <c r="B812" s="12"/>
      <c r="C812" s="7" t="s">
        <v>3585</v>
      </c>
      <c r="D812" s="12">
        <v>51</v>
      </c>
      <c r="E812" s="7" t="s">
        <v>3664</v>
      </c>
      <c r="F812" s="7" t="s">
        <v>3665</v>
      </c>
      <c r="G812" s="7" t="s">
        <v>939</v>
      </c>
      <c r="H812" s="7" t="s">
        <v>38</v>
      </c>
      <c r="I812" s="7" t="s">
        <v>53</v>
      </c>
      <c r="J812" s="7" t="s">
        <v>404</v>
      </c>
      <c r="K812" s="7" t="s">
        <v>1306</v>
      </c>
      <c r="L812" s="12">
        <v>1</v>
      </c>
      <c r="M812" s="7"/>
    </row>
    <row r="813" spans="2:13" ht="21.75" customHeight="1" x14ac:dyDescent="0.35">
      <c r="B813" s="11"/>
      <c r="C813" s="5" t="s">
        <v>3585</v>
      </c>
      <c r="D813" s="11">
        <v>52</v>
      </c>
      <c r="E813" s="5" t="s">
        <v>3666</v>
      </c>
      <c r="F813" s="5" t="s">
        <v>3667</v>
      </c>
      <c r="G813" s="5" t="s">
        <v>645</v>
      </c>
      <c r="H813" s="5" t="s">
        <v>38</v>
      </c>
      <c r="I813" s="5" t="s">
        <v>53</v>
      </c>
      <c r="J813" s="5" t="s">
        <v>404</v>
      </c>
      <c r="K813" s="5" t="s">
        <v>1306</v>
      </c>
      <c r="L813" s="11">
        <v>1</v>
      </c>
      <c r="M813" s="5"/>
    </row>
    <row r="814" spans="2:13" ht="52.5" customHeight="1" x14ac:dyDescent="0.35">
      <c r="B814" s="12"/>
      <c r="C814" s="7" t="s">
        <v>3585</v>
      </c>
      <c r="D814" s="12">
        <v>53</v>
      </c>
      <c r="E814" s="7" t="s">
        <v>3668</v>
      </c>
      <c r="F814" s="7" t="s">
        <v>3669</v>
      </c>
      <c r="G814" s="7" t="s">
        <v>573</v>
      </c>
      <c r="H814" s="7" t="s">
        <v>3670</v>
      </c>
      <c r="I814" s="7" t="s">
        <v>3671</v>
      </c>
      <c r="J814" s="7" t="s">
        <v>404</v>
      </c>
      <c r="K814" s="7" t="s">
        <v>3672</v>
      </c>
      <c r="L814" s="12">
        <v>2</v>
      </c>
      <c r="M814" s="7"/>
    </row>
    <row r="815" spans="2:13" ht="37.5" customHeight="1" x14ac:dyDescent="0.35">
      <c r="B815" s="11"/>
      <c r="C815" s="5" t="s">
        <v>3585</v>
      </c>
      <c r="D815" s="11">
        <v>54</v>
      </c>
      <c r="E815" s="5" t="s">
        <v>3673</v>
      </c>
      <c r="F815" s="5" t="s">
        <v>3674</v>
      </c>
      <c r="G815" s="5" t="s">
        <v>653</v>
      </c>
      <c r="H815" s="5" t="s">
        <v>2986</v>
      </c>
      <c r="I815" s="5" t="s">
        <v>3051</v>
      </c>
      <c r="J815" s="5" t="s">
        <v>404</v>
      </c>
      <c r="K815" s="5" t="s">
        <v>3052</v>
      </c>
      <c r="L815" s="11">
        <v>2</v>
      </c>
      <c r="M815" s="5"/>
    </row>
    <row r="816" spans="2:13" ht="37.5" customHeight="1" x14ac:dyDescent="0.35">
      <c r="B816" s="12"/>
      <c r="C816" s="7" t="s">
        <v>3585</v>
      </c>
      <c r="D816" s="12">
        <v>55</v>
      </c>
      <c r="E816" s="7" t="s">
        <v>3675</v>
      </c>
      <c r="F816" s="7" t="s">
        <v>3676</v>
      </c>
      <c r="G816" s="7" t="s">
        <v>2768</v>
      </c>
      <c r="H816" s="7" t="s">
        <v>2986</v>
      </c>
      <c r="I816" s="7" t="s">
        <v>3051</v>
      </c>
      <c r="J816" s="7" t="s">
        <v>404</v>
      </c>
      <c r="K816" s="7" t="s">
        <v>3052</v>
      </c>
      <c r="L816" s="12">
        <v>2</v>
      </c>
      <c r="M816" s="7"/>
    </row>
    <row r="817" spans="2:13" ht="37.5" customHeight="1" x14ac:dyDescent="0.35">
      <c r="B817" s="11"/>
      <c r="C817" s="5" t="s">
        <v>3585</v>
      </c>
      <c r="D817" s="11">
        <v>56</v>
      </c>
      <c r="E817" s="5" t="s">
        <v>3677</v>
      </c>
      <c r="F817" s="5" t="s">
        <v>3678</v>
      </c>
      <c r="G817" s="5" t="s">
        <v>1589</v>
      </c>
      <c r="H817" s="5" t="s">
        <v>38</v>
      </c>
      <c r="I817" s="5" t="s">
        <v>53</v>
      </c>
      <c r="J817" s="5" t="s">
        <v>404</v>
      </c>
      <c r="K817" s="5" t="s">
        <v>1306</v>
      </c>
      <c r="L817" s="11">
        <v>1</v>
      </c>
      <c r="M817" s="5"/>
    </row>
    <row r="818" spans="2:13" ht="37.5" customHeight="1" x14ac:dyDescent="0.35">
      <c r="B818" s="12"/>
      <c r="C818" s="7" t="s">
        <v>3585</v>
      </c>
      <c r="D818" s="12">
        <v>57</v>
      </c>
      <c r="E818" s="7" t="s">
        <v>3679</v>
      </c>
      <c r="F818" s="7" t="s">
        <v>3680</v>
      </c>
      <c r="G818" s="7" t="s">
        <v>1593</v>
      </c>
      <c r="H818" s="7" t="s">
        <v>38</v>
      </c>
      <c r="I818" s="7" t="s">
        <v>53</v>
      </c>
      <c r="J818" s="7" t="s">
        <v>404</v>
      </c>
      <c r="K818" s="7" t="s">
        <v>1306</v>
      </c>
      <c r="L818" s="12">
        <v>1</v>
      </c>
      <c r="M818" s="7"/>
    </row>
    <row r="819" spans="2:13" ht="37.5" customHeight="1" x14ac:dyDescent="0.35">
      <c r="B819" s="11"/>
      <c r="C819" s="5" t="s">
        <v>3585</v>
      </c>
      <c r="D819" s="11">
        <v>58</v>
      </c>
      <c r="E819" s="5" t="s">
        <v>3681</v>
      </c>
      <c r="F819" s="5" t="s">
        <v>3682</v>
      </c>
      <c r="G819" s="5" t="s">
        <v>736</v>
      </c>
      <c r="H819" s="5" t="s">
        <v>38</v>
      </c>
      <c r="I819" s="5" t="s">
        <v>53</v>
      </c>
      <c r="J819" s="5" t="s">
        <v>404</v>
      </c>
      <c r="K819" s="5" t="s">
        <v>1306</v>
      </c>
      <c r="L819" s="11">
        <v>1</v>
      </c>
      <c r="M819" s="5"/>
    </row>
    <row r="820" spans="2:13" ht="37.5" customHeight="1" x14ac:dyDescent="0.35">
      <c r="B820" s="12"/>
      <c r="C820" s="7" t="s">
        <v>3585</v>
      </c>
      <c r="D820" s="12">
        <v>59</v>
      </c>
      <c r="E820" s="7" t="s">
        <v>3683</v>
      </c>
      <c r="F820" s="7" t="s">
        <v>3684</v>
      </c>
      <c r="G820" s="7" t="s">
        <v>848</v>
      </c>
      <c r="H820" s="7" t="s">
        <v>38</v>
      </c>
      <c r="I820" s="7" t="s">
        <v>53</v>
      </c>
      <c r="J820" s="7" t="s">
        <v>404</v>
      </c>
      <c r="K820" s="7" t="s">
        <v>1306</v>
      </c>
      <c r="L820" s="12">
        <v>1</v>
      </c>
      <c r="M820" s="7"/>
    </row>
    <row r="821" spans="2:13" ht="21.75" customHeight="1" x14ac:dyDescent="0.35">
      <c r="B821" s="11"/>
      <c r="C821" s="5" t="s">
        <v>3585</v>
      </c>
      <c r="D821" s="11">
        <v>60</v>
      </c>
      <c r="E821" s="5" t="s">
        <v>3685</v>
      </c>
      <c r="F821" s="5" t="s">
        <v>3686</v>
      </c>
      <c r="G821" s="5" t="s">
        <v>918</v>
      </c>
      <c r="H821" s="5" t="s">
        <v>38</v>
      </c>
      <c r="I821" s="5" t="s">
        <v>53</v>
      </c>
      <c r="J821" s="5" t="s">
        <v>404</v>
      </c>
      <c r="K821" s="5" t="s">
        <v>1306</v>
      </c>
      <c r="L821" s="11">
        <v>1</v>
      </c>
      <c r="M821" s="5"/>
    </row>
    <row r="822" spans="2:13" ht="21.75" customHeight="1" x14ac:dyDescent="0.35">
      <c r="B822" s="12"/>
      <c r="C822" s="7" t="s">
        <v>3585</v>
      </c>
      <c r="D822" s="12">
        <v>61</v>
      </c>
      <c r="E822" s="7" t="s">
        <v>3687</v>
      </c>
      <c r="F822" s="7" t="s">
        <v>3688</v>
      </c>
      <c r="G822" s="7" t="s">
        <v>1647</v>
      </c>
      <c r="H822" s="7" t="s">
        <v>1948</v>
      </c>
      <c r="I822" s="7" t="s">
        <v>1949</v>
      </c>
      <c r="J822" s="7" t="s">
        <v>404</v>
      </c>
      <c r="K822" s="7" t="s">
        <v>1950</v>
      </c>
      <c r="L822" s="12">
        <v>1</v>
      </c>
      <c r="M822" s="7"/>
    </row>
    <row r="823" spans="2:13" ht="37.5" customHeight="1" x14ac:dyDescent="0.35">
      <c r="B823" s="11"/>
      <c r="C823" s="5" t="s">
        <v>3585</v>
      </c>
      <c r="D823" s="11">
        <v>62</v>
      </c>
      <c r="E823" s="5" t="s">
        <v>3689</v>
      </c>
      <c r="F823" s="5" t="s">
        <v>3690</v>
      </c>
      <c r="G823" s="5" t="s">
        <v>176</v>
      </c>
      <c r="H823" s="5" t="s">
        <v>38</v>
      </c>
      <c r="I823" s="5" t="s">
        <v>53</v>
      </c>
      <c r="J823" s="5" t="s">
        <v>404</v>
      </c>
      <c r="K823" s="5" t="s">
        <v>1306</v>
      </c>
      <c r="L823" s="11">
        <v>1</v>
      </c>
      <c r="M823" s="5"/>
    </row>
    <row r="824" spans="2:13" ht="37.5" customHeight="1" x14ac:dyDescent="0.35">
      <c r="B824" s="12"/>
      <c r="C824" s="7" t="s">
        <v>3585</v>
      </c>
      <c r="D824" s="12">
        <v>63</v>
      </c>
      <c r="E824" s="7" t="s">
        <v>3691</v>
      </c>
      <c r="F824" s="7" t="s">
        <v>3692</v>
      </c>
      <c r="G824" s="7" t="s">
        <v>1622</v>
      </c>
      <c r="H824" s="7" t="s">
        <v>38</v>
      </c>
      <c r="I824" s="7" t="s">
        <v>53</v>
      </c>
      <c r="J824" s="7" t="s">
        <v>404</v>
      </c>
      <c r="K824" s="7" t="s">
        <v>1306</v>
      </c>
      <c r="L824" s="12">
        <v>1</v>
      </c>
      <c r="M824" s="7"/>
    </row>
    <row r="825" spans="2:13" ht="21.75" customHeight="1" x14ac:dyDescent="0.35">
      <c r="B825" s="11"/>
      <c r="C825" s="5" t="s">
        <v>3585</v>
      </c>
      <c r="D825" s="11">
        <v>64</v>
      </c>
      <c r="E825" s="5" t="s">
        <v>3693</v>
      </c>
      <c r="F825" s="5" t="s">
        <v>3694</v>
      </c>
      <c r="G825" s="5" t="s">
        <v>905</v>
      </c>
      <c r="H825" s="5" t="s">
        <v>38</v>
      </c>
      <c r="I825" s="5" t="s">
        <v>53</v>
      </c>
      <c r="J825" s="5" t="s">
        <v>404</v>
      </c>
      <c r="K825" s="5" t="s">
        <v>1306</v>
      </c>
      <c r="L825" s="11">
        <v>1</v>
      </c>
      <c r="M825" s="5"/>
    </row>
    <row r="826" spans="2:13" ht="21.75" customHeight="1" x14ac:dyDescent="0.35">
      <c r="B826" s="12"/>
      <c r="C826" s="7" t="s">
        <v>3585</v>
      </c>
      <c r="D826" s="12">
        <v>65</v>
      </c>
      <c r="E826" s="7" t="s">
        <v>3695</v>
      </c>
      <c r="F826" s="7" t="s">
        <v>3696</v>
      </c>
      <c r="G826" s="7" t="s">
        <v>727</v>
      </c>
      <c r="H826" s="7" t="s">
        <v>43</v>
      </c>
      <c r="I826" s="7" t="s">
        <v>1093</v>
      </c>
      <c r="J826" s="7" t="s">
        <v>404</v>
      </c>
      <c r="K826" s="7" t="s">
        <v>1634</v>
      </c>
      <c r="L826" s="12">
        <v>1</v>
      </c>
      <c r="M826" s="7"/>
    </row>
    <row r="827" spans="2:13" ht="21.75" customHeight="1" x14ac:dyDescent="0.35">
      <c r="B827" s="11"/>
      <c r="C827" s="5" t="s">
        <v>3585</v>
      </c>
      <c r="D827" s="11">
        <v>66</v>
      </c>
      <c r="E827" s="5" t="s">
        <v>3697</v>
      </c>
      <c r="F827" s="5" t="s">
        <v>3698</v>
      </c>
      <c r="G827" s="5" t="s">
        <v>856</v>
      </c>
      <c r="H827" s="5" t="s">
        <v>38</v>
      </c>
      <c r="I827" s="5" t="s">
        <v>53</v>
      </c>
      <c r="J827" s="5" t="s">
        <v>404</v>
      </c>
      <c r="K827" s="5" t="s">
        <v>1306</v>
      </c>
      <c r="L827" s="11">
        <v>1</v>
      </c>
      <c r="M827" s="5"/>
    </row>
    <row r="828" spans="2:13" ht="21.75" customHeight="1" x14ac:dyDescent="0.35">
      <c r="B828" s="12"/>
      <c r="C828" s="7" t="s">
        <v>3585</v>
      </c>
      <c r="D828" s="12">
        <v>67</v>
      </c>
      <c r="E828" s="7" t="s">
        <v>3699</v>
      </c>
      <c r="F828" s="7" t="s">
        <v>3700</v>
      </c>
      <c r="G828" s="7" t="s">
        <v>927</v>
      </c>
      <c r="H828" s="7" t="s">
        <v>38</v>
      </c>
      <c r="I828" s="7" t="s">
        <v>53</v>
      </c>
      <c r="J828" s="7" t="s">
        <v>404</v>
      </c>
      <c r="K828" s="7" t="s">
        <v>1306</v>
      </c>
      <c r="L828" s="12">
        <v>1</v>
      </c>
      <c r="M828" s="7"/>
    </row>
    <row r="829" spans="2:13" ht="21.75" customHeight="1" x14ac:dyDescent="0.35">
      <c r="B829" s="11"/>
      <c r="C829" s="5" t="s">
        <v>3585</v>
      </c>
      <c r="D829" s="11">
        <v>68</v>
      </c>
      <c r="E829" s="5" t="s">
        <v>3701</v>
      </c>
      <c r="F829" s="5" t="s">
        <v>3702</v>
      </c>
      <c r="G829" s="5" t="s">
        <v>3703</v>
      </c>
      <c r="H829" s="5" t="s">
        <v>38</v>
      </c>
      <c r="I829" s="5" t="s">
        <v>53</v>
      </c>
      <c r="J829" s="5" t="s">
        <v>404</v>
      </c>
      <c r="K829" s="5" t="s">
        <v>1306</v>
      </c>
      <c r="L829" s="11">
        <v>1</v>
      </c>
      <c r="M829" s="5"/>
    </row>
    <row r="830" spans="2:13" ht="37.5" customHeight="1" x14ac:dyDescent="0.35">
      <c r="B830" s="12"/>
      <c r="C830" s="7" t="s">
        <v>3585</v>
      </c>
      <c r="D830" s="12">
        <v>69</v>
      </c>
      <c r="E830" s="7" t="s">
        <v>3704</v>
      </c>
      <c r="F830" s="7" t="s">
        <v>3705</v>
      </c>
      <c r="G830" s="7" t="s">
        <v>616</v>
      </c>
      <c r="H830" s="7" t="s">
        <v>38</v>
      </c>
      <c r="I830" s="7" t="s">
        <v>53</v>
      </c>
      <c r="J830" s="7" t="s">
        <v>404</v>
      </c>
      <c r="K830" s="7" t="s">
        <v>1306</v>
      </c>
      <c r="L830" s="12">
        <v>1</v>
      </c>
      <c r="M830" s="7"/>
    </row>
    <row r="831" spans="2:13" ht="21.75" customHeight="1" x14ac:dyDescent="0.35">
      <c r="B831" s="11"/>
      <c r="C831" s="5" t="s">
        <v>3585</v>
      </c>
      <c r="D831" s="11">
        <v>70</v>
      </c>
      <c r="E831" s="5" t="s">
        <v>3706</v>
      </c>
      <c r="F831" s="5" t="s">
        <v>3707</v>
      </c>
      <c r="G831" s="5" t="s">
        <v>1680</v>
      </c>
      <c r="H831" s="5" t="s">
        <v>38</v>
      </c>
      <c r="I831" s="5" t="s">
        <v>53</v>
      </c>
      <c r="J831" s="5" t="s">
        <v>404</v>
      </c>
      <c r="K831" s="5" t="s">
        <v>1306</v>
      </c>
      <c r="L831" s="11">
        <v>1</v>
      </c>
      <c r="M831" s="5"/>
    </row>
    <row r="832" spans="2:13" ht="21.75" customHeight="1" x14ac:dyDescent="0.35">
      <c r="B832" s="12"/>
      <c r="C832" s="7" t="s">
        <v>3585</v>
      </c>
      <c r="D832" s="12">
        <v>71</v>
      </c>
      <c r="E832" s="7" t="s">
        <v>3708</v>
      </c>
      <c r="F832" s="7" t="s">
        <v>3709</v>
      </c>
      <c r="G832" s="7" t="s">
        <v>3710</v>
      </c>
      <c r="H832" s="7" t="s">
        <v>38</v>
      </c>
      <c r="I832" s="7" t="s">
        <v>53</v>
      </c>
      <c r="J832" s="7" t="s">
        <v>404</v>
      </c>
      <c r="K832" s="7" t="s">
        <v>1306</v>
      </c>
      <c r="L832" s="12">
        <v>1</v>
      </c>
      <c r="M832" s="7"/>
    </row>
    <row r="833" spans="2:13" ht="37.5" customHeight="1" x14ac:dyDescent="0.35">
      <c r="B833" s="11"/>
      <c r="C833" s="5" t="s">
        <v>3585</v>
      </c>
      <c r="D833" s="11">
        <v>72</v>
      </c>
      <c r="E833" s="5" t="s">
        <v>3711</v>
      </c>
      <c r="F833" s="5" t="s">
        <v>3712</v>
      </c>
      <c r="G833" s="5" t="s">
        <v>831</v>
      </c>
      <c r="H833" s="5" t="s">
        <v>38</v>
      </c>
      <c r="I833" s="5" t="s">
        <v>53</v>
      </c>
      <c r="J833" s="5" t="s">
        <v>404</v>
      </c>
      <c r="K833" s="5" t="s">
        <v>1306</v>
      </c>
      <c r="L833" s="11">
        <v>1</v>
      </c>
      <c r="M833" s="5"/>
    </row>
    <row r="834" spans="2:13" ht="37.5" customHeight="1" x14ac:dyDescent="0.35">
      <c r="B834" s="12"/>
      <c r="C834" s="7" t="s">
        <v>3585</v>
      </c>
      <c r="D834" s="12">
        <v>73</v>
      </c>
      <c r="E834" s="7" t="s">
        <v>3713</v>
      </c>
      <c r="F834" s="7" t="s">
        <v>3714</v>
      </c>
      <c r="G834" s="7" t="s">
        <v>837</v>
      </c>
      <c r="H834" s="7" t="s">
        <v>38</v>
      </c>
      <c r="I834" s="7" t="s">
        <v>53</v>
      </c>
      <c r="J834" s="7" t="s">
        <v>404</v>
      </c>
      <c r="K834" s="7" t="s">
        <v>1306</v>
      </c>
      <c r="L834" s="12">
        <v>1</v>
      </c>
      <c r="M834" s="7"/>
    </row>
    <row r="835" spans="2:13" ht="37.5" customHeight="1" x14ac:dyDescent="0.35">
      <c r="B835" s="11"/>
      <c r="C835" s="5" t="s">
        <v>3585</v>
      </c>
      <c r="D835" s="11">
        <v>74</v>
      </c>
      <c r="E835" s="5" t="s">
        <v>3715</v>
      </c>
      <c r="F835" s="5" t="s">
        <v>3716</v>
      </c>
      <c r="G835" s="5" t="s">
        <v>648</v>
      </c>
      <c r="H835" s="5" t="s">
        <v>38</v>
      </c>
      <c r="I835" s="5" t="s">
        <v>53</v>
      </c>
      <c r="J835" s="5" t="s">
        <v>404</v>
      </c>
      <c r="K835" s="5" t="s">
        <v>1306</v>
      </c>
      <c r="L835" s="11">
        <v>1</v>
      </c>
      <c r="M835" s="5"/>
    </row>
    <row r="836" spans="2:13" ht="52.5" customHeight="1" x14ac:dyDescent="0.35">
      <c r="B836" s="12"/>
      <c r="C836" s="7" t="s">
        <v>3585</v>
      </c>
      <c r="D836" s="12">
        <v>75</v>
      </c>
      <c r="E836" s="7" t="s">
        <v>3717</v>
      </c>
      <c r="F836" s="7" t="s">
        <v>3718</v>
      </c>
      <c r="G836" s="7" t="s">
        <v>993</v>
      </c>
      <c r="H836" s="7" t="s">
        <v>930</v>
      </c>
      <c r="I836" s="7" t="s">
        <v>2632</v>
      </c>
      <c r="J836" s="7" t="s">
        <v>404</v>
      </c>
      <c r="K836" s="7" t="s">
        <v>3719</v>
      </c>
      <c r="L836" s="12">
        <v>2</v>
      </c>
      <c r="M836" s="7"/>
    </row>
    <row r="837" spans="2:13" ht="37.5" customHeight="1" x14ac:dyDescent="0.35">
      <c r="B837" s="11"/>
      <c r="C837" s="5" t="s">
        <v>3585</v>
      </c>
      <c r="D837" s="11">
        <v>76</v>
      </c>
      <c r="E837" s="5" t="s">
        <v>3720</v>
      </c>
      <c r="F837" s="5" t="s">
        <v>3721</v>
      </c>
      <c r="G837" s="5" t="s">
        <v>1008</v>
      </c>
      <c r="H837" s="5" t="s">
        <v>38</v>
      </c>
      <c r="I837" s="5" t="s">
        <v>53</v>
      </c>
      <c r="J837" s="5" t="s">
        <v>404</v>
      </c>
      <c r="K837" s="5" t="s">
        <v>1306</v>
      </c>
      <c r="L837" s="11">
        <v>1</v>
      </c>
      <c r="M837" s="5"/>
    </row>
    <row r="838" spans="2:13" ht="21.75" customHeight="1" x14ac:dyDescent="0.35">
      <c r="B838" s="12"/>
      <c r="C838" s="7" t="s">
        <v>3585</v>
      </c>
      <c r="D838" s="12">
        <v>77</v>
      </c>
      <c r="E838" s="7" t="s">
        <v>3722</v>
      </c>
      <c r="F838" s="7" t="s">
        <v>3723</v>
      </c>
      <c r="G838" s="7" t="s">
        <v>198</v>
      </c>
      <c r="H838" s="7" t="s">
        <v>38</v>
      </c>
      <c r="I838" s="7" t="s">
        <v>53</v>
      </c>
      <c r="J838" s="7" t="s">
        <v>404</v>
      </c>
      <c r="K838" s="7" t="s">
        <v>1306</v>
      </c>
      <c r="L838" s="12">
        <v>1</v>
      </c>
      <c r="M838" s="7"/>
    </row>
    <row r="839" spans="2:13" ht="21.75" customHeight="1" x14ac:dyDescent="0.35">
      <c r="B839" s="11"/>
      <c r="C839" s="5" t="s">
        <v>3585</v>
      </c>
      <c r="D839" s="11">
        <v>78</v>
      </c>
      <c r="E839" s="5" t="s">
        <v>3724</v>
      </c>
      <c r="F839" s="5" t="s">
        <v>3725</v>
      </c>
      <c r="G839" s="5" t="s">
        <v>3726</v>
      </c>
      <c r="H839" s="5" t="s">
        <v>38</v>
      </c>
      <c r="I839" s="5" t="s">
        <v>53</v>
      </c>
      <c r="J839" s="5" t="s">
        <v>404</v>
      </c>
      <c r="K839" s="5" t="s">
        <v>1306</v>
      </c>
      <c r="L839" s="11">
        <v>1</v>
      </c>
      <c r="M839" s="5"/>
    </row>
    <row r="840" spans="2:13" ht="37.5" customHeight="1" x14ac:dyDescent="0.35">
      <c r="B840" s="12"/>
      <c r="C840" s="7" t="s">
        <v>3585</v>
      </c>
      <c r="D840" s="12">
        <v>79</v>
      </c>
      <c r="E840" s="7" t="s">
        <v>3727</v>
      </c>
      <c r="F840" s="7" t="s">
        <v>3728</v>
      </c>
      <c r="G840" s="7" t="s">
        <v>3729</v>
      </c>
      <c r="H840" s="7" t="s">
        <v>3730</v>
      </c>
      <c r="I840" s="7" t="s">
        <v>1296</v>
      </c>
      <c r="J840" s="7" t="s">
        <v>404</v>
      </c>
      <c r="K840" s="7" t="s">
        <v>3731</v>
      </c>
      <c r="L840" s="12">
        <v>2</v>
      </c>
      <c r="M840" s="7"/>
    </row>
    <row r="841" spans="2:13" ht="21.75" customHeight="1" x14ac:dyDescent="0.35">
      <c r="B841" s="11"/>
      <c r="C841" s="5" t="s">
        <v>3585</v>
      </c>
      <c r="D841" s="11">
        <v>80</v>
      </c>
      <c r="E841" s="5" t="s">
        <v>3732</v>
      </c>
      <c r="F841" s="5" t="s">
        <v>3733</v>
      </c>
      <c r="G841" s="5" t="s">
        <v>791</v>
      </c>
      <c r="H841" s="5" t="s">
        <v>817</v>
      </c>
      <c r="I841" s="5" t="s">
        <v>52</v>
      </c>
      <c r="J841" s="5" t="s">
        <v>404</v>
      </c>
      <c r="K841" s="5" t="s">
        <v>818</v>
      </c>
      <c r="L841" s="11">
        <v>1</v>
      </c>
      <c r="M841" s="5"/>
    </row>
    <row r="842" spans="2:13" ht="37.5" customHeight="1" x14ac:dyDescent="0.35">
      <c r="B842" s="12"/>
      <c r="C842" s="7" t="s">
        <v>3585</v>
      </c>
      <c r="D842" s="12">
        <v>81</v>
      </c>
      <c r="E842" s="7" t="s">
        <v>3734</v>
      </c>
      <c r="F842" s="7" t="s">
        <v>3735</v>
      </c>
      <c r="G842" s="7" t="s">
        <v>3283</v>
      </c>
      <c r="H842" s="7" t="s">
        <v>38</v>
      </c>
      <c r="I842" s="7" t="s">
        <v>53</v>
      </c>
      <c r="J842" s="7" t="s">
        <v>404</v>
      </c>
      <c r="K842" s="7" t="s">
        <v>1306</v>
      </c>
      <c r="L842" s="12">
        <v>1</v>
      </c>
      <c r="M842" s="7"/>
    </row>
    <row r="843" spans="2:13" ht="21.75" customHeight="1" x14ac:dyDescent="0.35">
      <c r="B843" s="11"/>
      <c r="C843" s="5" t="s">
        <v>3585</v>
      </c>
      <c r="D843" s="11">
        <v>82</v>
      </c>
      <c r="E843" s="5" t="s">
        <v>3736</v>
      </c>
      <c r="F843" s="5" t="s">
        <v>3737</v>
      </c>
      <c r="G843" s="5" t="s">
        <v>924</v>
      </c>
      <c r="H843" s="5" t="s">
        <v>37</v>
      </c>
      <c r="I843" s="5" t="s">
        <v>2136</v>
      </c>
      <c r="J843" s="5" t="s">
        <v>3288</v>
      </c>
      <c r="K843" s="5" t="s">
        <v>3738</v>
      </c>
      <c r="L843" s="11">
        <v>1</v>
      </c>
      <c r="M843" s="5"/>
    </row>
    <row r="844" spans="2:13" ht="21.75" customHeight="1" x14ac:dyDescent="0.35">
      <c r="B844" s="12"/>
      <c r="C844" s="7" t="s">
        <v>3585</v>
      </c>
      <c r="D844" s="12">
        <v>83</v>
      </c>
      <c r="E844" s="7" t="s">
        <v>3739</v>
      </c>
      <c r="F844" s="7" t="s">
        <v>3740</v>
      </c>
      <c r="G844" s="7" t="s">
        <v>3741</v>
      </c>
      <c r="H844" s="7" t="s">
        <v>37</v>
      </c>
      <c r="I844" s="7" t="s">
        <v>2136</v>
      </c>
      <c r="J844" s="7" t="s">
        <v>3742</v>
      </c>
      <c r="K844" s="7" t="s">
        <v>3743</v>
      </c>
      <c r="L844" s="12">
        <v>1</v>
      </c>
      <c r="M844" s="7"/>
    </row>
    <row r="845" spans="2:13" ht="21.75" customHeight="1" x14ac:dyDescent="0.35">
      <c r="B845" s="11"/>
      <c r="C845" s="5" t="s">
        <v>3585</v>
      </c>
      <c r="D845" s="11">
        <v>84</v>
      </c>
      <c r="E845" s="5" t="s">
        <v>3744</v>
      </c>
      <c r="F845" s="5" t="s">
        <v>3745</v>
      </c>
      <c r="G845" s="5" t="s">
        <v>713</v>
      </c>
      <c r="H845" s="5" t="s">
        <v>38</v>
      </c>
      <c r="I845" s="5" t="s">
        <v>53</v>
      </c>
      <c r="J845" s="5" t="s">
        <v>404</v>
      </c>
      <c r="K845" s="5" t="s">
        <v>1306</v>
      </c>
      <c r="L845" s="11">
        <v>1</v>
      </c>
      <c r="M845" s="5"/>
    </row>
    <row r="846" spans="2:13" ht="37.5" customHeight="1" x14ac:dyDescent="0.35">
      <c r="B846" s="12"/>
      <c r="C846" s="7" t="s">
        <v>3585</v>
      </c>
      <c r="D846" s="12">
        <v>85</v>
      </c>
      <c r="E846" s="7" t="s">
        <v>3746</v>
      </c>
      <c r="F846" s="7" t="s">
        <v>3747</v>
      </c>
      <c r="G846" s="7" t="s">
        <v>752</v>
      </c>
      <c r="H846" s="7" t="s">
        <v>38</v>
      </c>
      <c r="I846" s="7" t="s">
        <v>53</v>
      </c>
      <c r="J846" s="7" t="s">
        <v>404</v>
      </c>
      <c r="K846" s="7" t="s">
        <v>1306</v>
      </c>
      <c r="L846" s="12">
        <v>1</v>
      </c>
      <c r="M846" s="7"/>
    </row>
    <row r="847" spans="2:13" ht="52.5" customHeight="1" x14ac:dyDescent="0.35">
      <c r="B847" s="11">
        <v>59</v>
      </c>
      <c r="C847" s="5" t="s">
        <v>3748</v>
      </c>
      <c r="D847" s="11">
        <v>1</v>
      </c>
      <c r="E847" s="5" t="s">
        <v>3749</v>
      </c>
      <c r="F847" s="5" t="s">
        <v>3750</v>
      </c>
      <c r="G847" s="5" t="s">
        <v>648</v>
      </c>
      <c r="H847" s="5" t="s">
        <v>38</v>
      </c>
      <c r="I847" s="5" t="s">
        <v>53</v>
      </c>
      <c r="J847" s="5" t="s">
        <v>404</v>
      </c>
      <c r="K847" s="5" t="s">
        <v>1306</v>
      </c>
      <c r="L847" s="11">
        <v>1</v>
      </c>
      <c r="M847" s="5" t="s">
        <v>2887</v>
      </c>
    </row>
    <row r="848" spans="2:13" ht="52.5" customHeight="1" x14ac:dyDescent="0.35">
      <c r="B848" s="12">
        <v>60</v>
      </c>
      <c r="C848" s="7" t="s">
        <v>3751</v>
      </c>
      <c r="D848" s="12">
        <v>1</v>
      </c>
      <c r="E848" s="7" t="s">
        <v>3752</v>
      </c>
      <c r="F848" s="7" t="s">
        <v>3753</v>
      </c>
      <c r="G848" s="7" t="s">
        <v>962</v>
      </c>
      <c r="H848" s="7" t="s">
        <v>37</v>
      </c>
      <c r="I848" s="7" t="s">
        <v>1248</v>
      </c>
      <c r="J848" s="7" t="s">
        <v>3742</v>
      </c>
      <c r="K848" s="7" t="s">
        <v>3754</v>
      </c>
      <c r="L848" s="12">
        <v>1</v>
      </c>
      <c r="M848" s="7" t="s">
        <v>2887</v>
      </c>
    </row>
    <row r="849" spans="2:13" ht="52.5" customHeight="1" x14ac:dyDescent="0.35">
      <c r="B849" s="11">
        <v>61</v>
      </c>
      <c r="C849" s="5" t="s">
        <v>3755</v>
      </c>
      <c r="D849" s="11">
        <v>1</v>
      </c>
      <c r="E849" s="5" t="s">
        <v>3756</v>
      </c>
      <c r="F849" s="5" t="s">
        <v>3757</v>
      </c>
      <c r="G849" s="5" t="s">
        <v>962</v>
      </c>
      <c r="H849" s="5" t="s">
        <v>37</v>
      </c>
      <c r="I849" s="5" t="s">
        <v>1248</v>
      </c>
      <c r="J849" s="5" t="s">
        <v>331</v>
      </c>
      <c r="K849" s="5" t="s">
        <v>3758</v>
      </c>
      <c r="L849" s="11">
        <v>1</v>
      </c>
      <c r="M849" s="5" t="s">
        <v>987</v>
      </c>
    </row>
    <row r="850" spans="2:13" ht="52.5" customHeight="1" x14ac:dyDescent="0.35">
      <c r="B850" s="12">
        <v>62</v>
      </c>
      <c r="C850" s="7" t="s">
        <v>3759</v>
      </c>
      <c r="D850" s="12">
        <v>1</v>
      </c>
      <c r="E850" s="7" t="s">
        <v>3760</v>
      </c>
      <c r="F850" s="7" t="s">
        <v>3761</v>
      </c>
      <c r="G850" s="7" t="s">
        <v>27</v>
      </c>
      <c r="H850" s="7" t="s">
        <v>817</v>
      </c>
      <c r="I850" s="7" t="s">
        <v>52</v>
      </c>
      <c r="J850" s="7" t="s">
        <v>154</v>
      </c>
      <c r="K850" s="7" t="s">
        <v>2196</v>
      </c>
      <c r="L850" s="12">
        <v>1</v>
      </c>
      <c r="M850" s="7" t="s">
        <v>1298</v>
      </c>
    </row>
    <row r="851" spans="2:13" ht="37.5" customHeight="1" x14ac:dyDescent="0.35">
      <c r="B851" s="11">
        <v>63</v>
      </c>
      <c r="C851" s="5" t="s">
        <v>3762</v>
      </c>
      <c r="D851" s="11">
        <v>1</v>
      </c>
      <c r="E851" s="5" t="s">
        <v>3763</v>
      </c>
      <c r="F851" s="5" t="s">
        <v>3764</v>
      </c>
      <c r="G851" s="5" t="s">
        <v>421</v>
      </c>
      <c r="H851" s="5" t="s">
        <v>3730</v>
      </c>
      <c r="I851" s="5" t="s">
        <v>3765</v>
      </c>
      <c r="J851" s="5" t="s">
        <v>213</v>
      </c>
      <c r="K851" s="5" t="s">
        <v>3766</v>
      </c>
      <c r="L851" s="11">
        <v>2</v>
      </c>
      <c r="M851" s="5" t="s">
        <v>2299</v>
      </c>
    </row>
    <row r="852" spans="2:13" ht="21.75" customHeight="1" x14ac:dyDescent="0.35">
      <c r="B852" s="12">
        <v>64</v>
      </c>
      <c r="C852" s="7" t="s">
        <v>3767</v>
      </c>
      <c r="D852" s="12">
        <v>1</v>
      </c>
      <c r="E852" s="7" t="s">
        <v>3768</v>
      </c>
      <c r="F852" s="7" t="s">
        <v>3769</v>
      </c>
      <c r="G852" s="7" t="s">
        <v>29</v>
      </c>
      <c r="H852" s="7" t="s">
        <v>38</v>
      </c>
      <c r="I852" s="7" t="s">
        <v>53</v>
      </c>
      <c r="J852" s="7" t="s">
        <v>404</v>
      </c>
      <c r="K852" s="7" t="s">
        <v>1306</v>
      </c>
      <c r="L852" s="12">
        <v>1</v>
      </c>
      <c r="M852" s="7" t="s">
        <v>1298</v>
      </c>
    </row>
    <row r="853" spans="2:13" ht="37.5" customHeight="1" x14ac:dyDescent="0.35">
      <c r="B853" s="11">
        <v>64</v>
      </c>
      <c r="C853" s="5" t="s">
        <v>3767</v>
      </c>
      <c r="D853" s="11">
        <v>2</v>
      </c>
      <c r="E853" s="5" t="s">
        <v>3770</v>
      </c>
      <c r="F853" s="5" t="s">
        <v>3771</v>
      </c>
      <c r="G853" s="5" t="s">
        <v>566</v>
      </c>
      <c r="H853" s="5" t="s">
        <v>38</v>
      </c>
      <c r="I853" s="5" t="s">
        <v>53</v>
      </c>
      <c r="J853" s="5" t="s">
        <v>404</v>
      </c>
      <c r="K853" s="5" t="s">
        <v>1306</v>
      </c>
      <c r="L853" s="11">
        <v>1</v>
      </c>
      <c r="M853" s="5" t="s">
        <v>1298</v>
      </c>
    </row>
    <row r="854" spans="2:13" ht="37.5" customHeight="1" x14ac:dyDescent="0.35">
      <c r="B854" s="12">
        <v>64</v>
      </c>
      <c r="C854" s="7" t="s">
        <v>3767</v>
      </c>
      <c r="D854" s="12">
        <v>3</v>
      </c>
      <c r="E854" s="7" t="s">
        <v>3772</v>
      </c>
      <c r="F854" s="7" t="s">
        <v>3773</v>
      </c>
      <c r="G854" s="7" t="s">
        <v>698</v>
      </c>
      <c r="H854" s="7" t="s">
        <v>38</v>
      </c>
      <c r="I854" s="7" t="s">
        <v>53</v>
      </c>
      <c r="J854" s="7" t="s">
        <v>404</v>
      </c>
      <c r="K854" s="7" t="s">
        <v>1306</v>
      </c>
      <c r="L854" s="12">
        <v>1</v>
      </c>
      <c r="M854" s="7" t="s">
        <v>1298</v>
      </c>
    </row>
    <row r="855" spans="2:13" ht="37.5" customHeight="1" x14ac:dyDescent="0.35">
      <c r="B855" s="11">
        <v>64</v>
      </c>
      <c r="C855" s="5" t="s">
        <v>3767</v>
      </c>
      <c r="D855" s="11">
        <v>4</v>
      </c>
      <c r="E855" s="5" t="s">
        <v>3774</v>
      </c>
      <c r="F855" s="5" t="s">
        <v>3775</v>
      </c>
      <c r="G855" s="5" t="s">
        <v>513</v>
      </c>
      <c r="H855" s="5" t="s">
        <v>152</v>
      </c>
      <c r="I855" s="5" t="s">
        <v>56</v>
      </c>
      <c r="J855" s="5" t="s">
        <v>404</v>
      </c>
      <c r="K855" s="5" t="s">
        <v>3776</v>
      </c>
      <c r="L855" s="11">
        <v>1</v>
      </c>
      <c r="M855" s="5" t="s">
        <v>1298</v>
      </c>
    </row>
    <row r="856" spans="2:13" ht="21.75" customHeight="1" x14ac:dyDescent="0.35">
      <c r="B856" s="12">
        <v>64</v>
      </c>
      <c r="C856" s="7" t="s">
        <v>3767</v>
      </c>
      <c r="D856" s="12">
        <v>5</v>
      </c>
      <c r="E856" s="7" t="s">
        <v>3777</v>
      </c>
      <c r="F856" s="7" t="s">
        <v>3778</v>
      </c>
      <c r="G856" s="7" t="s">
        <v>188</v>
      </c>
      <c r="H856" s="7" t="s">
        <v>43</v>
      </c>
      <c r="I856" s="7" t="s">
        <v>53</v>
      </c>
      <c r="J856" s="7" t="s">
        <v>404</v>
      </c>
      <c r="K856" s="7" t="s">
        <v>3442</v>
      </c>
      <c r="L856" s="12">
        <v>1</v>
      </c>
      <c r="M856" s="7" t="s">
        <v>1298</v>
      </c>
    </row>
    <row r="857" spans="2:13" ht="21.75" customHeight="1" x14ac:dyDescent="0.35">
      <c r="B857" s="11">
        <v>64</v>
      </c>
      <c r="C857" s="5" t="s">
        <v>3767</v>
      </c>
      <c r="D857" s="11">
        <v>6</v>
      </c>
      <c r="E857" s="5" t="s">
        <v>3779</v>
      </c>
      <c r="F857" s="5" t="s">
        <v>3780</v>
      </c>
      <c r="G857" s="5" t="s">
        <v>531</v>
      </c>
      <c r="H857" s="5" t="s">
        <v>38</v>
      </c>
      <c r="I857" s="5" t="s">
        <v>53</v>
      </c>
      <c r="J857" s="5" t="s">
        <v>404</v>
      </c>
      <c r="K857" s="5" t="s">
        <v>1306</v>
      </c>
      <c r="L857" s="11">
        <v>1</v>
      </c>
      <c r="M857" s="5" t="s">
        <v>1298</v>
      </c>
    </row>
    <row r="858" spans="2:13" ht="37.5" customHeight="1" x14ac:dyDescent="0.35">
      <c r="B858" s="12">
        <v>65</v>
      </c>
      <c r="C858" s="7" t="s">
        <v>3781</v>
      </c>
      <c r="D858" s="12">
        <v>1</v>
      </c>
      <c r="E858" s="7" t="s">
        <v>3782</v>
      </c>
      <c r="F858" s="7" t="s">
        <v>3783</v>
      </c>
      <c r="G858" s="7" t="s">
        <v>2919</v>
      </c>
      <c r="H858" s="7" t="s">
        <v>3557</v>
      </c>
      <c r="I858" s="7" t="s">
        <v>3784</v>
      </c>
      <c r="J858" s="7" t="s">
        <v>2845</v>
      </c>
      <c r="K858" s="7" t="s">
        <v>3785</v>
      </c>
      <c r="L858" s="12">
        <v>2</v>
      </c>
      <c r="M858" s="7" t="s">
        <v>2887</v>
      </c>
    </row>
    <row r="859" spans="2:13" ht="37.5" customHeight="1" x14ac:dyDescent="0.35">
      <c r="B859" s="11">
        <v>65</v>
      </c>
      <c r="C859" s="5" t="s">
        <v>3781</v>
      </c>
      <c r="D859" s="11">
        <v>2</v>
      </c>
      <c r="E859" s="5" t="s">
        <v>3786</v>
      </c>
      <c r="F859" s="5" t="s">
        <v>3787</v>
      </c>
      <c r="G859" s="5" t="s">
        <v>279</v>
      </c>
      <c r="H859" s="5" t="s">
        <v>38</v>
      </c>
      <c r="I859" s="5" t="s">
        <v>53</v>
      </c>
      <c r="J859" s="5" t="s">
        <v>404</v>
      </c>
      <c r="K859" s="5" t="s">
        <v>1306</v>
      </c>
      <c r="L859" s="11">
        <v>1</v>
      </c>
      <c r="M859" s="5" t="s">
        <v>2887</v>
      </c>
    </row>
    <row r="860" spans="2:13" ht="37.5" customHeight="1" x14ac:dyDescent="0.35">
      <c r="B860" s="12">
        <v>66</v>
      </c>
      <c r="C860" s="7" t="s">
        <v>3788</v>
      </c>
      <c r="D860" s="12">
        <v>1</v>
      </c>
      <c r="E860" s="7" t="s">
        <v>3789</v>
      </c>
      <c r="F860" s="7" t="s">
        <v>3790</v>
      </c>
      <c r="G860" s="7" t="s">
        <v>365</v>
      </c>
      <c r="H860" s="7" t="s">
        <v>43</v>
      </c>
      <c r="I860" s="7" t="s">
        <v>3791</v>
      </c>
      <c r="J860" s="7" t="s">
        <v>404</v>
      </c>
      <c r="K860" s="7" t="s">
        <v>3792</v>
      </c>
      <c r="L860" s="12">
        <v>1</v>
      </c>
      <c r="M860" s="7" t="s">
        <v>3793</v>
      </c>
    </row>
    <row r="861" spans="2:13" ht="37.5" customHeight="1" x14ac:dyDescent="0.35">
      <c r="B861" s="11">
        <v>66</v>
      </c>
      <c r="C861" s="5" t="s">
        <v>3788</v>
      </c>
      <c r="D861" s="11">
        <v>2</v>
      </c>
      <c r="E861" s="5" t="s">
        <v>3794</v>
      </c>
      <c r="F861" s="5" t="s">
        <v>3795</v>
      </c>
      <c r="G861" s="5" t="s">
        <v>244</v>
      </c>
      <c r="H861" s="5" t="s">
        <v>43</v>
      </c>
      <c r="I861" s="5" t="s">
        <v>1093</v>
      </c>
      <c r="J861" s="5" t="s">
        <v>404</v>
      </c>
      <c r="K861" s="5" t="s">
        <v>1634</v>
      </c>
      <c r="L861" s="11">
        <v>1</v>
      </c>
      <c r="M861" s="5" t="s">
        <v>3793</v>
      </c>
    </row>
    <row r="862" spans="2:13" ht="37.5" customHeight="1" x14ac:dyDescent="0.35">
      <c r="B862" s="12">
        <v>66</v>
      </c>
      <c r="C862" s="7" t="s">
        <v>3788</v>
      </c>
      <c r="D862" s="12">
        <v>3</v>
      </c>
      <c r="E862" s="7" t="s">
        <v>3796</v>
      </c>
      <c r="F862" s="7" t="s">
        <v>3797</v>
      </c>
      <c r="G862" s="7" t="s">
        <v>752</v>
      </c>
      <c r="H862" s="7" t="s">
        <v>43</v>
      </c>
      <c r="I862" s="7" t="s">
        <v>1093</v>
      </c>
      <c r="J862" s="7" t="s">
        <v>404</v>
      </c>
      <c r="K862" s="7" t="s">
        <v>1634</v>
      </c>
      <c r="L862" s="12">
        <v>1</v>
      </c>
      <c r="M862" s="7" t="s">
        <v>3793</v>
      </c>
    </row>
    <row r="863" spans="2:13" ht="21.75" customHeight="1" x14ac:dyDescent="0.35">
      <c r="B863" s="11">
        <v>66</v>
      </c>
      <c r="C863" s="5" t="s">
        <v>3788</v>
      </c>
      <c r="D863" s="11">
        <v>4</v>
      </c>
      <c r="E863" s="5" t="s">
        <v>3798</v>
      </c>
      <c r="F863" s="5" t="s">
        <v>3799</v>
      </c>
      <c r="G863" s="5" t="s">
        <v>862</v>
      </c>
      <c r="H863" s="5" t="s">
        <v>43</v>
      </c>
      <c r="I863" s="5" t="s">
        <v>1093</v>
      </c>
      <c r="J863" s="5" t="s">
        <v>404</v>
      </c>
      <c r="K863" s="5" t="s">
        <v>1634</v>
      </c>
      <c r="L863" s="11">
        <v>1</v>
      </c>
      <c r="M863" s="5" t="s">
        <v>3793</v>
      </c>
    </row>
    <row r="864" spans="2:13" ht="21.75" customHeight="1" x14ac:dyDescent="0.35">
      <c r="B864" s="12">
        <v>66</v>
      </c>
      <c r="C864" s="7" t="s">
        <v>3788</v>
      </c>
      <c r="D864" s="12">
        <v>5</v>
      </c>
      <c r="E864" s="7" t="s">
        <v>3800</v>
      </c>
      <c r="F864" s="7" t="s">
        <v>2811</v>
      </c>
      <c r="G864" s="7" t="s">
        <v>26</v>
      </c>
      <c r="H864" s="7" t="s">
        <v>43</v>
      </c>
      <c r="I864" s="7" t="s">
        <v>1093</v>
      </c>
      <c r="J864" s="7" t="s">
        <v>404</v>
      </c>
      <c r="K864" s="7" t="s">
        <v>1634</v>
      </c>
      <c r="L864" s="12">
        <v>1</v>
      </c>
      <c r="M864" s="7" t="s">
        <v>3793</v>
      </c>
    </row>
    <row r="865" spans="2:13" ht="37.5" customHeight="1" x14ac:dyDescent="0.35">
      <c r="B865" s="11">
        <v>66</v>
      </c>
      <c r="C865" s="5" t="s">
        <v>3788</v>
      </c>
      <c r="D865" s="11">
        <v>6</v>
      </c>
      <c r="E865" s="5" t="s">
        <v>3801</v>
      </c>
      <c r="F865" s="5" t="s">
        <v>3802</v>
      </c>
      <c r="G865" s="5" t="s">
        <v>358</v>
      </c>
      <c r="H865" s="5" t="s">
        <v>403</v>
      </c>
      <c r="I865" s="5" t="s">
        <v>52</v>
      </c>
      <c r="J865" s="5" t="s">
        <v>404</v>
      </c>
      <c r="K865" s="5" t="s">
        <v>405</v>
      </c>
      <c r="L865" s="11">
        <v>1</v>
      </c>
      <c r="M865" s="5" t="s">
        <v>3793</v>
      </c>
    </row>
    <row r="866" spans="2:13" ht="21.75" customHeight="1" x14ac:dyDescent="0.35">
      <c r="B866" s="12">
        <v>66</v>
      </c>
      <c r="C866" s="7" t="s">
        <v>3788</v>
      </c>
      <c r="D866" s="12">
        <v>7</v>
      </c>
      <c r="E866" s="7" t="s">
        <v>3803</v>
      </c>
      <c r="F866" s="7" t="s">
        <v>3804</v>
      </c>
      <c r="G866" s="7" t="s">
        <v>794</v>
      </c>
      <c r="H866" s="7" t="s">
        <v>817</v>
      </c>
      <c r="I866" s="7" t="s">
        <v>52</v>
      </c>
      <c r="J866" s="7" t="s">
        <v>404</v>
      </c>
      <c r="K866" s="7" t="s">
        <v>818</v>
      </c>
      <c r="L866" s="12">
        <v>1</v>
      </c>
      <c r="M866" s="7" t="s">
        <v>3793</v>
      </c>
    </row>
    <row r="867" spans="2:13" ht="157.5" customHeight="1" x14ac:dyDescent="0.35">
      <c r="B867" s="11">
        <v>67</v>
      </c>
      <c r="C867" s="5" t="s">
        <v>3805</v>
      </c>
      <c r="D867" s="11">
        <v>1</v>
      </c>
      <c r="E867" s="5" t="s">
        <v>3806</v>
      </c>
      <c r="F867" s="5" t="s">
        <v>3807</v>
      </c>
      <c r="G867" s="5" t="s">
        <v>421</v>
      </c>
      <c r="H867" s="5" t="s">
        <v>3808</v>
      </c>
      <c r="I867" s="5" t="s">
        <v>3809</v>
      </c>
      <c r="J867" s="5" t="s">
        <v>3810</v>
      </c>
      <c r="K867" s="5" t="s">
        <v>3811</v>
      </c>
      <c r="L867" s="11">
        <v>7</v>
      </c>
      <c r="M867" s="5" t="s">
        <v>1896</v>
      </c>
    </row>
    <row r="868" spans="2:13" ht="37.5" customHeight="1" x14ac:dyDescent="0.35">
      <c r="B868" s="12">
        <v>67</v>
      </c>
      <c r="C868" s="7" t="s">
        <v>3805</v>
      </c>
      <c r="D868" s="12">
        <v>2</v>
      </c>
      <c r="E868" s="7" t="s">
        <v>3812</v>
      </c>
      <c r="F868" s="7" t="s">
        <v>3813</v>
      </c>
      <c r="G868" s="7" t="s">
        <v>29</v>
      </c>
      <c r="H868" s="7" t="s">
        <v>3814</v>
      </c>
      <c r="I868" s="7" t="s">
        <v>3815</v>
      </c>
      <c r="J868" s="7" t="s">
        <v>213</v>
      </c>
      <c r="K868" s="7" t="s">
        <v>3816</v>
      </c>
      <c r="L868" s="12">
        <v>2</v>
      </c>
      <c r="M868" s="7" t="s">
        <v>1896</v>
      </c>
    </row>
    <row r="869" spans="2:13" ht="52.5" customHeight="1" x14ac:dyDescent="0.35">
      <c r="B869" s="11">
        <v>67</v>
      </c>
      <c r="C869" s="5" t="s">
        <v>3805</v>
      </c>
      <c r="D869" s="11">
        <v>3</v>
      </c>
      <c r="E869" s="5" t="s">
        <v>3817</v>
      </c>
      <c r="F869" s="5" t="s">
        <v>3818</v>
      </c>
      <c r="G869" s="5" t="s">
        <v>428</v>
      </c>
      <c r="H869" s="5" t="s">
        <v>3819</v>
      </c>
      <c r="I869" s="5" t="s">
        <v>3820</v>
      </c>
      <c r="J869" s="5" t="s">
        <v>171</v>
      </c>
      <c r="K869" s="5" t="s">
        <v>3821</v>
      </c>
      <c r="L869" s="11">
        <v>3</v>
      </c>
      <c r="M869" s="5" t="s">
        <v>1896</v>
      </c>
    </row>
    <row r="870" spans="2:13" ht="37.5" customHeight="1" x14ac:dyDescent="0.35">
      <c r="B870" s="12">
        <v>67</v>
      </c>
      <c r="C870" s="7" t="s">
        <v>3805</v>
      </c>
      <c r="D870" s="12">
        <v>4</v>
      </c>
      <c r="E870" s="7" t="s">
        <v>3822</v>
      </c>
      <c r="F870" s="7" t="s">
        <v>3823</v>
      </c>
      <c r="G870" s="7" t="s">
        <v>638</v>
      </c>
      <c r="H870" s="7" t="s">
        <v>3824</v>
      </c>
      <c r="I870" s="7" t="s">
        <v>3825</v>
      </c>
      <c r="J870" s="7" t="s">
        <v>171</v>
      </c>
      <c r="K870" s="7" t="s">
        <v>3826</v>
      </c>
      <c r="L870" s="12">
        <v>2</v>
      </c>
      <c r="M870" s="7" t="s">
        <v>1896</v>
      </c>
    </row>
    <row r="871" spans="2:13" ht="82.5" customHeight="1" x14ac:dyDescent="0.35">
      <c r="B871" s="11">
        <v>67</v>
      </c>
      <c r="C871" s="5" t="s">
        <v>3805</v>
      </c>
      <c r="D871" s="11">
        <v>5</v>
      </c>
      <c r="E871" s="5" t="s">
        <v>3827</v>
      </c>
      <c r="F871" s="5" t="s">
        <v>3828</v>
      </c>
      <c r="G871" s="5" t="s">
        <v>24</v>
      </c>
      <c r="H871" s="5" t="s">
        <v>3829</v>
      </c>
      <c r="I871" s="5" t="s">
        <v>3830</v>
      </c>
      <c r="J871" s="5" t="s">
        <v>3831</v>
      </c>
      <c r="K871" s="5" t="s">
        <v>3832</v>
      </c>
      <c r="L871" s="11">
        <v>5</v>
      </c>
      <c r="M871" s="5" t="s">
        <v>1896</v>
      </c>
    </row>
    <row r="872" spans="2:13" ht="67.5" customHeight="1" x14ac:dyDescent="0.35">
      <c r="B872" s="12">
        <v>67</v>
      </c>
      <c r="C872" s="7" t="s">
        <v>3805</v>
      </c>
      <c r="D872" s="12">
        <v>6</v>
      </c>
      <c r="E872" s="7" t="s">
        <v>3833</v>
      </c>
      <c r="F872" s="7" t="s">
        <v>3834</v>
      </c>
      <c r="G872" s="7" t="s">
        <v>778</v>
      </c>
      <c r="H872" s="7" t="s">
        <v>3835</v>
      </c>
      <c r="I872" s="7" t="s">
        <v>3836</v>
      </c>
      <c r="J872" s="7" t="s">
        <v>171</v>
      </c>
      <c r="K872" s="7" t="s">
        <v>3837</v>
      </c>
      <c r="L872" s="12">
        <v>3</v>
      </c>
      <c r="M872" s="7" t="s">
        <v>1896</v>
      </c>
    </row>
    <row r="873" spans="2:13" ht="52.5" customHeight="1" x14ac:dyDescent="0.35">
      <c r="B873" s="11">
        <v>67</v>
      </c>
      <c r="C873" s="5" t="s">
        <v>3805</v>
      </c>
      <c r="D873" s="11">
        <v>7</v>
      </c>
      <c r="E873" s="5" t="s">
        <v>3838</v>
      </c>
      <c r="F873" s="5" t="s">
        <v>3839</v>
      </c>
      <c r="G873" s="5" t="s">
        <v>395</v>
      </c>
      <c r="H873" s="5" t="s">
        <v>3840</v>
      </c>
      <c r="I873" s="5" t="s">
        <v>3841</v>
      </c>
      <c r="J873" s="5" t="s">
        <v>3842</v>
      </c>
      <c r="K873" s="5" t="s">
        <v>3843</v>
      </c>
      <c r="L873" s="11">
        <v>3</v>
      </c>
      <c r="M873" s="5" t="s">
        <v>1896</v>
      </c>
    </row>
    <row r="874" spans="2:13" ht="21.75" customHeight="1" x14ac:dyDescent="0.35">
      <c r="B874" s="12">
        <v>67</v>
      </c>
      <c r="C874" s="7" t="s">
        <v>3805</v>
      </c>
      <c r="D874" s="12">
        <v>8</v>
      </c>
      <c r="E874" s="7" t="s">
        <v>3844</v>
      </c>
      <c r="F874" s="7" t="s">
        <v>3845</v>
      </c>
      <c r="G874" s="7" t="s">
        <v>26</v>
      </c>
      <c r="H874" s="7" t="s">
        <v>1426</v>
      </c>
      <c r="I874" s="7" t="s">
        <v>1427</v>
      </c>
      <c r="J874" s="7" t="s">
        <v>233</v>
      </c>
      <c r="K874" s="7" t="s">
        <v>2193</v>
      </c>
      <c r="L874" s="12">
        <v>1</v>
      </c>
      <c r="M874" s="7" t="s">
        <v>1896</v>
      </c>
    </row>
    <row r="875" spans="2:13" ht="37.5" customHeight="1" x14ac:dyDescent="0.35">
      <c r="B875" s="11">
        <v>67</v>
      </c>
      <c r="C875" s="5" t="s">
        <v>3805</v>
      </c>
      <c r="D875" s="11">
        <v>9</v>
      </c>
      <c r="E875" s="5" t="s">
        <v>3846</v>
      </c>
      <c r="F875" s="5" t="s">
        <v>3847</v>
      </c>
      <c r="G875" s="5" t="s">
        <v>2415</v>
      </c>
      <c r="H875" s="5" t="s">
        <v>3824</v>
      </c>
      <c r="I875" s="5" t="s">
        <v>3825</v>
      </c>
      <c r="J875" s="5" t="s">
        <v>171</v>
      </c>
      <c r="K875" s="5" t="s">
        <v>3826</v>
      </c>
      <c r="L875" s="11">
        <v>2</v>
      </c>
      <c r="M875" s="5" t="s">
        <v>1896</v>
      </c>
    </row>
    <row r="876" spans="2:13" ht="82.5" customHeight="1" x14ac:dyDescent="0.35">
      <c r="B876" s="12">
        <v>67</v>
      </c>
      <c r="C876" s="7" t="s">
        <v>3805</v>
      </c>
      <c r="D876" s="12">
        <v>10</v>
      </c>
      <c r="E876" s="7" t="s">
        <v>3848</v>
      </c>
      <c r="F876" s="7" t="s">
        <v>3849</v>
      </c>
      <c r="G876" s="7" t="s">
        <v>1294</v>
      </c>
      <c r="H876" s="7" t="s">
        <v>3850</v>
      </c>
      <c r="I876" s="7" t="s">
        <v>3851</v>
      </c>
      <c r="J876" s="7" t="s">
        <v>3852</v>
      </c>
      <c r="K876" s="7" t="s">
        <v>3853</v>
      </c>
      <c r="L876" s="12">
        <v>4</v>
      </c>
      <c r="M876" s="7" t="s">
        <v>1896</v>
      </c>
    </row>
    <row r="877" spans="2:13" ht="37.5" customHeight="1" x14ac:dyDescent="0.35">
      <c r="B877" s="11">
        <v>67</v>
      </c>
      <c r="C877" s="5" t="s">
        <v>3805</v>
      </c>
      <c r="D877" s="11">
        <v>11</v>
      </c>
      <c r="E877" s="5" t="s">
        <v>3854</v>
      </c>
      <c r="F877" s="5" t="s">
        <v>3855</v>
      </c>
      <c r="G877" s="5" t="s">
        <v>28</v>
      </c>
      <c r="H877" s="5" t="s">
        <v>1426</v>
      </c>
      <c r="I877" s="5" t="s">
        <v>1427</v>
      </c>
      <c r="J877" s="5" t="s">
        <v>233</v>
      </c>
      <c r="K877" s="5" t="s">
        <v>2193</v>
      </c>
      <c r="L877" s="11">
        <v>1</v>
      </c>
      <c r="M877" s="5" t="s">
        <v>1896</v>
      </c>
    </row>
    <row r="878" spans="2:13" ht="37.5" customHeight="1" x14ac:dyDescent="0.35">
      <c r="B878" s="12">
        <v>67</v>
      </c>
      <c r="C878" s="7" t="s">
        <v>3805</v>
      </c>
      <c r="D878" s="12">
        <v>12</v>
      </c>
      <c r="E878" s="7" t="s">
        <v>3856</v>
      </c>
      <c r="F878" s="7" t="s">
        <v>3857</v>
      </c>
      <c r="G878" s="7" t="s">
        <v>27</v>
      </c>
      <c r="H878" s="7" t="s">
        <v>3824</v>
      </c>
      <c r="I878" s="7" t="s">
        <v>3825</v>
      </c>
      <c r="J878" s="7" t="s">
        <v>3858</v>
      </c>
      <c r="K878" s="7" t="s">
        <v>3859</v>
      </c>
      <c r="L878" s="12">
        <v>2</v>
      </c>
      <c r="M878" s="7" t="s">
        <v>1896</v>
      </c>
    </row>
    <row r="879" spans="2:13" ht="52.5" customHeight="1" x14ac:dyDescent="0.35">
      <c r="B879" s="11">
        <v>67</v>
      </c>
      <c r="C879" s="5" t="s">
        <v>3805</v>
      </c>
      <c r="D879" s="11">
        <v>13</v>
      </c>
      <c r="E879" s="5" t="s">
        <v>3860</v>
      </c>
      <c r="F879" s="5" t="s">
        <v>3861</v>
      </c>
      <c r="G879" s="5" t="s">
        <v>541</v>
      </c>
      <c r="H879" s="5" t="s">
        <v>2148</v>
      </c>
      <c r="I879" s="5" t="s">
        <v>3862</v>
      </c>
      <c r="J879" s="5" t="s">
        <v>2157</v>
      </c>
      <c r="K879" s="5" t="s">
        <v>3863</v>
      </c>
      <c r="L879" s="11">
        <v>2</v>
      </c>
      <c r="M879" s="5" t="s">
        <v>1896</v>
      </c>
    </row>
    <row r="880" spans="2:13" ht="21.75" customHeight="1" x14ac:dyDescent="0.35">
      <c r="B880" s="12">
        <v>67</v>
      </c>
      <c r="C880" s="7" t="s">
        <v>3805</v>
      </c>
      <c r="D880" s="12">
        <v>14</v>
      </c>
      <c r="E880" s="7" t="s">
        <v>3864</v>
      </c>
      <c r="F880" s="7" t="s">
        <v>3865</v>
      </c>
      <c r="G880" s="7" t="s">
        <v>1373</v>
      </c>
      <c r="H880" s="7" t="s">
        <v>1426</v>
      </c>
      <c r="I880" s="7" t="s">
        <v>1427</v>
      </c>
      <c r="J880" s="7" t="s">
        <v>233</v>
      </c>
      <c r="K880" s="7" t="s">
        <v>2193</v>
      </c>
      <c r="L880" s="12">
        <v>1</v>
      </c>
      <c r="M880" s="7" t="s">
        <v>1896</v>
      </c>
    </row>
    <row r="881" spans="2:13" ht="52.5" customHeight="1" x14ac:dyDescent="0.35">
      <c r="B881" s="11">
        <v>67</v>
      </c>
      <c r="C881" s="5" t="s">
        <v>3805</v>
      </c>
      <c r="D881" s="11">
        <v>15</v>
      </c>
      <c r="E881" s="5" t="s">
        <v>3866</v>
      </c>
      <c r="F881" s="5" t="s">
        <v>3867</v>
      </c>
      <c r="G881" s="5" t="s">
        <v>279</v>
      </c>
      <c r="H881" s="5" t="s">
        <v>3868</v>
      </c>
      <c r="I881" s="5" t="s">
        <v>3869</v>
      </c>
      <c r="J881" s="5" t="s">
        <v>233</v>
      </c>
      <c r="K881" s="5" t="s">
        <v>3870</v>
      </c>
      <c r="L881" s="11">
        <v>2</v>
      </c>
      <c r="M881" s="5" t="s">
        <v>1896</v>
      </c>
    </row>
    <row r="882" spans="2:13" ht="67.5" customHeight="1" x14ac:dyDescent="0.35">
      <c r="B882" s="12">
        <v>67</v>
      </c>
      <c r="C882" s="7" t="s">
        <v>3805</v>
      </c>
      <c r="D882" s="12">
        <v>16</v>
      </c>
      <c r="E882" s="7" t="s">
        <v>3871</v>
      </c>
      <c r="F882" s="7" t="s">
        <v>3872</v>
      </c>
      <c r="G882" s="7" t="s">
        <v>185</v>
      </c>
      <c r="H882" s="7" t="s">
        <v>3873</v>
      </c>
      <c r="I882" s="7" t="s">
        <v>3874</v>
      </c>
      <c r="J882" s="7" t="s">
        <v>3875</v>
      </c>
      <c r="K882" s="7" t="s">
        <v>3876</v>
      </c>
      <c r="L882" s="12">
        <v>4</v>
      </c>
      <c r="M882" s="7" t="s">
        <v>1896</v>
      </c>
    </row>
    <row r="883" spans="2:13" ht="21.75" customHeight="1" x14ac:dyDescent="0.35">
      <c r="B883" s="11">
        <v>67</v>
      </c>
      <c r="C883" s="5" t="s">
        <v>3805</v>
      </c>
      <c r="D883" s="11">
        <v>17</v>
      </c>
      <c r="E883" s="5" t="s">
        <v>3877</v>
      </c>
      <c r="F883" s="5" t="s">
        <v>3878</v>
      </c>
      <c r="G883" s="5" t="s">
        <v>608</v>
      </c>
      <c r="H883" s="5" t="s">
        <v>1426</v>
      </c>
      <c r="I883" s="5" t="s">
        <v>1427</v>
      </c>
      <c r="J883" s="5" t="s">
        <v>233</v>
      </c>
      <c r="K883" s="5" t="s">
        <v>2193</v>
      </c>
      <c r="L883" s="11">
        <v>1</v>
      </c>
      <c r="M883" s="5" t="s">
        <v>1896</v>
      </c>
    </row>
    <row r="884" spans="2:13" ht="52.5" customHeight="1" x14ac:dyDescent="0.35">
      <c r="B884" s="12">
        <v>67</v>
      </c>
      <c r="C884" s="7" t="s">
        <v>3805</v>
      </c>
      <c r="D884" s="12">
        <v>18</v>
      </c>
      <c r="E884" s="7" t="s">
        <v>3879</v>
      </c>
      <c r="F884" s="7" t="s">
        <v>3880</v>
      </c>
      <c r="G884" s="7" t="s">
        <v>3643</v>
      </c>
      <c r="H884" s="7" t="s">
        <v>3881</v>
      </c>
      <c r="I884" s="7" t="s">
        <v>3882</v>
      </c>
      <c r="J884" s="7" t="s">
        <v>233</v>
      </c>
      <c r="K884" s="7" t="s">
        <v>3883</v>
      </c>
      <c r="L884" s="12">
        <v>2</v>
      </c>
      <c r="M884" s="7" t="s">
        <v>1896</v>
      </c>
    </row>
    <row r="885" spans="2:13" ht="52.5" customHeight="1" x14ac:dyDescent="0.35">
      <c r="B885" s="11">
        <v>67</v>
      </c>
      <c r="C885" s="5" t="s">
        <v>3805</v>
      </c>
      <c r="D885" s="11">
        <v>19</v>
      </c>
      <c r="E885" s="5" t="s">
        <v>3884</v>
      </c>
      <c r="F885" s="5" t="s">
        <v>3885</v>
      </c>
      <c r="G885" s="5" t="s">
        <v>576</v>
      </c>
      <c r="H885" s="5" t="s">
        <v>3881</v>
      </c>
      <c r="I885" s="5" t="s">
        <v>3882</v>
      </c>
      <c r="J885" s="5" t="s">
        <v>233</v>
      </c>
      <c r="K885" s="5" t="s">
        <v>3883</v>
      </c>
      <c r="L885" s="11">
        <v>2</v>
      </c>
      <c r="M885" s="5" t="s">
        <v>1896</v>
      </c>
    </row>
    <row r="886" spans="2:13" ht="52.5" customHeight="1" x14ac:dyDescent="0.35">
      <c r="B886" s="12">
        <v>67</v>
      </c>
      <c r="C886" s="7" t="s">
        <v>3805</v>
      </c>
      <c r="D886" s="12">
        <v>20</v>
      </c>
      <c r="E886" s="7" t="s">
        <v>3886</v>
      </c>
      <c r="F886" s="7" t="s">
        <v>3887</v>
      </c>
      <c r="G886" s="7" t="s">
        <v>439</v>
      </c>
      <c r="H886" s="7" t="s">
        <v>3888</v>
      </c>
      <c r="I886" s="7" t="s">
        <v>3889</v>
      </c>
      <c r="J886" s="7" t="s">
        <v>3858</v>
      </c>
      <c r="K886" s="7" t="s">
        <v>3890</v>
      </c>
      <c r="L886" s="12">
        <v>2</v>
      </c>
      <c r="M886" s="7" t="s">
        <v>1896</v>
      </c>
    </row>
    <row r="887" spans="2:13" ht="37.5" customHeight="1" x14ac:dyDescent="0.35">
      <c r="B887" s="11">
        <v>67</v>
      </c>
      <c r="C887" s="5" t="s">
        <v>3805</v>
      </c>
      <c r="D887" s="11">
        <v>21</v>
      </c>
      <c r="E887" s="5" t="s">
        <v>3891</v>
      </c>
      <c r="F887" s="5" t="s">
        <v>3892</v>
      </c>
      <c r="G887" s="5" t="s">
        <v>698</v>
      </c>
      <c r="H887" s="5" t="s">
        <v>40</v>
      </c>
      <c r="I887" s="5" t="s">
        <v>56</v>
      </c>
      <c r="J887" s="5" t="s">
        <v>233</v>
      </c>
      <c r="K887" s="5" t="s">
        <v>1103</v>
      </c>
      <c r="L887" s="11">
        <v>1</v>
      </c>
      <c r="M887" s="5" t="s">
        <v>1896</v>
      </c>
    </row>
    <row r="888" spans="2:13" ht="37.5" customHeight="1" x14ac:dyDescent="0.35">
      <c r="B888" s="12">
        <v>67</v>
      </c>
      <c r="C888" s="7" t="s">
        <v>3805</v>
      </c>
      <c r="D888" s="12">
        <v>22</v>
      </c>
      <c r="E888" s="7" t="s">
        <v>3893</v>
      </c>
      <c r="F888" s="7" t="s">
        <v>3894</v>
      </c>
      <c r="G888" s="7" t="s">
        <v>24</v>
      </c>
      <c r="H888" s="7" t="s">
        <v>1426</v>
      </c>
      <c r="I888" s="7" t="s">
        <v>1427</v>
      </c>
      <c r="J888" s="7" t="s">
        <v>233</v>
      </c>
      <c r="K888" s="7" t="s">
        <v>2193</v>
      </c>
      <c r="L888" s="12">
        <v>1</v>
      </c>
      <c r="M888" s="7" t="s">
        <v>1896</v>
      </c>
    </row>
    <row r="889" spans="2:13" ht="37.5" customHeight="1" x14ac:dyDescent="0.35">
      <c r="B889" s="11">
        <v>67</v>
      </c>
      <c r="C889" s="5" t="s">
        <v>3805</v>
      </c>
      <c r="D889" s="11">
        <v>23</v>
      </c>
      <c r="E889" s="5" t="s">
        <v>3895</v>
      </c>
      <c r="F889" s="5" t="s">
        <v>3896</v>
      </c>
      <c r="G889" s="5" t="s">
        <v>566</v>
      </c>
      <c r="H889" s="5" t="s">
        <v>3824</v>
      </c>
      <c r="I889" s="5" t="s">
        <v>3897</v>
      </c>
      <c r="J889" s="5" t="s">
        <v>3898</v>
      </c>
      <c r="K889" s="5" t="s">
        <v>3899</v>
      </c>
      <c r="L889" s="11">
        <v>2</v>
      </c>
      <c r="M889" s="5" t="s">
        <v>1896</v>
      </c>
    </row>
    <row r="890" spans="2:13" ht="82.5" customHeight="1" x14ac:dyDescent="0.35">
      <c r="B890" s="12">
        <v>67</v>
      </c>
      <c r="C890" s="7" t="s">
        <v>3805</v>
      </c>
      <c r="D890" s="12">
        <v>24</v>
      </c>
      <c r="E890" s="7" t="s">
        <v>3900</v>
      </c>
      <c r="F890" s="7" t="s">
        <v>3901</v>
      </c>
      <c r="G890" s="7" t="s">
        <v>25</v>
      </c>
      <c r="H890" s="7" t="s">
        <v>3902</v>
      </c>
      <c r="I890" s="7" t="s">
        <v>3903</v>
      </c>
      <c r="J890" s="7" t="s">
        <v>3904</v>
      </c>
      <c r="K890" s="7" t="s">
        <v>3905</v>
      </c>
      <c r="L890" s="12">
        <v>4</v>
      </c>
      <c r="M890" s="7" t="s">
        <v>1896</v>
      </c>
    </row>
    <row r="891" spans="2:13" ht="82.5" customHeight="1" x14ac:dyDescent="0.35">
      <c r="B891" s="11">
        <v>67</v>
      </c>
      <c r="C891" s="5" t="s">
        <v>3805</v>
      </c>
      <c r="D891" s="11">
        <v>25</v>
      </c>
      <c r="E891" s="5" t="s">
        <v>3906</v>
      </c>
      <c r="F891" s="5" t="s">
        <v>3907</v>
      </c>
      <c r="G891" s="5" t="s">
        <v>582</v>
      </c>
      <c r="H891" s="5" t="s">
        <v>3908</v>
      </c>
      <c r="I891" s="5" t="s">
        <v>3909</v>
      </c>
      <c r="J891" s="5" t="s">
        <v>233</v>
      </c>
      <c r="K891" s="5" t="s">
        <v>3910</v>
      </c>
      <c r="L891" s="11">
        <v>4</v>
      </c>
      <c r="M891" s="5" t="s">
        <v>1896</v>
      </c>
    </row>
    <row r="892" spans="2:13" ht="67.5" customHeight="1" x14ac:dyDescent="0.35">
      <c r="B892" s="12">
        <v>67</v>
      </c>
      <c r="C892" s="7" t="s">
        <v>3805</v>
      </c>
      <c r="D892" s="12">
        <v>26</v>
      </c>
      <c r="E892" s="7" t="s">
        <v>3911</v>
      </c>
      <c r="F892" s="7" t="s">
        <v>3912</v>
      </c>
      <c r="G892" s="7" t="s">
        <v>825</v>
      </c>
      <c r="H892" s="7" t="s">
        <v>3913</v>
      </c>
      <c r="I892" s="7" t="s">
        <v>3274</v>
      </c>
      <c r="J892" s="7" t="s">
        <v>233</v>
      </c>
      <c r="K892" s="7" t="s">
        <v>3914</v>
      </c>
      <c r="L892" s="12">
        <v>4</v>
      </c>
      <c r="M892" s="7" t="s">
        <v>1896</v>
      </c>
    </row>
    <row r="893" spans="2:13" ht="97.5" customHeight="1" x14ac:dyDescent="0.35">
      <c r="B893" s="11">
        <v>67</v>
      </c>
      <c r="C893" s="5" t="s">
        <v>3805</v>
      </c>
      <c r="D893" s="11">
        <v>27</v>
      </c>
      <c r="E893" s="5" t="s">
        <v>3915</v>
      </c>
      <c r="F893" s="5" t="s">
        <v>3916</v>
      </c>
      <c r="G893" s="5" t="s">
        <v>1235</v>
      </c>
      <c r="H893" s="5" t="s">
        <v>3917</v>
      </c>
      <c r="I893" s="5" t="s">
        <v>3918</v>
      </c>
      <c r="J893" s="5" t="s">
        <v>2157</v>
      </c>
      <c r="K893" s="5" t="s">
        <v>3919</v>
      </c>
      <c r="L893" s="11">
        <v>4</v>
      </c>
      <c r="M893" s="5" t="s">
        <v>1896</v>
      </c>
    </row>
    <row r="894" spans="2:13" ht="67.5" customHeight="1" x14ac:dyDescent="0.35">
      <c r="B894" s="12">
        <v>67</v>
      </c>
      <c r="C894" s="7" t="s">
        <v>3805</v>
      </c>
      <c r="D894" s="12">
        <v>28</v>
      </c>
      <c r="E894" s="7" t="s">
        <v>3920</v>
      </c>
      <c r="F894" s="7" t="s">
        <v>3921</v>
      </c>
      <c r="G894" s="7" t="s">
        <v>761</v>
      </c>
      <c r="H894" s="7" t="s">
        <v>3922</v>
      </c>
      <c r="I894" s="7" t="s">
        <v>3923</v>
      </c>
      <c r="J894" s="7" t="s">
        <v>233</v>
      </c>
      <c r="K894" s="7" t="s">
        <v>3924</v>
      </c>
      <c r="L894" s="12">
        <v>3</v>
      </c>
      <c r="M894" s="7" t="s">
        <v>1896</v>
      </c>
    </row>
    <row r="895" spans="2:13" ht="67.5" customHeight="1" x14ac:dyDescent="0.35">
      <c r="B895" s="11">
        <v>67</v>
      </c>
      <c r="C895" s="5" t="s">
        <v>3805</v>
      </c>
      <c r="D895" s="11">
        <v>29</v>
      </c>
      <c r="E895" s="5" t="s">
        <v>3925</v>
      </c>
      <c r="F895" s="5" t="s">
        <v>3926</v>
      </c>
      <c r="G895" s="5" t="s">
        <v>625</v>
      </c>
      <c r="H895" s="5" t="s">
        <v>3927</v>
      </c>
      <c r="I895" s="5" t="s">
        <v>3928</v>
      </c>
      <c r="J895" s="5" t="s">
        <v>3929</v>
      </c>
      <c r="K895" s="5" t="s">
        <v>3930</v>
      </c>
      <c r="L895" s="11">
        <v>4</v>
      </c>
      <c r="M895" s="5" t="s">
        <v>1896</v>
      </c>
    </row>
    <row r="896" spans="2:13" ht="37.5" customHeight="1" x14ac:dyDescent="0.35">
      <c r="B896" s="12">
        <v>67</v>
      </c>
      <c r="C896" s="7" t="s">
        <v>3805</v>
      </c>
      <c r="D896" s="12">
        <v>30</v>
      </c>
      <c r="E896" s="7" t="s">
        <v>3931</v>
      </c>
      <c r="F896" s="7" t="s">
        <v>3932</v>
      </c>
      <c r="G896" s="7" t="s">
        <v>192</v>
      </c>
      <c r="H896" s="7" t="s">
        <v>1574</v>
      </c>
      <c r="I896" s="7" t="s">
        <v>56</v>
      </c>
      <c r="J896" s="7" t="s">
        <v>3933</v>
      </c>
      <c r="K896" s="7" t="s">
        <v>3934</v>
      </c>
      <c r="L896" s="12">
        <v>1</v>
      </c>
      <c r="M896" s="7" t="s">
        <v>1896</v>
      </c>
    </row>
    <row r="897" spans="2:13" ht="37.5" customHeight="1" x14ac:dyDescent="0.35">
      <c r="B897" s="11">
        <v>67</v>
      </c>
      <c r="C897" s="5" t="s">
        <v>3805</v>
      </c>
      <c r="D897" s="11">
        <v>31</v>
      </c>
      <c r="E897" s="5" t="s">
        <v>3935</v>
      </c>
      <c r="F897" s="5" t="s">
        <v>3936</v>
      </c>
      <c r="G897" s="5" t="s">
        <v>31</v>
      </c>
      <c r="H897" s="5" t="s">
        <v>3937</v>
      </c>
      <c r="I897" s="5" t="s">
        <v>3938</v>
      </c>
      <c r="J897" s="5" t="s">
        <v>233</v>
      </c>
      <c r="K897" s="5" t="s">
        <v>3939</v>
      </c>
      <c r="L897" s="11">
        <v>2</v>
      </c>
      <c r="M897" s="5" t="s">
        <v>1896</v>
      </c>
    </row>
    <row r="898" spans="2:13" ht="37.5" customHeight="1" x14ac:dyDescent="0.35">
      <c r="B898" s="12">
        <v>67</v>
      </c>
      <c r="C898" s="7" t="s">
        <v>3805</v>
      </c>
      <c r="D898" s="12">
        <v>32</v>
      </c>
      <c r="E898" s="7" t="s">
        <v>3940</v>
      </c>
      <c r="F898" s="7" t="s">
        <v>3941</v>
      </c>
      <c r="G898" s="7" t="s">
        <v>244</v>
      </c>
      <c r="H898" s="7" t="s">
        <v>1426</v>
      </c>
      <c r="I898" s="7" t="s">
        <v>1427</v>
      </c>
      <c r="J898" s="7" t="s">
        <v>233</v>
      </c>
      <c r="K898" s="7" t="s">
        <v>2193</v>
      </c>
      <c r="L898" s="12">
        <v>1</v>
      </c>
      <c r="M898" s="7" t="s">
        <v>1896</v>
      </c>
    </row>
    <row r="899" spans="2:13" ht="21.75" customHeight="1" x14ac:dyDescent="0.35">
      <c r="B899" s="11">
        <v>67</v>
      </c>
      <c r="C899" s="5" t="s">
        <v>3805</v>
      </c>
      <c r="D899" s="11">
        <v>33</v>
      </c>
      <c r="E899" s="5" t="s">
        <v>3942</v>
      </c>
      <c r="F899" s="5" t="s">
        <v>3943</v>
      </c>
      <c r="G899" s="5" t="s">
        <v>212</v>
      </c>
      <c r="H899" s="5" t="s">
        <v>1426</v>
      </c>
      <c r="I899" s="5" t="s">
        <v>1427</v>
      </c>
      <c r="J899" s="5" t="s">
        <v>233</v>
      </c>
      <c r="K899" s="5" t="s">
        <v>2193</v>
      </c>
      <c r="L899" s="11">
        <v>1</v>
      </c>
      <c r="M899" s="5" t="s">
        <v>1896</v>
      </c>
    </row>
    <row r="900" spans="2:13" ht="37.5" customHeight="1" x14ac:dyDescent="0.35">
      <c r="B900" s="12">
        <v>67</v>
      </c>
      <c r="C900" s="7" t="s">
        <v>3805</v>
      </c>
      <c r="D900" s="12">
        <v>34</v>
      </c>
      <c r="E900" s="7" t="s">
        <v>3944</v>
      </c>
      <c r="F900" s="7" t="s">
        <v>3945</v>
      </c>
      <c r="G900" s="7" t="s">
        <v>3946</v>
      </c>
      <c r="H900" s="7" t="s">
        <v>3947</v>
      </c>
      <c r="I900" s="7" t="s">
        <v>3938</v>
      </c>
      <c r="J900" s="7" t="s">
        <v>3948</v>
      </c>
      <c r="K900" s="7" t="s">
        <v>3949</v>
      </c>
      <c r="L900" s="12">
        <v>2</v>
      </c>
      <c r="M900" s="7" t="s">
        <v>1896</v>
      </c>
    </row>
    <row r="901" spans="2:13" ht="37.5" customHeight="1" x14ac:dyDescent="0.35">
      <c r="B901" s="11">
        <v>67</v>
      </c>
      <c r="C901" s="5" t="s">
        <v>3805</v>
      </c>
      <c r="D901" s="11">
        <v>35</v>
      </c>
      <c r="E901" s="5" t="s">
        <v>3950</v>
      </c>
      <c r="F901" s="5" t="s">
        <v>3951</v>
      </c>
      <c r="G901" s="5" t="s">
        <v>656</v>
      </c>
      <c r="H901" s="5" t="s">
        <v>37</v>
      </c>
      <c r="I901" s="5" t="s">
        <v>3952</v>
      </c>
      <c r="J901" s="5" t="s">
        <v>1107</v>
      </c>
      <c r="K901" s="5" t="s">
        <v>3953</v>
      </c>
      <c r="L901" s="11">
        <v>1</v>
      </c>
      <c r="M901" s="5" t="s">
        <v>1896</v>
      </c>
    </row>
    <row r="902" spans="2:13" ht="37.5" customHeight="1" x14ac:dyDescent="0.35">
      <c r="B902" s="12">
        <v>67</v>
      </c>
      <c r="C902" s="7" t="s">
        <v>3805</v>
      </c>
      <c r="D902" s="12">
        <v>36</v>
      </c>
      <c r="E902" s="7" t="s">
        <v>3954</v>
      </c>
      <c r="F902" s="7" t="s">
        <v>3955</v>
      </c>
      <c r="G902" s="7" t="s">
        <v>653</v>
      </c>
      <c r="H902" s="7" t="s">
        <v>1426</v>
      </c>
      <c r="I902" s="7" t="s">
        <v>1427</v>
      </c>
      <c r="J902" s="7" t="s">
        <v>233</v>
      </c>
      <c r="K902" s="7" t="s">
        <v>2193</v>
      </c>
      <c r="L902" s="12">
        <v>1</v>
      </c>
      <c r="M902" s="7" t="s">
        <v>1896</v>
      </c>
    </row>
    <row r="903" spans="2:13" ht="37.5" customHeight="1" x14ac:dyDescent="0.35">
      <c r="B903" s="11">
        <v>67</v>
      </c>
      <c r="C903" s="5" t="s">
        <v>3805</v>
      </c>
      <c r="D903" s="11">
        <v>37</v>
      </c>
      <c r="E903" s="5" t="s">
        <v>3956</v>
      </c>
      <c r="F903" s="5" t="s">
        <v>3957</v>
      </c>
      <c r="G903" s="5" t="s">
        <v>973</v>
      </c>
      <c r="H903" s="5" t="s">
        <v>473</v>
      </c>
      <c r="I903" s="5" t="s">
        <v>2370</v>
      </c>
      <c r="J903" s="5" t="s">
        <v>233</v>
      </c>
      <c r="K903" s="5" t="s">
        <v>3958</v>
      </c>
      <c r="L903" s="11">
        <v>1</v>
      </c>
      <c r="M903" s="5" t="s">
        <v>1896</v>
      </c>
    </row>
    <row r="904" spans="2:13" ht="37.5" customHeight="1" x14ac:dyDescent="0.35">
      <c r="B904" s="12">
        <v>67</v>
      </c>
      <c r="C904" s="7" t="s">
        <v>3805</v>
      </c>
      <c r="D904" s="12">
        <v>38</v>
      </c>
      <c r="E904" s="7" t="s">
        <v>3959</v>
      </c>
      <c r="F904" s="7" t="s">
        <v>3960</v>
      </c>
      <c r="G904" s="7" t="s">
        <v>573</v>
      </c>
      <c r="H904" s="7" t="s">
        <v>37</v>
      </c>
      <c r="I904" s="7" t="s">
        <v>3324</v>
      </c>
      <c r="J904" s="7" t="s">
        <v>1107</v>
      </c>
      <c r="K904" s="7" t="s">
        <v>3961</v>
      </c>
      <c r="L904" s="12">
        <v>1</v>
      </c>
      <c r="M904" s="7" t="s">
        <v>1896</v>
      </c>
    </row>
    <row r="905" spans="2:13" ht="37.5" customHeight="1" x14ac:dyDescent="0.35">
      <c r="B905" s="11">
        <v>67</v>
      </c>
      <c r="C905" s="5" t="s">
        <v>3805</v>
      </c>
      <c r="D905" s="11">
        <v>39</v>
      </c>
      <c r="E905" s="5" t="s">
        <v>3962</v>
      </c>
      <c r="F905" s="5" t="s">
        <v>3963</v>
      </c>
      <c r="G905" s="5" t="s">
        <v>733</v>
      </c>
      <c r="H905" s="5" t="s">
        <v>37</v>
      </c>
      <c r="I905" s="5" t="s">
        <v>3964</v>
      </c>
      <c r="J905" s="5" t="s">
        <v>1107</v>
      </c>
      <c r="K905" s="5" t="s">
        <v>3965</v>
      </c>
      <c r="L905" s="11">
        <v>1</v>
      </c>
      <c r="M905" s="5" t="s">
        <v>1896</v>
      </c>
    </row>
    <row r="906" spans="2:13" ht="52.5" customHeight="1" x14ac:dyDescent="0.35">
      <c r="B906" s="12">
        <v>67</v>
      </c>
      <c r="C906" s="7" t="s">
        <v>3805</v>
      </c>
      <c r="D906" s="12">
        <v>40</v>
      </c>
      <c r="E906" s="7" t="s">
        <v>3966</v>
      </c>
      <c r="F906" s="7" t="s">
        <v>3967</v>
      </c>
      <c r="G906" s="7" t="s">
        <v>831</v>
      </c>
      <c r="H906" s="7" t="s">
        <v>3968</v>
      </c>
      <c r="I906" s="7" t="s">
        <v>3969</v>
      </c>
      <c r="J906" s="7" t="s">
        <v>1112</v>
      </c>
      <c r="K906" s="7" t="s">
        <v>3970</v>
      </c>
      <c r="L906" s="12">
        <v>2</v>
      </c>
      <c r="M906" s="7" t="s">
        <v>1896</v>
      </c>
    </row>
    <row r="907" spans="2:13" ht="37.5" customHeight="1" x14ac:dyDescent="0.35">
      <c r="B907" s="11">
        <v>67</v>
      </c>
      <c r="C907" s="5" t="s">
        <v>3805</v>
      </c>
      <c r="D907" s="11">
        <v>41</v>
      </c>
      <c r="E907" s="5" t="s">
        <v>3971</v>
      </c>
      <c r="F907" s="5" t="s">
        <v>3972</v>
      </c>
      <c r="G907" s="5" t="s">
        <v>1747</v>
      </c>
      <c r="H907" s="5" t="s">
        <v>838</v>
      </c>
      <c r="I907" s="5" t="s">
        <v>2370</v>
      </c>
      <c r="J907" s="5" t="s">
        <v>233</v>
      </c>
      <c r="K907" s="5" t="s">
        <v>3973</v>
      </c>
      <c r="L907" s="11">
        <v>1</v>
      </c>
      <c r="M907" s="5" t="s">
        <v>1896</v>
      </c>
    </row>
    <row r="908" spans="2:13" ht="37.5" customHeight="1" x14ac:dyDescent="0.35">
      <c r="B908" s="12">
        <v>68</v>
      </c>
      <c r="C908" s="7" t="s">
        <v>3974</v>
      </c>
      <c r="D908" s="12">
        <v>1</v>
      </c>
      <c r="E908" s="7" t="s">
        <v>3975</v>
      </c>
      <c r="F908" s="7" t="s">
        <v>3976</v>
      </c>
      <c r="G908" s="7" t="s">
        <v>421</v>
      </c>
      <c r="H908" s="7" t="s">
        <v>36</v>
      </c>
      <c r="I908" s="7" t="s">
        <v>2673</v>
      </c>
      <c r="J908" s="7" t="s">
        <v>177</v>
      </c>
      <c r="K908" s="7" t="s">
        <v>3977</v>
      </c>
      <c r="L908" s="12">
        <v>1</v>
      </c>
      <c r="M908" s="7" t="s">
        <v>1896</v>
      </c>
    </row>
    <row r="909" spans="2:13" ht="37.5" customHeight="1" x14ac:dyDescent="0.35">
      <c r="B909" s="11">
        <v>68</v>
      </c>
      <c r="C909" s="5" t="s">
        <v>3974</v>
      </c>
      <c r="D909" s="11">
        <v>2</v>
      </c>
      <c r="E909" s="5" t="s">
        <v>3978</v>
      </c>
      <c r="F909" s="5" t="s">
        <v>3979</v>
      </c>
      <c r="G909" s="5" t="s">
        <v>648</v>
      </c>
      <c r="H909" s="5" t="s">
        <v>37</v>
      </c>
      <c r="I909" s="5" t="s">
        <v>3980</v>
      </c>
      <c r="J909" s="5" t="s">
        <v>1107</v>
      </c>
      <c r="K909" s="5" t="s">
        <v>3981</v>
      </c>
      <c r="L909" s="11">
        <v>1</v>
      </c>
      <c r="M909" s="5" t="s">
        <v>1896</v>
      </c>
    </row>
    <row r="910" spans="2:13" ht="37.5" customHeight="1" x14ac:dyDescent="0.35">
      <c r="B910" s="12">
        <v>68</v>
      </c>
      <c r="C910" s="7" t="s">
        <v>3974</v>
      </c>
      <c r="D910" s="12">
        <v>3</v>
      </c>
      <c r="E910" s="7" t="s">
        <v>3982</v>
      </c>
      <c r="F910" s="7" t="s">
        <v>3983</v>
      </c>
      <c r="G910" s="7" t="s">
        <v>212</v>
      </c>
      <c r="H910" s="7" t="s">
        <v>838</v>
      </c>
      <c r="I910" s="7" t="s">
        <v>52</v>
      </c>
      <c r="J910" s="7" t="s">
        <v>3984</v>
      </c>
      <c r="K910" s="7" t="s">
        <v>3985</v>
      </c>
      <c r="L910" s="12">
        <v>1</v>
      </c>
      <c r="M910" s="7" t="s">
        <v>1896</v>
      </c>
    </row>
    <row r="911" spans="2:13" ht="37.5" customHeight="1" x14ac:dyDescent="0.35">
      <c r="B911" s="11">
        <v>69</v>
      </c>
      <c r="C911" s="5" t="s">
        <v>3986</v>
      </c>
      <c r="D911" s="11">
        <v>1</v>
      </c>
      <c r="E911" s="5" t="s">
        <v>3987</v>
      </c>
      <c r="F911" s="5" t="s">
        <v>3988</v>
      </c>
      <c r="G911" s="5" t="s">
        <v>1269</v>
      </c>
      <c r="H911" s="5" t="s">
        <v>37</v>
      </c>
      <c r="I911" s="5" t="s">
        <v>3980</v>
      </c>
      <c r="J911" s="5" t="s">
        <v>1579</v>
      </c>
      <c r="K911" s="5" t="s">
        <v>3989</v>
      </c>
      <c r="L911" s="11">
        <v>1</v>
      </c>
      <c r="M911" s="5" t="s">
        <v>1896</v>
      </c>
    </row>
    <row r="912" spans="2:13" ht="37.5" customHeight="1" x14ac:dyDescent="0.35">
      <c r="B912" s="12"/>
      <c r="C912" s="7" t="s">
        <v>3990</v>
      </c>
      <c r="D912" s="12">
        <v>2</v>
      </c>
      <c r="E912" s="7" t="s">
        <v>3991</v>
      </c>
      <c r="F912" s="7" t="s">
        <v>3992</v>
      </c>
      <c r="G912" s="7" t="s">
        <v>1953</v>
      </c>
      <c r="H912" s="7" t="s">
        <v>37</v>
      </c>
      <c r="I912" s="7" t="s">
        <v>998</v>
      </c>
      <c r="J912" s="7" t="s">
        <v>194</v>
      </c>
      <c r="K912" s="7" t="s">
        <v>3993</v>
      </c>
      <c r="L912" s="12">
        <v>1</v>
      </c>
      <c r="M912" s="7" t="s">
        <v>1896</v>
      </c>
    </row>
    <row r="913" spans="2:13" ht="21.75" customHeight="1" x14ac:dyDescent="0.35">
      <c r="B913" s="11"/>
      <c r="C913" s="5" t="s">
        <v>3994</v>
      </c>
      <c r="D913" s="11">
        <v>3</v>
      </c>
      <c r="E913" s="5" t="s">
        <v>3995</v>
      </c>
      <c r="F913" s="5" t="s">
        <v>3996</v>
      </c>
      <c r="G913" s="5" t="s">
        <v>3997</v>
      </c>
      <c r="H913" s="5" t="s">
        <v>37</v>
      </c>
      <c r="I913" s="5" t="s">
        <v>998</v>
      </c>
      <c r="J913" s="5" t="s">
        <v>194</v>
      </c>
      <c r="K913" s="5" t="s">
        <v>3993</v>
      </c>
      <c r="L913" s="11">
        <v>1</v>
      </c>
      <c r="M913" s="5" t="s">
        <v>1896</v>
      </c>
    </row>
    <row r="914" spans="2:13" ht="37.5" customHeight="1" x14ac:dyDescent="0.35">
      <c r="B914" s="12">
        <v>70</v>
      </c>
      <c r="C914" s="7" t="s">
        <v>3998</v>
      </c>
      <c r="D914" s="12">
        <v>1</v>
      </c>
      <c r="E914" s="7" t="s">
        <v>3999</v>
      </c>
      <c r="F914" s="7" t="s">
        <v>4000</v>
      </c>
      <c r="G914" s="7" t="s">
        <v>1076</v>
      </c>
      <c r="H914" s="7" t="s">
        <v>838</v>
      </c>
      <c r="I914" s="7" t="s">
        <v>52</v>
      </c>
      <c r="J914" s="7" t="s">
        <v>213</v>
      </c>
      <c r="K914" s="7" t="s">
        <v>1031</v>
      </c>
      <c r="L914" s="12">
        <v>1</v>
      </c>
      <c r="M914" s="7" t="s">
        <v>1896</v>
      </c>
    </row>
    <row r="915" spans="2:13" ht="37.5" customHeight="1" x14ac:dyDescent="0.35">
      <c r="B915" s="11">
        <v>71</v>
      </c>
      <c r="C915" s="5" t="s">
        <v>4001</v>
      </c>
      <c r="D915" s="11">
        <v>1</v>
      </c>
      <c r="E915" s="5" t="s">
        <v>4002</v>
      </c>
      <c r="F915" s="5" t="s">
        <v>4003</v>
      </c>
      <c r="G915" s="5" t="s">
        <v>27</v>
      </c>
      <c r="H915" s="5" t="s">
        <v>1948</v>
      </c>
      <c r="I915" s="5" t="s">
        <v>1949</v>
      </c>
      <c r="J915" s="5" t="s">
        <v>4004</v>
      </c>
      <c r="K915" s="5" t="s">
        <v>4005</v>
      </c>
      <c r="L915" s="11">
        <v>1</v>
      </c>
      <c r="M915" s="5" t="s">
        <v>1896</v>
      </c>
    </row>
    <row r="916" spans="2:13" ht="37.5" customHeight="1" x14ac:dyDescent="0.35">
      <c r="B916" s="12">
        <v>71</v>
      </c>
      <c r="C916" s="7" t="s">
        <v>4001</v>
      </c>
      <c r="D916" s="12">
        <v>2</v>
      </c>
      <c r="E916" s="7" t="s">
        <v>4006</v>
      </c>
      <c r="F916" s="7" t="s">
        <v>4007</v>
      </c>
      <c r="G916" s="7" t="s">
        <v>160</v>
      </c>
      <c r="H916" s="7" t="s">
        <v>152</v>
      </c>
      <c r="I916" s="7" t="s">
        <v>56</v>
      </c>
      <c r="J916" s="7" t="s">
        <v>4004</v>
      </c>
      <c r="K916" s="7" t="s">
        <v>4008</v>
      </c>
      <c r="L916" s="12">
        <v>1</v>
      </c>
      <c r="M916" s="7" t="s">
        <v>1896</v>
      </c>
    </row>
    <row r="917" spans="2:13" ht="52.5" customHeight="1" x14ac:dyDescent="0.35">
      <c r="B917" s="11">
        <v>72</v>
      </c>
      <c r="C917" s="5" t="s">
        <v>4009</v>
      </c>
      <c r="D917" s="11">
        <v>1</v>
      </c>
      <c r="E917" s="5" t="s">
        <v>4010</v>
      </c>
      <c r="F917" s="5" t="s">
        <v>4011</v>
      </c>
      <c r="G917" s="5" t="s">
        <v>26</v>
      </c>
      <c r="H917" s="5" t="s">
        <v>838</v>
      </c>
      <c r="I917" s="5" t="s">
        <v>4012</v>
      </c>
      <c r="J917" s="5" t="s">
        <v>213</v>
      </c>
      <c r="K917" s="5" t="s">
        <v>4013</v>
      </c>
      <c r="L917" s="11">
        <v>1</v>
      </c>
      <c r="M917" s="5" t="s">
        <v>1896</v>
      </c>
    </row>
    <row r="918" spans="2:13" ht="67.5" customHeight="1" x14ac:dyDescent="0.35">
      <c r="B918" s="12">
        <v>73</v>
      </c>
      <c r="C918" s="7" t="s">
        <v>4014</v>
      </c>
      <c r="D918" s="12">
        <v>1</v>
      </c>
      <c r="E918" s="7" t="s">
        <v>4015</v>
      </c>
      <c r="F918" s="7" t="s">
        <v>4016</v>
      </c>
      <c r="G918" s="7" t="s">
        <v>2919</v>
      </c>
      <c r="H918" s="7" t="s">
        <v>4017</v>
      </c>
      <c r="I918" s="7" t="s">
        <v>4018</v>
      </c>
      <c r="J918" s="7" t="s">
        <v>4019</v>
      </c>
      <c r="K918" s="7" t="s">
        <v>4020</v>
      </c>
      <c r="L918" s="12">
        <v>3</v>
      </c>
      <c r="M918" s="7" t="s">
        <v>2887</v>
      </c>
    </row>
    <row r="919" spans="2:13" ht="52.5" customHeight="1" x14ac:dyDescent="0.35">
      <c r="B919" s="11">
        <v>73</v>
      </c>
      <c r="C919" s="5" t="s">
        <v>4014</v>
      </c>
      <c r="D919" s="11">
        <v>2</v>
      </c>
      <c r="E919" s="5" t="s">
        <v>4021</v>
      </c>
      <c r="F919" s="5" t="s">
        <v>4022</v>
      </c>
      <c r="G919" s="5" t="s">
        <v>25</v>
      </c>
      <c r="H919" s="5" t="s">
        <v>4023</v>
      </c>
      <c r="I919" s="5" t="s">
        <v>4024</v>
      </c>
      <c r="J919" s="5" t="s">
        <v>4025</v>
      </c>
      <c r="K919" s="5" t="s">
        <v>4026</v>
      </c>
      <c r="L919" s="11">
        <v>3</v>
      </c>
      <c r="M919" s="5" t="s">
        <v>2887</v>
      </c>
    </row>
    <row r="920" spans="2:13" ht="37.5" customHeight="1" x14ac:dyDescent="0.35">
      <c r="B920" s="12">
        <v>73</v>
      </c>
      <c r="C920" s="7" t="s">
        <v>4014</v>
      </c>
      <c r="D920" s="12">
        <v>3</v>
      </c>
      <c r="E920" s="7" t="s">
        <v>4027</v>
      </c>
      <c r="F920" s="7" t="s">
        <v>4028</v>
      </c>
      <c r="G920" s="7" t="s">
        <v>4029</v>
      </c>
      <c r="H920" s="7" t="s">
        <v>38</v>
      </c>
      <c r="I920" s="7" t="s">
        <v>4030</v>
      </c>
      <c r="J920" s="7" t="s">
        <v>404</v>
      </c>
      <c r="K920" s="7" t="s">
        <v>4031</v>
      </c>
      <c r="L920" s="12">
        <v>1</v>
      </c>
      <c r="M920" s="7" t="s">
        <v>2887</v>
      </c>
    </row>
    <row r="921" spans="2:13" ht="37.5" customHeight="1" x14ac:dyDescent="0.35">
      <c r="B921" s="11">
        <v>73</v>
      </c>
      <c r="C921" s="5" t="s">
        <v>4014</v>
      </c>
      <c r="D921" s="11">
        <v>4</v>
      </c>
      <c r="E921" s="5" t="s">
        <v>4032</v>
      </c>
      <c r="F921" s="5" t="s">
        <v>4033</v>
      </c>
      <c r="G921" s="5" t="s">
        <v>2405</v>
      </c>
      <c r="H921" s="5" t="s">
        <v>4034</v>
      </c>
      <c r="I921" s="5" t="s">
        <v>4035</v>
      </c>
      <c r="J921" s="5" t="s">
        <v>4036</v>
      </c>
      <c r="K921" s="5" t="s">
        <v>4037</v>
      </c>
      <c r="L921" s="11">
        <v>2</v>
      </c>
      <c r="M921" s="5" t="s">
        <v>2887</v>
      </c>
    </row>
    <row r="922" spans="2:13" ht="21.75" customHeight="1" x14ac:dyDescent="0.35">
      <c r="B922" s="12">
        <v>73</v>
      </c>
      <c r="C922" s="7" t="s">
        <v>4014</v>
      </c>
      <c r="D922" s="12">
        <v>5</v>
      </c>
      <c r="E922" s="7" t="s">
        <v>4038</v>
      </c>
      <c r="F922" s="7" t="s">
        <v>4039</v>
      </c>
      <c r="G922" s="7" t="s">
        <v>2229</v>
      </c>
      <c r="H922" s="7" t="s">
        <v>43</v>
      </c>
      <c r="I922" s="7" t="s">
        <v>1093</v>
      </c>
      <c r="J922" s="7" t="s">
        <v>404</v>
      </c>
      <c r="K922" s="7" t="s">
        <v>1634</v>
      </c>
      <c r="L922" s="12">
        <v>1</v>
      </c>
      <c r="M922" s="7" t="s">
        <v>2887</v>
      </c>
    </row>
    <row r="923" spans="2:13" ht="21.75" customHeight="1" x14ac:dyDescent="0.35">
      <c r="B923" s="11">
        <v>73</v>
      </c>
      <c r="C923" s="5" t="s">
        <v>4014</v>
      </c>
      <c r="D923" s="11">
        <v>6</v>
      </c>
      <c r="E923" s="5" t="s">
        <v>4040</v>
      </c>
      <c r="F923" s="5" t="s">
        <v>4041</v>
      </c>
      <c r="G923" s="5" t="s">
        <v>188</v>
      </c>
      <c r="H923" s="5" t="s">
        <v>43</v>
      </c>
      <c r="I923" s="5" t="s">
        <v>1093</v>
      </c>
      <c r="J923" s="5" t="s">
        <v>404</v>
      </c>
      <c r="K923" s="5" t="s">
        <v>1634</v>
      </c>
      <c r="L923" s="11">
        <v>1</v>
      </c>
      <c r="M923" s="5" t="s">
        <v>2887</v>
      </c>
    </row>
    <row r="924" spans="2:13" ht="37.5" customHeight="1" x14ac:dyDescent="0.35">
      <c r="B924" s="12">
        <v>73</v>
      </c>
      <c r="C924" s="7" t="s">
        <v>4014</v>
      </c>
      <c r="D924" s="12">
        <v>7</v>
      </c>
      <c r="E924" s="7" t="s">
        <v>4042</v>
      </c>
      <c r="F924" s="7" t="s">
        <v>4043</v>
      </c>
      <c r="G924" s="7" t="s">
        <v>1008</v>
      </c>
      <c r="H924" s="7" t="s">
        <v>4044</v>
      </c>
      <c r="I924" s="7" t="s">
        <v>4045</v>
      </c>
      <c r="J924" s="7" t="s">
        <v>404</v>
      </c>
      <c r="K924" s="7" t="s">
        <v>4046</v>
      </c>
      <c r="L924" s="12">
        <v>2</v>
      </c>
      <c r="M924" s="7" t="s">
        <v>2887</v>
      </c>
    </row>
    <row r="925" spans="2:13" ht="37.5" customHeight="1" x14ac:dyDescent="0.35">
      <c r="B925" s="11">
        <v>74</v>
      </c>
      <c r="C925" s="5" t="s">
        <v>4047</v>
      </c>
      <c r="D925" s="11">
        <v>1</v>
      </c>
      <c r="E925" s="5" t="s">
        <v>4048</v>
      </c>
      <c r="F925" s="5" t="s">
        <v>4049</v>
      </c>
      <c r="G925" s="5" t="s">
        <v>560</v>
      </c>
      <c r="H925" s="5" t="s">
        <v>1948</v>
      </c>
      <c r="I925" s="5" t="s">
        <v>1949</v>
      </c>
      <c r="J925" s="5" t="s">
        <v>404</v>
      </c>
      <c r="K925" s="5" t="s">
        <v>1950</v>
      </c>
      <c r="L925" s="11">
        <v>1</v>
      </c>
      <c r="M925" s="5" t="s">
        <v>2887</v>
      </c>
    </row>
    <row r="926" spans="2:13" ht="37.5" customHeight="1" x14ac:dyDescent="0.35">
      <c r="B926" s="12">
        <v>75</v>
      </c>
      <c r="C926" s="7" t="s">
        <v>4050</v>
      </c>
      <c r="D926" s="12">
        <v>1</v>
      </c>
      <c r="E926" s="7" t="s">
        <v>4051</v>
      </c>
      <c r="F926" s="7" t="s">
        <v>4052</v>
      </c>
      <c r="G926" s="7" t="s">
        <v>2919</v>
      </c>
      <c r="H926" s="7" t="s">
        <v>1977</v>
      </c>
      <c r="I926" s="7" t="s">
        <v>2055</v>
      </c>
      <c r="J926" s="7" t="s">
        <v>404</v>
      </c>
      <c r="K926" s="7" t="s">
        <v>2937</v>
      </c>
      <c r="L926" s="12">
        <v>2</v>
      </c>
      <c r="M926" s="7" t="s">
        <v>2887</v>
      </c>
    </row>
    <row r="927" spans="2:13" ht="82.5" customHeight="1" x14ac:dyDescent="0.35">
      <c r="B927" s="11">
        <v>76</v>
      </c>
      <c r="C927" s="5" t="s">
        <v>4053</v>
      </c>
      <c r="D927" s="11">
        <v>1</v>
      </c>
      <c r="E927" s="5" t="s">
        <v>4054</v>
      </c>
      <c r="F927" s="5" t="s">
        <v>4055</v>
      </c>
      <c r="G927" s="5" t="s">
        <v>414</v>
      </c>
      <c r="H927" s="5" t="s">
        <v>4056</v>
      </c>
      <c r="I927" s="5" t="s">
        <v>4057</v>
      </c>
      <c r="J927" s="5" t="s">
        <v>4058</v>
      </c>
      <c r="K927" s="5" t="s">
        <v>4059</v>
      </c>
      <c r="L927" s="11">
        <v>5</v>
      </c>
      <c r="M927" s="5" t="s">
        <v>987</v>
      </c>
    </row>
    <row r="928" spans="2:13" ht="37.5" customHeight="1" x14ac:dyDescent="0.35">
      <c r="B928" s="12">
        <v>76</v>
      </c>
      <c r="C928" s="7" t="s">
        <v>4053</v>
      </c>
      <c r="D928" s="12">
        <v>2</v>
      </c>
      <c r="E928" s="7" t="s">
        <v>4060</v>
      </c>
      <c r="F928" s="7" t="s">
        <v>4061</v>
      </c>
      <c r="G928" s="7" t="s">
        <v>414</v>
      </c>
      <c r="H928" s="7" t="s">
        <v>3557</v>
      </c>
      <c r="I928" s="7" t="s">
        <v>3029</v>
      </c>
      <c r="J928" s="7" t="s">
        <v>4062</v>
      </c>
      <c r="K928" s="7" t="s">
        <v>4063</v>
      </c>
      <c r="L928" s="12">
        <v>2</v>
      </c>
      <c r="M928" s="7" t="s">
        <v>987</v>
      </c>
    </row>
    <row r="929" spans="2:13" ht="37.5" customHeight="1" x14ac:dyDescent="0.35">
      <c r="B929" s="11">
        <v>76</v>
      </c>
      <c r="C929" s="5" t="s">
        <v>4053</v>
      </c>
      <c r="D929" s="11">
        <v>3</v>
      </c>
      <c r="E929" s="5" t="s">
        <v>4064</v>
      </c>
      <c r="F929" s="5" t="s">
        <v>4065</v>
      </c>
      <c r="G929" s="5" t="s">
        <v>25</v>
      </c>
      <c r="H929" s="5" t="s">
        <v>1995</v>
      </c>
      <c r="I929" s="5" t="s">
        <v>4066</v>
      </c>
      <c r="J929" s="5" t="s">
        <v>4067</v>
      </c>
      <c r="K929" s="5" t="s">
        <v>4068</v>
      </c>
      <c r="L929" s="11">
        <v>2</v>
      </c>
      <c r="M929" s="5" t="s">
        <v>987</v>
      </c>
    </row>
    <row r="930" spans="2:13" ht="37.5" customHeight="1" x14ac:dyDescent="0.35">
      <c r="B930" s="12">
        <v>76</v>
      </c>
      <c r="C930" s="7" t="s">
        <v>4053</v>
      </c>
      <c r="D930" s="12">
        <v>4</v>
      </c>
      <c r="E930" s="7" t="s">
        <v>4069</v>
      </c>
      <c r="F930" s="7" t="s">
        <v>4070</v>
      </c>
      <c r="G930" s="7" t="s">
        <v>24</v>
      </c>
      <c r="H930" s="7" t="s">
        <v>38</v>
      </c>
      <c r="I930" s="7" t="s">
        <v>53</v>
      </c>
      <c r="J930" s="7" t="s">
        <v>1004</v>
      </c>
      <c r="K930" s="7" t="s">
        <v>4071</v>
      </c>
      <c r="L930" s="12">
        <v>1</v>
      </c>
      <c r="M930" s="7" t="s">
        <v>987</v>
      </c>
    </row>
    <row r="931" spans="2:13" ht="82.5" customHeight="1" x14ac:dyDescent="0.35">
      <c r="B931" s="11">
        <v>77</v>
      </c>
      <c r="C931" s="5" t="s">
        <v>4072</v>
      </c>
      <c r="D931" s="11">
        <v>1</v>
      </c>
      <c r="E931" s="5" t="s">
        <v>4073</v>
      </c>
      <c r="F931" s="5" t="s">
        <v>4074</v>
      </c>
      <c r="G931" s="5" t="s">
        <v>560</v>
      </c>
      <c r="H931" s="5" t="s">
        <v>4075</v>
      </c>
      <c r="I931" s="5" t="s">
        <v>4076</v>
      </c>
      <c r="J931" s="5" t="s">
        <v>4077</v>
      </c>
      <c r="K931" s="5" t="s">
        <v>4078</v>
      </c>
      <c r="L931" s="11">
        <v>4</v>
      </c>
      <c r="M931" s="5" t="s">
        <v>4079</v>
      </c>
    </row>
    <row r="932" spans="2:13" ht="52.5" customHeight="1" x14ac:dyDescent="0.35">
      <c r="B932" s="12">
        <v>78</v>
      </c>
      <c r="C932" s="7" t="s">
        <v>4080</v>
      </c>
      <c r="D932" s="12">
        <v>1</v>
      </c>
      <c r="E932" s="7" t="s">
        <v>4081</v>
      </c>
      <c r="F932" s="7" t="s">
        <v>4082</v>
      </c>
      <c r="G932" s="7" t="s">
        <v>862</v>
      </c>
      <c r="H932" s="7" t="s">
        <v>41</v>
      </c>
      <c r="I932" s="7" t="s">
        <v>4083</v>
      </c>
      <c r="J932" s="7" t="s">
        <v>233</v>
      </c>
      <c r="K932" s="7" t="s">
        <v>4084</v>
      </c>
      <c r="L932" s="12">
        <v>1</v>
      </c>
      <c r="M932" s="7" t="s">
        <v>4085</v>
      </c>
    </row>
    <row r="933" spans="2:13" ht="52.5" customHeight="1" x14ac:dyDescent="0.35">
      <c r="B933" s="11">
        <v>78</v>
      </c>
      <c r="C933" s="5" t="s">
        <v>4080</v>
      </c>
      <c r="D933" s="11">
        <v>2</v>
      </c>
      <c r="E933" s="5" t="s">
        <v>4086</v>
      </c>
      <c r="F933" s="5" t="s">
        <v>4087</v>
      </c>
      <c r="G933" s="5" t="s">
        <v>2850</v>
      </c>
      <c r="H933" s="5" t="s">
        <v>43</v>
      </c>
      <c r="I933" s="5" t="s">
        <v>4083</v>
      </c>
      <c r="J933" s="5" t="s">
        <v>233</v>
      </c>
      <c r="K933" s="5" t="s">
        <v>4088</v>
      </c>
      <c r="L933" s="11">
        <v>1</v>
      </c>
      <c r="M933" s="5" t="s">
        <v>4085</v>
      </c>
    </row>
    <row r="934" spans="2:13" ht="52.5" customHeight="1" x14ac:dyDescent="0.35">
      <c r="B934" s="12">
        <v>78</v>
      </c>
      <c r="C934" s="7" t="s">
        <v>4080</v>
      </c>
      <c r="D934" s="12">
        <v>3</v>
      </c>
      <c r="E934" s="7" t="s">
        <v>4089</v>
      </c>
      <c r="F934" s="7" t="s">
        <v>4090</v>
      </c>
      <c r="G934" s="7" t="s">
        <v>927</v>
      </c>
      <c r="H934" s="7" t="s">
        <v>41</v>
      </c>
      <c r="I934" s="7" t="s">
        <v>4091</v>
      </c>
      <c r="J934" s="7" t="s">
        <v>1004</v>
      </c>
      <c r="K934" s="7" t="s">
        <v>4092</v>
      </c>
      <c r="L934" s="12">
        <v>1</v>
      </c>
      <c r="M934" s="7" t="s">
        <v>4085</v>
      </c>
    </row>
    <row r="935" spans="2:13" ht="52.5" customHeight="1" x14ac:dyDescent="0.35">
      <c r="B935" s="11">
        <v>78</v>
      </c>
      <c r="C935" s="5" t="s">
        <v>4080</v>
      </c>
      <c r="D935" s="11">
        <v>4</v>
      </c>
      <c r="E935" s="5" t="s">
        <v>4093</v>
      </c>
      <c r="F935" s="5" t="s">
        <v>4094</v>
      </c>
      <c r="G935" s="5" t="s">
        <v>686</v>
      </c>
      <c r="H935" s="5" t="s">
        <v>41</v>
      </c>
      <c r="I935" s="5" t="s">
        <v>4091</v>
      </c>
      <c r="J935" s="5" t="s">
        <v>1004</v>
      </c>
      <c r="K935" s="5" t="s">
        <v>4092</v>
      </c>
      <c r="L935" s="11">
        <v>1</v>
      </c>
      <c r="M935" s="5" t="s">
        <v>4085</v>
      </c>
    </row>
    <row r="936" spans="2:13" ht="37.5" customHeight="1" x14ac:dyDescent="0.35">
      <c r="B936" s="12">
        <v>79</v>
      </c>
      <c r="C936" s="7" t="s">
        <v>4095</v>
      </c>
      <c r="D936" s="12">
        <v>1</v>
      </c>
      <c r="E936" s="7" t="s">
        <v>4096</v>
      </c>
      <c r="F936" s="7" t="s">
        <v>4097</v>
      </c>
      <c r="G936" s="7" t="s">
        <v>27</v>
      </c>
      <c r="H936" s="7" t="s">
        <v>43</v>
      </c>
      <c r="I936" s="7" t="s">
        <v>806</v>
      </c>
      <c r="J936" s="7" t="s">
        <v>4098</v>
      </c>
      <c r="K936" s="7" t="s">
        <v>4099</v>
      </c>
      <c r="L936" s="12">
        <v>1</v>
      </c>
      <c r="M936" s="7" t="s">
        <v>4085</v>
      </c>
    </row>
    <row r="937" spans="2:13" ht="37.5" customHeight="1" x14ac:dyDescent="0.35">
      <c r="B937" s="11">
        <v>80</v>
      </c>
      <c r="C937" s="5" t="s">
        <v>4100</v>
      </c>
      <c r="D937" s="11">
        <v>1</v>
      </c>
      <c r="E937" s="5" t="s">
        <v>4101</v>
      </c>
      <c r="F937" s="5" t="s">
        <v>4102</v>
      </c>
      <c r="G937" s="5" t="s">
        <v>472</v>
      </c>
      <c r="H937" s="5" t="s">
        <v>403</v>
      </c>
      <c r="I937" s="5" t="s">
        <v>52</v>
      </c>
      <c r="J937" s="5" t="s">
        <v>1063</v>
      </c>
      <c r="K937" s="5" t="s">
        <v>4103</v>
      </c>
      <c r="L937" s="11">
        <v>1</v>
      </c>
      <c r="M937" s="5" t="s">
        <v>1896</v>
      </c>
    </row>
    <row r="938" spans="2:13" ht="37.5" customHeight="1" x14ac:dyDescent="0.35">
      <c r="B938" s="12">
        <v>80</v>
      </c>
      <c r="C938" s="7" t="s">
        <v>4100</v>
      </c>
      <c r="D938" s="12">
        <v>2</v>
      </c>
      <c r="E938" s="7" t="s">
        <v>4104</v>
      </c>
      <c r="F938" s="7" t="s">
        <v>4105</v>
      </c>
      <c r="G938" s="7" t="s">
        <v>2919</v>
      </c>
      <c r="H938" s="7" t="s">
        <v>36</v>
      </c>
      <c r="I938" s="7" t="s">
        <v>1259</v>
      </c>
      <c r="J938" s="7" t="s">
        <v>194</v>
      </c>
      <c r="K938" s="7" t="s">
        <v>2469</v>
      </c>
      <c r="L938" s="12">
        <v>1</v>
      </c>
      <c r="M938" s="7" t="s">
        <v>1896</v>
      </c>
    </row>
    <row r="939" spans="2:13" ht="67.5" customHeight="1" x14ac:dyDescent="0.35">
      <c r="B939" s="11">
        <v>80</v>
      </c>
      <c r="C939" s="5" t="s">
        <v>4100</v>
      </c>
      <c r="D939" s="11">
        <v>3</v>
      </c>
      <c r="E939" s="5" t="s">
        <v>4106</v>
      </c>
      <c r="F939" s="5" t="s">
        <v>4107</v>
      </c>
      <c r="G939" s="5" t="s">
        <v>25</v>
      </c>
      <c r="H939" s="5" t="s">
        <v>4108</v>
      </c>
      <c r="I939" s="5" t="s">
        <v>4109</v>
      </c>
      <c r="J939" s="5" t="s">
        <v>4110</v>
      </c>
      <c r="K939" s="5" t="s">
        <v>4111</v>
      </c>
      <c r="L939" s="11">
        <v>4</v>
      </c>
      <c r="M939" s="5" t="s">
        <v>1896</v>
      </c>
    </row>
    <row r="940" spans="2:13" ht="37.5" customHeight="1" x14ac:dyDescent="0.35">
      <c r="B940" s="12">
        <v>80</v>
      </c>
      <c r="C940" s="7" t="s">
        <v>4100</v>
      </c>
      <c r="D940" s="12">
        <v>4</v>
      </c>
      <c r="E940" s="7" t="s">
        <v>4112</v>
      </c>
      <c r="F940" s="7" t="s">
        <v>4113</v>
      </c>
      <c r="G940" s="7" t="s">
        <v>384</v>
      </c>
      <c r="H940" s="7" t="s">
        <v>1023</v>
      </c>
      <c r="I940" s="7" t="s">
        <v>56</v>
      </c>
      <c r="J940" s="7" t="s">
        <v>1063</v>
      </c>
      <c r="K940" s="7" t="s">
        <v>4114</v>
      </c>
      <c r="L940" s="12">
        <v>2</v>
      </c>
      <c r="M940" s="7" t="s">
        <v>1896</v>
      </c>
    </row>
    <row r="941" spans="2:13" ht="37.5" customHeight="1" x14ac:dyDescent="0.35">
      <c r="B941" s="11">
        <v>80</v>
      </c>
      <c r="C941" s="5" t="s">
        <v>4100</v>
      </c>
      <c r="D941" s="11">
        <v>5</v>
      </c>
      <c r="E941" s="5" t="s">
        <v>4115</v>
      </c>
      <c r="F941" s="5" t="s">
        <v>4116</v>
      </c>
      <c r="G941" s="5" t="s">
        <v>936</v>
      </c>
      <c r="H941" s="5" t="s">
        <v>2225</v>
      </c>
      <c r="I941" s="5" t="s">
        <v>52</v>
      </c>
      <c r="J941" s="5" t="s">
        <v>1063</v>
      </c>
      <c r="K941" s="5" t="s">
        <v>4117</v>
      </c>
      <c r="L941" s="11">
        <v>1</v>
      </c>
      <c r="M941" s="5" t="s">
        <v>1896</v>
      </c>
    </row>
    <row r="942" spans="2:13" ht="37.5" customHeight="1" x14ac:dyDescent="0.35">
      <c r="B942" s="12">
        <v>80</v>
      </c>
      <c r="C942" s="7" t="s">
        <v>4100</v>
      </c>
      <c r="D942" s="12">
        <v>6</v>
      </c>
      <c r="E942" s="7" t="s">
        <v>4118</v>
      </c>
      <c r="F942" s="7" t="s">
        <v>4119</v>
      </c>
      <c r="G942" s="7" t="s">
        <v>953</v>
      </c>
      <c r="H942" s="7" t="s">
        <v>2225</v>
      </c>
      <c r="I942" s="7" t="s">
        <v>52</v>
      </c>
      <c r="J942" s="7" t="s">
        <v>1063</v>
      </c>
      <c r="K942" s="7" t="s">
        <v>4117</v>
      </c>
      <c r="L942" s="12">
        <v>1</v>
      </c>
      <c r="M942" s="7" t="s">
        <v>1896</v>
      </c>
    </row>
    <row r="943" spans="2:13" ht="21.75" customHeight="1" x14ac:dyDescent="0.35">
      <c r="B943" s="11">
        <v>80</v>
      </c>
      <c r="C943" s="5" t="s">
        <v>4100</v>
      </c>
      <c r="D943" s="11">
        <v>7</v>
      </c>
      <c r="E943" s="5" t="s">
        <v>4120</v>
      </c>
      <c r="F943" s="5" t="s">
        <v>4121</v>
      </c>
      <c r="G943" s="5" t="s">
        <v>2254</v>
      </c>
      <c r="H943" s="5" t="s">
        <v>37</v>
      </c>
      <c r="I943" s="5" t="s">
        <v>998</v>
      </c>
      <c r="J943" s="5" t="s">
        <v>194</v>
      </c>
      <c r="K943" s="5" t="s">
        <v>3993</v>
      </c>
      <c r="L943" s="11">
        <v>1</v>
      </c>
      <c r="M943" s="5" t="s">
        <v>1896</v>
      </c>
    </row>
    <row r="944" spans="2:13" ht="37.5" customHeight="1" x14ac:dyDescent="0.35">
      <c r="B944" s="12">
        <v>80</v>
      </c>
      <c r="C944" s="7" t="s">
        <v>4100</v>
      </c>
      <c r="D944" s="12">
        <v>8</v>
      </c>
      <c r="E944" s="7" t="s">
        <v>4122</v>
      </c>
      <c r="F944" s="7" t="s">
        <v>4123</v>
      </c>
      <c r="G944" s="7" t="s">
        <v>3283</v>
      </c>
      <c r="H944" s="7" t="s">
        <v>37</v>
      </c>
      <c r="I944" s="7" t="s">
        <v>998</v>
      </c>
      <c r="J944" s="7" t="s">
        <v>194</v>
      </c>
      <c r="K944" s="7" t="s">
        <v>3993</v>
      </c>
      <c r="L944" s="12">
        <v>1</v>
      </c>
      <c r="M944" s="7" t="s">
        <v>1896</v>
      </c>
    </row>
    <row r="945" spans="2:13" ht="112.5" customHeight="1" x14ac:dyDescent="0.35">
      <c r="B945" s="11">
        <v>81</v>
      </c>
      <c r="C945" s="5" t="s">
        <v>4124</v>
      </c>
      <c r="D945" s="11">
        <v>1</v>
      </c>
      <c r="E945" s="5" t="s">
        <v>4125</v>
      </c>
      <c r="F945" s="5" t="s">
        <v>4126</v>
      </c>
      <c r="G945" s="5" t="s">
        <v>2919</v>
      </c>
      <c r="H945" s="5" t="s">
        <v>4127</v>
      </c>
      <c r="I945" s="5" t="s">
        <v>4128</v>
      </c>
      <c r="J945" s="5" t="s">
        <v>4129</v>
      </c>
      <c r="K945" s="5" t="s">
        <v>4130</v>
      </c>
      <c r="L945" s="11">
        <v>7</v>
      </c>
      <c r="M945" s="5" t="s">
        <v>1896</v>
      </c>
    </row>
    <row r="946" spans="2:13" ht="37.5" customHeight="1" x14ac:dyDescent="0.35">
      <c r="B946" s="12">
        <v>81</v>
      </c>
      <c r="C946" s="7" t="s">
        <v>4124</v>
      </c>
      <c r="D946" s="12">
        <v>2</v>
      </c>
      <c r="E946" s="7" t="s">
        <v>4131</v>
      </c>
      <c r="F946" s="7" t="s">
        <v>4132</v>
      </c>
      <c r="G946" s="7" t="s">
        <v>733</v>
      </c>
      <c r="H946" s="7" t="s">
        <v>37</v>
      </c>
      <c r="I946" s="7" t="s">
        <v>1676</v>
      </c>
      <c r="J946" s="7" t="s">
        <v>1579</v>
      </c>
      <c r="K946" s="7" t="s">
        <v>1764</v>
      </c>
      <c r="L946" s="12">
        <v>1</v>
      </c>
      <c r="M946" s="7" t="s">
        <v>1896</v>
      </c>
    </row>
    <row r="947" spans="2:13" ht="37.5" customHeight="1" x14ac:dyDescent="0.35">
      <c r="B947" s="11">
        <v>81</v>
      </c>
      <c r="C947" s="5" t="s">
        <v>4124</v>
      </c>
      <c r="D947" s="11">
        <v>3</v>
      </c>
      <c r="E947" s="5" t="s">
        <v>4133</v>
      </c>
      <c r="F947" s="5" t="s">
        <v>4134</v>
      </c>
      <c r="G947" s="5" t="s">
        <v>1290</v>
      </c>
      <c r="H947" s="5" t="s">
        <v>37</v>
      </c>
      <c r="I947" s="5" t="s">
        <v>1676</v>
      </c>
      <c r="J947" s="5" t="s">
        <v>1579</v>
      </c>
      <c r="K947" s="5" t="s">
        <v>1764</v>
      </c>
      <c r="L947" s="11">
        <v>1</v>
      </c>
      <c r="M947" s="5" t="s">
        <v>1896</v>
      </c>
    </row>
    <row r="948" spans="2:13" ht="67.5" customHeight="1" x14ac:dyDescent="0.35">
      <c r="B948" s="12">
        <v>81</v>
      </c>
      <c r="C948" s="7" t="s">
        <v>4124</v>
      </c>
      <c r="D948" s="12">
        <v>4</v>
      </c>
      <c r="E948" s="7" t="s">
        <v>4135</v>
      </c>
      <c r="F948" s="7" t="s">
        <v>4136</v>
      </c>
      <c r="G948" s="7" t="s">
        <v>625</v>
      </c>
      <c r="H948" s="7" t="s">
        <v>4137</v>
      </c>
      <c r="I948" s="7" t="s">
        <v>4138</v>
      </c>
      <c r="J948" s="7" t="s">
        <v>4139</v>
      </c>
      <c r="K948" s="7" t="s">
        <v>4140</v>
      </c>
      <c r="L948" s="12">
        <v>3</v>
      </c>
      <c r="M948" s="7" t="s">
        <v>1896</v>
      </c>
    </row>
    <row r="949" spans="2:13" ht="82.5" customHeight="1" x14ac:dyDescent="0.35">
      <c r="B949" s="11">
        <v>81</v>
      </c>
      <c r="C949" s="5" t="s">
        <v>4124</v>
      </c>
      <c r="D949" s="11">
        <v>5</v>
      </c>
      <c r="E949" s="5" t="s">
        <v>4141</v>
      </c>
      <c r="F949" s="5" t="s">
        <v>4142</v>
      </c>
      <c r="G949" s="5" t="s">
        <v>28</v>
      </c>
      <c r="H949" s="5" t="s">
        <v>4143</v>
      </c>
      <c r="I949" s="5" t="s">
        <v>4144</v>
      </c>
      <c r="J949" s="5" t="s">
        <v>4145</v>
      </c>
      <c r="K949" s="5" t="s">
        <v>4146</v>
      </c>
      <c r="L949" s="11">
        <v>4</v>
      </c>
      <c r="M949" s="5" t="s">
        <v>1896</v>
      </c>
    </row>
    <row r="950" spans="2:13" ht="37.5" customHeight="1" x14ac:dyDescent="0.35">
      <c r="B950" s="12">
        <v>81</v>
      </c>
      <c r="C950" s="7" t="s">
        <v>4124</v>
      </c>
      <c r="D950" s="12">
        <v>6</v>
      </c>
      <c r="E950" s="7" t="s">
        <v>4147</v>
      </c>
      <c r="F950" s="7" t="s">
        <v>4148</v>
      </c>
      <c r="G950" s="7" t="s">
        <v>653</v>
      </c>
      <c r="H950" s="7" t="s">
        <v>1948</v>
      </c>
      <c r="I950" s="7" t="s">
        <v>1949</v>
      </c>
      <c r="J950" s="7" t="s">
        <v>233</v>
      </c>
      <c r="K950" s="7" t="s">
        <v>4149</v>
      </c>
      <c r="L950" s="12">
        <v>1</v>
      </c>
      <c r="M950" s="7" t="s">
        <v>1896</v>
      </c>
    </row>
    <row r="951" spans="2:13" ht="37.5" customHeight="1" x14ac:dyDescent="0.35">
      <c r="B951" s="11">
        <v>81</v>
      </c>
      <c r="C951" s="5" t="s">
        <v>4124</v>
      </c>
      <c r="D951" s="11">
        <v>7</v>
      </c>
      <c r="E951" s="5" t="s">
        <v>4150</v>
      </c>
      <c r="F951" s="5" t="s">
        <v>4151</v>
      </c>
      <c r="G951" s="5" t="s">
        <v>212</v>
      </c>
      <c r="H951" s="5" t="s">
        <v>403</v>
      </c>
      <c r="I951" s="5" t="s">
        <v>52</v>
      </c>
      <c r="J951" s="5" t="s">
        <v>233</v>
      </c>
      <c r="K951" s="5" t="s">
        <v>4152</v>
      </c>
      <c r="L951" s="11">
        <v>1</v>
      </c>
      <c r="M951" s="5" t="s">
        <v>1896</v>
      </c>
    </row>
    <row r="952" spans="2:13" ht="37.5" customHeight="1" x14ac:dyDescent="0.35">
      <c r="B952" s="12">
        <v>81</v>
      </c>
      <c r="C952" s="7" t="s">
        <v>4124</v>
      </c>
      <c r="D952" s="12">
        <v>8</v>
      </c>
      <c r="E952" s="7" t="s">
        <v>4153</v>
      </c>
      <c r="F952" s="7" t="s">
        <v>4154</v>
      </c>
      <c r="G952" s="7" t="s">
        <v>4155</v>
      </c>
      <c r="H952" s="7" t="s">
        <v>403</v>
      </c>
      <c r="I952" s="7" t="s">
        <v>52</v>
      </c>
      <c r="J952" s="7" t="s">
        <v>233</v>
      </c>
      <c r="K952" s="7" t="s">
        <v>4152</v>
      </c>
      <c r="L952" s="12">
        <v>1</v>
      </c>
      <c r="M952" s="7" t="s">
        <v>1896</v>
      </c>
    </row>
    <row r="953" spans="2:13" ht="37.5" customHeight="1" x14ac:dyDescent="0.35">
      <c r="B953" s="11">
        <v>81</v>
      </c>
      <c r="C953" s="5" t="s">
        <v>4124</v>
      </c>
      <c r="D953" s="11">
        <v>9</v>
      </c>
      <c r="E953" s="5" t="s">
        <v>4156</v>
      </c>
      <c r="F953" s="5" t="s">
        <v>4157</v>
      </c>
      <c r="G953" s="5" t="s">
        <v>26</v>
      </c>
      <c r="H953" s="5" t="s">
        <v>403</v>
      </c>
      <c r="I953" s="5" t="s">
        <v>52</v>
      </c>
      <c r="J953" s="5" t="s">
        <v>233</v>
      </c>
      <c r="K953" s="5" t="s">
        <v>4152</v>
      </c>
      <c r="L953" s="11">
        <v>1</v>
      </c>
      <c r="M953" s="5" t="s">
        <v>1896</v>
      </c>
    </row>
    <row r="954" spans="2:13" ht="37.5" customHeight="1" x14ac:dyDescent="0.35">
      <c r="B954" s="12">
        <v>81</v>
      </c>
      <c r="C954" s="7" t="s">
        <v>4124</v>
      </c>
      <c r="D954" s="12">
        <v>10</v>
      </c>
      <c r="E954" s="7" t="s">
        <v>4158</v>
      </c>
      <c r="F954" s="7" t="s">
        <v>4159</v>
      </c>
      <c r="G954" s="7" t="s">
        <v>249</v>
      </c>
      <c r="H954" s="7" t="s">
        <v>37</v>
      </c>
      <c r="I954" s="7" t="s">
        <v>1264</v>
      </c>
      <c r="J954" s="7" t="s">
        <v>1579</v>
      </c>
      <c r="K954" s="7" t="s">
        <v>4160</v>
      </c>
      <c r="L954" s="12">
        <v>1</v>
      </c>
      <c r="M954" s="7" t="s">
        <v>1896</v>
      </c>
    </row>
    <row r="955" spans="2:13" ht="37.5" customHeight="1" x14ac:dyDescent="0.35">
      <c r="B955" s="11">
        <v>81</v>
      </c>
      <c r="C955" s="5" t="s">
        <v>4124</v>
      </c>
      <c r="D955" s="11">
        <v>11</v>
      </c>
      <c r="E955" s="5" t="s">
        <v>4161</v>
      </c>
      <c r="F955" s="5" t="s">
        <v>4162</v>
      </c>
      <c r="G955" s="5" t="s">
        <v>788</v>
      </c>
      <c r="H955" s="5" t="s">
        <v>37</v>
      </c>
      <c r="I955" s="5" t="s">
        <v>1264</v>
      </c>
      <c r="J955" s="5" t="s">
        <v>1579</v>
      </c>
      <c r="K955" s="5" t="s">
        <v>4160</v>
      </c>
      <c r="L955" s="11">
        <v>1</v>
      </c>
      <c r="M955" s="5" t="s">
        <v>1896</v>
      </c>
    </row>
    <row r="956" spans="2:13" ht="37.5" customHeight="1" x14ac:dyDescent="0.35">
      <c r="B956" s="12">
        <v>81</v>
      </c>
      <c r="C956" s="7" t="s">
        <v>4124</v>
      </c>
      <c r="D956" s="12">
        <v>12</v>
      </c>
      <c r="E956" s="7" t="s">
        <v>4163</v>
      </c>
      <c r="F956" s="7" t="s">
        <v>4164</v>
      </c>
      <c r="G956" s="7" t="s">
        <v>224</v>
      </c>
      <c r="H956" s="7" t="s">
        <v>306</v>
      </c>
      <c r="I956" s="7" t="s">
        <v>4165</v>
      </c>
      <c r="J956" s="7" t="s">
        <v>4166</v>
      </c>
      <c r="K956" s="7" t="s">
        <v>4167</v>
      </c>
      <c r="L956" s="12">
        <v>2</v>
      </c>
      <c r="M956" s="7" t="s">
        <v>1896</v>
      </c>
    </row>
    <row r="957" spans="2:13" ht="37.5" customHeight="1" x14ac:dyDescent="0.35">
      <c r="B957" s="11">
        <v>81</v>
      </c>
      <c r="C957" s="5" t="s">
        <v>4124</v>
      </c>
      <c r="D957" s="11">
        <v>13</v>
      </c>
      <c r="E957" s="5" t="s">
        <v>4168</v>
      </c>
      <c r="F957" s="5" t="s">
        <v>4169</v>
      </c>
      <c r="G957" s="5" t="s">
        <v>1244</v>
      </c>
      <c r="H957" s="5" t="s">
        <v>36</v>
      </c>
      <c r="I957" s="5" t="s">
        <v>4170</v>
      </c>
      <c r="J957" s="5" t="s">
        <v>4171</v>
      </c>
      <c r="K957" s="5" t="s">
        <v>4172</v>
      </c>
      <c r="L957" s="11">
        <v>2</v>
      </c>
      <c r="M957" s="5" t="s">
        <v>1896</v>
      </c>
    </row>
    <row r="958" spans="2:13" ht="37.5" customHeight="1" x14ac:dyDescent="0.35">
      <c r="B958" s="12">
        <v>81</v>
      </c>
      <c r="C958" s="7" t="s">
        <v>4124</v>
      </c>
      <c r="D958" s="12">
        <v>14</v>
      </c>
      <c r="E958" s="7" t="s">
        <v>4173</v>
      </c>
      <c r="F958" s="7" t="s">
        <v>4174</v>
      </c>
      <c r="G958" s="7" t="s">
        <v>4175</v>
      </c>
      <c r="H958" s="7" t="s">
        <v>37</v>
      </c>
      <c r="I958" s="7" t="s">
        <v>998</v>
      </c>
      <c r="J958" s="7" t="s">
        <v>1579</v>
      </c>
      <c r="K958" s="7" t="s">
        <v>4176</v>
      </c>
      <c r="L958" s="12">
        <v>1</v>
      </c>
      <c r="M958" s="7" t="s">
        <v>1896</v>
      </c>
    </row>
    <row r="959" spans="2:13" ht="37.5" customHeight="1" x14ac:dyDescent="0.35">
      <c r="B959" s="11">
        <v>81</v>
      </c>
      <c r="C959" s="5" t="s">
        <v>4124</v>
      </c>
      <c r="D959" s="11">
        <v>15</v>
      </c>
      <c r="E959" s="5" t="s">
        <v>4177</v>
      </c>
      <c r="F959" s="5" t="s">
        <v>4178</v>
      </c>
      <c r="G959" s="5" t="s">
        <v>856</v>
      </c>
      <c r="H959" s="5" t="s">
        <v>301</v>
      </c>
      <c r="I959" s="5" t="s">
        <v>4179</v>
      </c>
      <c r="J959" s="5" t="s">
        <v>4180</v>
      </c>
      <c r="K959" s="5" t="s">
        <v>4181</v>
      </c>
      <c r="L959" s="11">
        <v>2</v>
      </c>
      <c r="M959" s="5" t="s">
        <v>1896</v>
      </c>
    </row>
    <row r="960" spans="2:13" ht="37.5" customHeight="1" x14ac:dyDescent="0.35">
      <c r="B960" s="12">
        <v>81</v>
      </c>
      <c r="C960" s="7" t="s">
        <v>4124</v>
      </c>
      <c r="D960" s="12">
        <v>16</v>
      </c>
      <c r="E960" s="7" t="s">
        <v>4182</v>
      </c>
      <c r="F960" s="7" t="s">
        <v>4183</v>
      </c>
      <c r="G960" s="7" t="s">
        <v>810</v>
      </c>
      <c r="H960" s="7" t="s">
        <v>1448</v>
      </c>
      <c r="I960" s="7" t="s">
        <v>4184</v>
      </c>
      <c r="J960" s="7" t="s">
        <v>4185</v>
      </c>
      <c r="K960" s="7" t="s">
        <v>4186</v>
      </c>
      <c r="L960" s="12">
        <v>2</v>
      </c>
      <c r="M960" s="7" t="s">
        <v>1896</v>
      </c>
    </row>
    <row r="961" spans="2:13" ht="37.5" customHeight="1" x14ac:dyDescent="0.35">
      <c r="B961" s="11">
        <v>81</v>
      </c>
      <c r="C961" s="5" t="s">
        <v>4124</v>
      </c>
      <c r="D961" s="11">
        <v>17</v>
      </c>
      <c r="E961" s="5" t="s">
        <v>4187</v>
      </c>
      <c r="F961" s="5" t="s">
        <v>4188</v>
      </c>
      <c r="G961" s="5" t="s">
        <v>4189</v>
      </c>
      <c r="H961" s="5" t="s">
        <v>1448</v>
      </c>
      <c r="I961" s="5" t="s">
        <v>4184</v>
      </c>
      <c r="J961" s="5" t="s">
        <v>4190</v>
      </c>
      <c r="K961" s="5" t="s">
        <v>4191</v>
      </c>
      <c r="L961" s="11">
        <v>2</v>
      </c>
      <c r="M961" s="5" t="s">
        <v>1896</v>
      </c>
    </row>
    <row r="962" spans="2:13" ht="67.5" customHeight="1" x14ac:dyDescent="0.35">
      <c r="B962" s="12">
        <v>81</v>
      </c>
      <c r="C962" s="7" t="s">
        <v>4124</v>
      </c>
      <c r="D962" s="12">
        <v>18</v>
      </c>
      <c r="E962" s="7" t="s">
        <v>4192</v>
      </c>
      <c r="F962" s="7" t="s">
        <v>4193</v>
      </c>
      <c r="G962" s="7" t="s">
        <v>25</v>
      </c>
      <c r="H962" s="7" t="s">
        <v>4194</v>
      </c>
      <c r="I962" s="7" t="s">
        <v>4195</v>
      </c>
      <c r="J962" s="7" t="s">
        <v>4196</v>
      </c>
      <c r="K962" s="7" t="s">
        <v>4197</v>
      </c>
      <c r="L962" s="12">
        <v>4</v>
      </c>
      <c r="M962" s="7" t="s">
        <v>1896</v>
      </c>
    </row>
    <row r="963" spans="2:13" ht="37.5" customHeight="1" x14ac:dyDescent="0.35">
      <c r="B963" s="11">
        <v>81</v>
      </c>
      <c r="C963" s="5" t="s">
        <v>4124</v>
      </c>
      <c r="D963" s="11">
        <v>19</v>
      </c>
      <c r="E963" s="5" t="s">
        <v>4198</v>
      </c>
      <c r="F963" s="5" t="s">
        <v>4199</v>
      </c>
      <c r="G963" s="5" t="s">
        <v>1180</v>
      </c>
      <c r="H963" s="5" t="s">
        <v>37</v>
      </c>
      <c r="I963" s="5" t="s">
        <v>998</v>
      </c>
      <c r="J963" s="5" t="s">
        <v>1579</v>
      </c>
      <c r="K963" s="5" t="s">
        <v>4176</v>
      </c>
      <c r="L963" s="11">
        <v>1</v>
      </c>
      <c r="M963" s="5" t="s">
        <v>1896</v>
      </c>
    </row>
    <row r="964" spans="2:13" ht="37.5" customHeight="1" x14ac:dyDescent="0.35">
      <c r="B964" s="12">
        <v>81</v>
      </c>
      <c r="C964" s="7" t="s">
        <v>4124</v>
      </c>
      <c r="D964" s="12">
        <v>20</v>
      </c>
      <c r="E964" s="7" t="s">
        <v>4200</v>
      </c>
      <c r="F964" s="7" t="s">
        <v>4201</v>
      </c>
      <c r="G964" s="7" t="s">
        <v>402</v>
      </c>
      <c r="H964" s="7" t="s">
        <v>37</v>
      </c>
      <c r="I964" s="7" t="s">
        <v>998</v>
      </c>
      <c r="J964" s="7" t="s">
        <v>1579</v>
      </c>
      <c r="K964" s="7" t="s">
        <v>4176</v>
      </c>
      <c r="L964" s="12">
        <v>1</v>
      </c>
      <c r="M964" s="7" t="s">
        <v>1896</v>
      </c>
    </row>
    <row r="965" spans="2:13" ht="37.5" customHeight="1" x14ac:dyDescent="0.35">
      <c r="B965" s="11">
        <v>81</v>
      </c>
      <c r="C965" s="5" t="s">
        <v>4124</v>
      </c>
      <c r="D965" s="11">
        <v>21</v>
      </c>
      <c r="E965" s="5" t="s">
        <v>4202</v>
      </c>
      <c r="F965" s="5" t="s">
        <v>4203</v>
      </c>
      <c r="G965" s="5" t="s">
        <v>1161</v>
      </c>
      <c r="H965" s="5" t="s">
        <v>1320</v>
      </c>
      <c r="I965" s="5" t="s">
        <v>1799</v>
      </c>
      <c r="J965" s="5" t="s">
        <v>4190</v>
      </c>
      <c r="K965" s="5" t="s">
        <v>4204</v>
      </c>
      <c r="L965" s="11">
        <v>2</v>
      </c>
      <c r="M965" s="5" t="s">
        <v>1896</v>
      </c>
    </row>
    <row r="966" spans="2:13" ht="37.5" customHeight="1" x14ac:dyDescent="0.35">
      <c r="B966" s="12">
        <v>81</v>
      </c>
      <c r="C966" s="7" t="s">
        <v>4124</v>
      </c>
      <c r="D966" s="12">
        <v>22</v>
      </c>
      <c r="E966" s="7" t="s">
        <v>4205</v>
      </c>
      <c r="F966" s="7" t="s">
        <v>4206</v>
      </c>
      <c r="G966" s="7" t="s">
        <v>395</v>
      </c>
      <c r="H966" s="7" t="s">
        <v>37</v>
      </c>
      <c r="I966" s="7" t="s">
        <v>998</v>
      </c>
      <c r="J966" s="7" t="s">
        <v>1579</v>
      </c>
      <c r="K966" s="7" t="s">
        <v>4176</v>
      </c>
      <c r="L966" s="12">
        <v>1</v>
      </c>
      <c r="M966" s="7" t="s">
        <v>1896</v>
      </c>
    </row>
    <row r="967" spans="2:13" ht="37.5" customHeight="1" x14ac:dyDescent="0.35">
      <c r="B967" s="11">
        <v>81</v>
      </c>
      <c r="C967" s="5" t="s">
        <v>4124</v>
      </c>
      <c r="D967" s="11">
        <v>23</v>
      </c>
      <c r="E967" s="5" t="s">
        <v>4207</v>
      </c>
      <c r="F967" s="5" t="s">
        <v>4208</v>
      </c>
      <c r="G967" s="5" t="s">
        <v>752</v>
      </c>
      <c r="H967" s="5" t="s">
        <v>37</v>
      </c>
      <c r="I967" s="5" t="s">
        <v>998</v>
      </c>
      <c r="J967" s="5" t="s">
        <v>1579</v>
      </c>
      <c r="K967" s="5" t="s">
        <v>4176</v>
      </c>
      <c r="L967" s="11">
        <v>1</v>
      </c>
      <c r="M967" s="5" t="s">
        <v>1896</v>
      </c>
    </row>
    <row r="968" spans="2:13" ht="37.5" customHeight="1" x14ac:dyDescent="0.35">
      <c r="B968" s="12">
        <v>81</v>
      </c>
      <c r="C968" s="7" t="s">
        <v>4124</v>
      </c>
      <c r="D968" s="12">
        <v>24</v>
      </c>
      <c r="E968" s="7" t="s">
        <v>4209</v>
      </c>
      <c r="F968" s="7" t="s">
        <v>4210</v>
      </c>
      <c r="G968" s="7" t="s">
        <v>701</v>
      </c>
      <c r="H968" s="7" t="s">
        <v>37</v>
      </c>
      <c r="I968" s="7" t="s">
        <v>998</v>
      </c>
      <c r="J968" s="7" t="s">
        <v>1579</v>
      </c>
      <c r="K968" s="7" t="s">
        <v>4176</v>
      </c>
      <c r="L968" s="12">
        <v>1</v>
      </c>
      <c r="M968" s="7" t="s">
        <v>1896</v>
      </c>
    </row>
    <row r="969" spans="2:13" ht="37.5" customHeight="1" x14ac:dyDescent="0.35">
      <c r="B969" s="11">
        <v>81</v>
      </c>
      <c r="C969" s="5" t="s">
        <v>4124</v>
      </c>
      <c r="D969" s="11">
        <v>25</v>
      </c>
      <c r="E969" s="5" t="s">
        <v>4211</v>
      </c>
      <c r="F969" s="5" t="s">
        <v>4212</v>
      </c>
      <c r="G969" s="5" t="s">
        <v>4213</v>
      </c>
      <c r="H969" s="5" t="s">
        <v>306</v>
      </c>
      <c r="I969" s="5" t="s">
        <v>4214</v>
      </c>
      <c r="J969" s="5" t="s">
        <v>4171</v>
      </c>
      <c r="K969" s="5" t="s">
        <v>4215</v>
      </c>
      <c r="L969" s="11">
        <v>2</v>
      </c>
      <c r="M969" s="5" t="s">
        <v>1896</v>
      </c>
    </row>
    <row r="970" spans="2:13" ht="82.5" customHeight="1" x14ac:dyDescent="0.35">
      <c r="B970" s="12">
        <v>81</v>
      </c>
      <c r="C970" s="7" t="s">
        <v>4124</v>
      </c>
      <c r="D970" s="12">
        <v>26</v>
      </c>
      <c r="E970" s="7" t="s">
        <v>4216</v>
      </c>
      <c r="F970" s="7" t="s">
        <v>4217</v>
      </c>
      <c r="G970" s="7" t="s">
        <v>30</v>
      </c>
      <c r="H970" s="7" t="s">
        <v>4218</v>
      </c>
      <c r="I970" s="7" t="s">
        <v>4219</v>
      </c>
      <c r="J970" s="7" t="s">
        <v>4220</v>
      </c>
      <c r="K970" s="7" t="s">
        <v>4221</v>
      </c>
      <c r="L970" s="12">
        <v>4</v>
      </c>
      <c r="M970" s="7" t="s">
        <v>1896</v>
      </c>
    </row>
    <row r="971" spans="2:13" ht="37.5" customHeight="1" x14ac:dyDescent="0.35">
      <c r="B971" s="11">
        <v>81</v>
      </c>
      <c r="C971" s="5" t="s">
        <v>4124</v>
      </c>
      <c r="D971" s="11">
        <v>27</v>
      </c>
      <c r="E971" s="5" t="s">
        <v>4222</v>
      </c>
      <c r="F971" s="5" t="s">
        <v>4223</v>
      </c>
      <c r="G971" s="5" t="s">
        <v>33</v>
      </c>
      <c r="H971" s="5" t="s">
        <v>838</v>
      </c>
      <c r="I971" s="5" t="s">
        <v>52</v>
      </c>
      <c r="J971" s="5" t="s">
        <v>233</v>
      </c>
      <c r="K971" s="5" t="s">
        <v>4224</v>
      </c>
      <c r="L971" s="11">
        <v>1</v>
      </c>
      <c r="M971" s="5" t="s">
        <v>1896</v>
      </c>
    </row>
    <row r="972" spans="2:13" ht="37.5" customHeight="1" x14ac:dyDescent="0.35">
      <c r="B972" s="12">
        <v>81</v>
      </c>
      <c r="C972" s="7" t="s">
        <v>4124</v>
      </c>
      <c r="D972" s="12">
        <v>28</v>
      </c>
      <c r="E972" s="7" t="s">
        <v>4225</v>
      </c>
      <c r="F972" s="7" t="s">
        <v>4226</v>
      </c>
      <c r="G972" s="7" t="s">
        <v>4227</v>
      </c>
      <c r="H972" s="7" t="s">
        <v>838</v>
      </c>
      <c r="I972" s="7" t="s">
        <v>52</v>
      </c>
      <c r="J972" s="7" t="s">
        <v>233</v>
      </c>
      <c r="K972" s="7" t="s">
        <v>4224</v>
      </c>
      <c r="L972" s="12">
        <v>1</v>
      </c>
      <c r="M972" s="7" t="s">
        <v>1896</v>
      </c>
    </row>
    <row r="973" spans="2:13" ht="37.5" customHeight="1" x14ac:dyDescent="0.35">
      <c r="B973" s="11">
        <v>81</v>
      </c>
      <c r="C973" s="5" t="s">
        <v>4124</v>
      </c>
      <c r="D973" s="11">
        <v>29</v>
      </c>
      <c r="E973" s="5" t="s">
        <v>4228</v>
      </c>
      <c r="F973" s="5" t="s">
        <v>4229</v>
      </c>
      <c r="G973" s="5" t="s">
        <v>552</v>
      </c>
      <c r="H973" s="5" t="s">
        <v>838</v>
      </c>
      <c r="I973" s="5" t="s">
        <v>52</v>
      </c>
      <c r="J973" s="5" t="s">
        <v>233</v>
      </c>
      <c r="K973" s="5" t="s">
        <v>4224</v>
      </c>
      <c r="L973" s="11">
        <v>1</v>
      </c>
      <c r="M973" s="5" t="s">
        <v>1896</v>
      </c>
    </row>
    <row r="974" spans="2:13" ht="37.5" customHeight="1" x14ac:dyDescent="0.35">
      <c r="B974" s="12">
        <v>81</v>
      </c>
      <c r="C974" s="7" t="s">
        <v>4124</v>
      </c>
      <c r="D974" s="12">
        <v>30</v>
      </c>
      <c r="E974" s="7" t="s">
        <v>4230</v>
      </c>
      <c r="F974" s="7" t="s">
        <v>4231</v>
      </c>
      <c r="G974" s="7" t="s">
        <v>557</v>
      </c>
      <c r="H974" s="7" t="s">
        <v>838</v>
      </c>
      <c r="I974" s="7" t="s">
        <v>52</v>
      </c>
      <c r="J974" s="7" t="s">
        <v>233</v>
      </c>
      <c r="K974" s="7" t="s">
        <v>4224</v>
      </c>
      <c r="L974" s="12">
        <v>1</v>
      </c>
      <c r="M974" s="7" t="s">
        <v>1896</v>
      </c>
    </row>
    <row r="975" spans="2:13" ht="37.5" customHeight="1" x14ac:dyDescent="0.35">
      <c r="B975" s="11">
        <v>81</v>
      </c>
      <c r="C975" s="5" t="s">
        <v>4124</v>
      </c>
      <c r="D975" s="11">
        <v>31</v>
      </c>
      <c r="E975" s="5" t="s">
        <v>4232</v>
      </c>
      <c r="F975" s="5" t="s">
        <v>4233</v>
      </c>
      <c r="G975" s="5" t="s">
        <v>1127</v>
      </c>
      <c r="H975" s="5" t="s">
        <v>838</v>
      </c>
      <c r="I975" s="5" t="s">
        <v>52</v>
      </c>
      <c r="J975" s="5" t="s">
        <v>233</v>
      </c>
      <c r="K975" s="5" t="s">
        <v>4224</v>
      </c>
      <c r="L975" s="11">
        <v>1</v>
      </c>
      <c r="M975" s="5" t="s">
        <v>1896</v>
      </c>
    </row>
    <row r="976" spans="2:13" ht="37.5" customHeight="1" x14ac:dyDescent="0.35">
      <c r="B976" s="12">
        <v>81</v>
      </c>
      <c r="C976" s="7" t="s">
        <v>4124</v>
      </c>
      <c r="D976" s="12">
        <v>32</v>
      </c>
      <c r="E976" s="7" t="s">
        <v>4234</v>
      </c>
      <c r="F976" s="7" t="s">
        <v>4235</v>
      </c>
      <c r="G976" s="7" t="s">
        <v>749</v>
      </c>
      <c r="H976" s="7" t="s">
        <v>838</v>
      </c>
      <c r="I976" s="7" t="s">
        <v>52</v>
      </c>
      <c r="J976" s="7" t="s">
        <v>233</v>
      </c>
      <c r="K976" s="7" t="s">
        <v>4224</v>
      </c>
      <c r="L976" s="12">
        <v>1</v>
      </c>
      <c r="M976" s="7" t="s">
        <v>1896</v>
      </c>
    </row>
    <row r="977" spans="2:13" ht="37.5" customHeight="1" x14ac:dyDescent="0.35">
      <c r="B977" s="11">
        <v>81</v>
      </c>
      <c r="C977" s="5" t="s">
        <v>4124</v>
      </c>
      <c r="D977" s="11">
        <v>33</v>
      </c>
      <c r="E977" s="5" t="s">
        <v>4236</v>
      </c>
      <c r="F977" s="5" t="s">
        <v>4237</v>
      </c>
      <c r="G977" s="5" t="s">
        <v>662</v>
      </c>
      <c r="H977" s="5" t="s">
        <v>838</v>
      </c>
      <c r="I977" s="5" t="s">
        <v>52</v>
      </c>
      <c r="J977" s="5" t="s">
        <v>233</v>
      </c>
      <c r="K977" s="5" t="s">
        <v>4224</v>
      </c>
      <c r="L977" s="11">
        <v>1</v>
      </c>
      <c r="M977" s="5" t="s">
        <v>1896</v>
      </c>
    </row>
    <row r="978" spans="2:13" ht="37.5" customHeight="1" x14ac:dyDescent="0.35">
      <c r="B978" s="12">
        <v>81</v>
      </c>
      <c r="C978" s="7" t="s">
        <v>4124</v>
      </c>
      <c r="D978" s="12">
        <v>34</v>
      </c>
      <c r="E978" s="7" t="s">
        <v>4238</v>
      </c>
      <c r="F978" s="7" t="s">
        <v>4239</v>
      </c>
      <c r="G978" s="7" t="s">
        <v>358</v>
      </c>
      <c r="H978" s="7" t="s">
        <v>1948</v>
      </c>
      <c r="I978" s="7" t="s">
        <v>1949</v>
      </c>
      <c r="J978" s="7" t="s">
        <v>233</v>
      </c>
      <c r="K978" s="7" t="s">
        <v>4149</v>
      </c>
      <c r="L978" s="12">
        <v>1</v>
      </c>
      <c r="M978" s="7" t="s">
        <v>1896</v>
      </c>
    </row>
    <row r="979" spans="2:13" ht="37.5" customHeight="1" x14ac:dyDescent="0.35">
      <c r="B979" s="11">
        <v>81</v>
      </c>
      <c r="C979" s="5" t="s">
        <v>4124</v>
      </c>
      <c r="D979" s="11">
        <v>35</v>
      </c>
      <c r="E979" s="5" t="s">
        <v>4240</v>
      </c>
      <c r="F979" s="5" t="s">
        <v>4241</v>
      </c>
      <c r="G979" s="5" t="s">
        <v>31</v>
      </c>
      <c r="H979" s="5" t="s">
        <v>1948</v>
      </c>
      <c r="I979" s="5" t="s">
        <v>1949</v>
      </c>
      <c r="J979" s="5" t="s">
        <v>233</v>
      </c>
      <c r="K979" s="5" t="s">
        <v>4149</v>
      </c>
      <c r="L979" s="11">
        <v>1</v>
      </c>
      <c r="M979" s="5" t="s">
        <v>1896</v>
      </c>
    </row>
    <row r="980" spans="2:13" ht="37.5" customHeight="1" x14ac:dyDescent="0.35">
      <c r="B980" s="12">
        <v>81</v>
      </c>
      <c r="C980" s="7" t="s">
        <v>4124</v>
      </c>
      <c r="D980" s="12">
        <v>36</v>
      </c>
      <c r="E980" s="7" t="s">
        <v>4242</v>
      </c>
      <c r="F980" s="7" t="s">
        <v>4243</v>
      </c>
      <c r="G980" s="7" t="s">
        <v>749</v>
      </c>
      <c r="H980" s="7" t="s">
        <v>838</v>
      </c>
      <c r="I980" s="7" t="s">
        <v>52</v>
      </c>
      <c r="J980" s="7" t="s">
        <v>233</v>
      </c>
      <c r="K980" s="7" t="s">
        <v>4224</v>
      </c>
      <c r="L980" s="12">
        <v>1</v>
      </c>
      <c r="M980" s="7" t="s">
        <v>1896</v>
      </c>
    </row>
    <row r="981" spans="2:13" ht="37.5" customHeight="1" x14ac:dyDescent="0.35">
      <c r="B981" s="11">
        <v>81</v>
      </c>
      <c r="C981" s="5" t="s">
        <v>4124</v>
      </c>
      <c r="D981" s="11">
        <v>37</v>
      </c>
      <c r="E981" s="5" t="s">
        <v>4244</v>
      </c>
      <c r="F981" s="5" t="s">
        <v>4245</v>
      </c>
      <c r="G981" s="5" t="s">
        <v>862</v>
      </c>
      <c r="H981" s="5" t="s">
        <v>838</v>
      </c>
      <c r="I981" s="5" t="s">
        <v>52</v>
      </c>
      <c r="J981" s="5" t="s">
        <v>233</v>
      </c>
      <c r="K981" s="5" t="s">
        <v>4224</v>
      </c>
      <c r="L981" s="11">
        <v>1</v>
      </c>
      <c r="M981" s="5" t="s">
        <v>1896</v>
      </c>
    </row>
    <row r="982" spans="2:13" ht="37.5" customHeight="1" x14ac:dyDescent="0.35">
      <c r="B982" s="12">
        <v>81</v>
      </c>
      <c r="C982" s="7" t="s">
        <v>4124</v>
      </c>
      <c r="D982" s="12">
        <v>38</v>
      </c>
      <c r="E982" s="7" t="s">
        <v>4246</v>
      </c>
      <c r="F982" s="7" t="s">
        <v>4247</v>
      </c>
      <c r="G982" s="7" t="s">
        <v>1784</v>
      </c>
      <c r="H982" s="7" t="s">
        <v>37</v>
      </c>
      <c r="I982" s="7" t="s">
        <v>1191</v>
      </c>
      <c r="J982" s="7" t="s">
        <v>1579</v>
      </c>
      <c r="K982" s="7" t="s">
        <v>4248</v>
      </c>
      <c r="L982" s="12">
        <v>1</v>
      </c>
      <c r="M982" s="7" t="s">
        <v>1896</v>
      </c>
    </row>
    <row r="983" spans="2:13" ht="37.5" customHeight="1" x14ac:dyDescent="0.35">
      <c r="B983" s="11">
        <v>81</v>
      </c>
      <c r="C983" s="5" t="s">
        <v>4124</v>
      </c>
      <c r="D983" s="11">
        <v>39</v>
      </c>
      <c r="E983" s="5" t="s">
        <v>4249</v>
      </c>
      <c r="F983" s="5" t="s">
        <v>4250</v>
      </c>
      <c r="G983" s="5" t="s">
        <v>1269</v>
      </c>
      <c r="H983" s="5" t="s">
        <v>1448</v>
      </c>
      <c r="I983" s="5" t="s">
        <v>4251</v>
      </c>
      <c r="J983" s="5" t="s">
        <v>4190</v>
      </c>
      <c r="K983" s="5" t="s">
        <v>4252</v>
      </c>
      <c r="L983" s="11">
        <v>2</v>
      </c>
      <c r="M983" s="5" t="s">
        <v>1896</v>
      </c>
    </row>
    <row r="984" spans="2:13" ht="37.5" customHeight="1" x14ac:dyDescent="0.35">
      <c r="B984" s="12">
        <v>81</v>
      </c>
      <c r="C984" s="7" t="s">
        <v>4124</v>
      </c>
      <c r="D984" s="12">
        <v>40</v>
      </c>
      <c r="E984" s="7" t="s">
        <v>4253</v>
      </c>
      <c r="F984" s="7" t="s">
        <v>4254</v>
      </c>
      <c r="G984" s="7" t="s">
        <v>4255</v>
      </c>
      <c r="H984" s="7" t="s">
        <v>37</v>
      </c>
      <c r="I984" s="7" t="s">
        <v>1191</v>
      </c>
      <c r="J984" s="7" t="s">
        <v>1579</v>
      </c>
      <c r="K984" s="7" t="s">
        <v>4248</v>
      </c>
      <c r="L984" s="12">
        <v>1</v>
      </c>
      <c r="M984" s="7" t="s">
        <v>1896</v>
      </c>
    </row>
    <row r="985" spans="2:13" ht="37.5" customHeight="1" x14ac:dyDescent="0.35">
      <c r="B985" s="11">
        <v>81</v>
      </c>
      <c r="C985" s="5" t="s">
        <v>4124</v>
      </c>
      <c r="D985" s="11">
        <v>41</v>
      </c>
      <c r="E985" s="5" t="s">
        <v>4256</v>
      </c>
      <c r="F985" s="5" t="s">
        <v>4257</v>
      </c>
      <c r="G985" s="5" t="s">
        <v>1252</v>
      </c>
      <c r="H985" s="5" t="s">
        <v>37</v>
      </c>
      <c r="I985" s="5" t="s">
        <v>1191</v>
      </c>
      <c r="J985" s="5" t="s">
        <v>1579</v>
      </c>
      <c r="K985" s="5" t="s">
        <v>4248</v>
      </c>
      <c r="L985" s="11">
        <v>1</v>
      </c>
      <c r="M985" s="5" t="s">
        <v>1896</v>
      </c>
    </row>
    <row r="986" spans="2:13" ht="67.5" customHeight="1" x14ac:dyDescent="0.35">
      <c r="B986" s="12">
        <v>81</v>
      </c>
      <c r="C986" s="7" t="s">
        <v>4124</v>
      </c>
      <c r="D986" s="12">
        <v>42</v>
      </c>
      <c r="E986" s="7" t="s">
        <v>4258</v>
      </c>
      <c r="F986" s="7" t="s">
        <v>4259</v>
      </c>
      <c r="G986" s="7" t="s">
        <v>4260</v>
      </c>
      <c r="H986" s="7" t="s">
        <v>4261</v>
      </c>
      <c r="I986" s="7" t="s">
        <v>4262</v>
      </c>
      <c r="J986" s="7" t="s">
        <v>4190</v>
      </c>
      <c r="K986" s="7" t="s">
        <v>4263</v>
      </c>
      <c r="L986" s="12">
        <v>3</v>
      </c>
      <c r="M986" s="7" t="s">
        <v>1896</v>
      </c>
    </row>
    <row r="987" spans="2:13" ht="37.5" customHeight="1" x14ac:dyDescent="0.35">
      <c r="B987" s="11">
        <v>81</v>
      </c>
      <c r="C987" s="5" t="s">
        <v>4124</v>
      </c>
      <c r="D987" s="11">
        <v>43</v>
      </c>
      <c r="E987" s="5" t="s">
        <v>4264</v>
      </c>
      <c r="F987" s="5" t="s">
        <v>4265</v>
      </c>
      <c r="G987" s="5" t="s">
        <v>24</v>
      </c>
      <c r="H987" s="5" t="s">
        <v>306</v>
      </c>
      <c r="I987" s="5" t="s">
        <v>4266</v>
      </c>
      <c r="J987" s="5" t="s">
        <v>4171</v>
      </c>
      <c r="K987" s="5" t="s">
        <v>4267</v>
      </c>
      <c r="L987" s="11">
        <v>2</v>
      </c>
      <c r="M987" s="5" t="s">
        <v>1896</v>
      </c>
    </row>
    <row r="988" spans="2:13" ht="37.5" customHeight="1" x14ac:dyDescent="0.35">
      <c r="B988" s="12">
        <v>81</v>
      </c>
      <c r="C988" s="7" t="s">
        <v>4124</v>
      </c>
      <c r="D988" s="12">
        <v>44</v>
      </c>
      <c r="E988" s="7" t="s">
        <v>4268</v>
      </c>
      <c r="F988" s="7" t="s">
        <v>4269</v>
      </c>
      <c r="G988" s="7" t="s">
        <v>1226</v>
      </c>
      <c r="H988" s="7" t="s">
        <v>37</v>
      </c>
      <c r="I988" s="7" t="s">
        <v>1191</v>
      </c>
      <c r="J988" s="7" t="s">
        <v>1579</v>
      </c>
      <c r="K988" s="7" t="s">
        <v>4248</v>
      </c>
      <c r="L988" s="12">
        <v>1</v>
      </c>
      <c r="M988" s="7" t="s">
        <v>1896</v>
      </c>
    </row>
    <row r="989" spans="2:13" ht="37.5" customHeight="1" x14ac:dyDescent="0.35">
      <c r="B989" s="11">
        <v>81</v>
      </c>
      <c r="C989" s="5" t="s">
        <v>4124</v>
      </c>
      <c r="D989" s="11">
        <v>45</v>
      </c>
      <c r="E989" s="5" t="s">
        <v>4270</v>
      </c>
      <c r="F989" s="5" t="s">
        <v>4271</v>
      </c>
      <c r="G989" s="5" t="s">
        <v>244</v>
      </c>
      <c r="H989" s="5" t="s">
        <v>37</v>
      </c>
      <c r="I989" s="5" t="s">
        <v>1191</v>
      </c>
      <c r="J989" s="5" t="s">
        <v>1579</v>
      </c>
      <c r="K989" s="5" t="s">
        <v>4248</v>
      </c>
      <c r="L989" s="11">
        <v>1</v>
      </c>
      <c r="M989" s="5" t="s">
        <v>1896</v>
      </c>
    </row>
    <row r="990" spans="2:13" ht="37.5" customHeight="1" x14ac:dyDescent="0.35">
      <c r="B990" s="12">
        <v>81</v>
      </c>
      <c r="C990" s="7" t="s">
        <v>4124</v>
      </c>
      <c r="D990" s="12">
        <v>46</v>
      </c>
      <c r="E990" s="7" t="s">
        <v>4272</v>
      </c>
      <c r="F990" s="7" t="s">
        <v>4273</v>
      </c>
      <c r="G990" s="7" t="s">
        <v>285</v>
      </c>
      <c r="H990" s="7" t="s">
        <v>37</v>
      </c>
      <c r="I990" s="7" t="s">
        <v>1191</v>
      </c>
      <c r="J990" s="7" t="s">
        <v>1579</v>
      </c>
      <c r="K990" s="7" t="s">
        <v>4248</v>
      </c>
      <c r="L990" s="12">
        <v>1</v>
      </c>
      <c r="M990" s="7" t="s">
        <v>1896</v>
      </c>
    </row>
    <row r="991" spans="2:13" ht="37.5" customHeight="1" x14ac:dyDescent="0.35">
      <c r="B991" s="11">
        <v>81</v>
      </c>
      <c r="C991" s="5" t="s">
        <v>4124</v>
      </c>
      <c r="D991" s="11">
        <v>47</v>
      </c>
      <c r="E991" s="5" t="s">
        <v>4274</v>
      </c>
      <c r="F991" s="5" t="s">
        <v>4275</v>
      </c>
      <c r="G991" s="5" t="s">
        <v>698</v>
      </c>
      <c r="H991" s="5" t="s">
        <v>36</v>
      </c>
      <c r="I991" s="5" t="s">
        <v>2332</v>
      </c>
      <c r="J991" s="5" t="s">
        <v>4276</v>
      </c>
      <c r="K991" s="5" t="s">
        <v>4277</v>
      </c>
      <c r="L991" s="11">
        <v>2</v>
      </c>
      <c r="M991" s="5" t="s">
        <v>1896</v>
      </c>
    </row>
    <row r="992" spans="2:13" ht="52.5" customHeight="1" x14ac:dyDescent="0.35">
      <c r="B992" s="12">
        <v>81</v>
      </c>
      <c r="C992" s="7" t="s">
        <v>4124</v>
      </c>
      <c r="D992" s="12">
        <v>48</v>
      </c>
      <c r="E992" s="7" t="s">
        <v>4278</v>
      </c>
      <c r="F992" s="7" t="s">
        <v>4279</v>
      </c>
      <c r="G992" s="7" t="s">
        <v>279</v>
      </c>
      <c r="H992" s="7" t="s">
        <v>930</v>
      </c>
      <c r="I992" s="7" t="s">
        <v>1222</v>
      </c>
      <c r="J992" s="7" t="s">
        <v>4190</v>
      </c>
      <c r="K992" s="7" t="s">
        <v>4280</v>
      </c>
      <c r="L992" s="12">
        <v>2</v>
      </c>
      <c r="M992" s="7" t="s">
        <v>1896</v>
      </c>
    </row>
    <row r="993" spans="2:13" ht="52.5" customHeight="1" x14ac:dyDescent="0.35">
      <c r="B993" s="11">
        <v>81</v>
      </c>
      <c r="C993" s="5" t="s">
        <v>4124</v>
      </c>
      <c r="D993" s="11">
        <v>49</v>
      </c>
      <c r="E993" s="5" t="s">
        <v>4281</v>
      </c>
      <c r="F993" s="5" t="s">
        <v>4282</v>
      </c>
      <c r="G993" s="5" t="s">
        <v>1813</v>
      </c>
      <c r="H993" s="5" t="s">
        <v>4283</v>
      </c>
      <c r="I993" s="5" t="s">
        <v>1584</v>
      </c>
      <c r="J993" s="5" t="s">
        <v>1004</v>
      </c>
      <c r="K993" s="5" t="s">
        <v>4284</v>
      </c>
      <c r="L993" s="11">
        <v>2</v>
      </c>
      <c r="M993" s="5" t="s">
        <v>1896</v>
      </c>
    </row>
    <row r="994" spans="2:13" ht="37.5" customHeight="1" x14ac:dyDescent="0.35">
      <c r="B994" s="12">
        <v>81</v>
      </c>
      <c r="C994" s="7" t="s">
        <v>4124</v>
      </c>
      <c r="D994" s="12">
        <v>50</v>
      </c>
      <c r="E994" s="7" t="s">
        <v>4285</v>
      </c>
      <c r="F994" s="7" t="s">
        <v>4286</v>
      </c>
      <c r="G994" s="7" t="s">
        <v>3726</v>
      </c>
      <c r="H994" s="7" t="s">
        <v>4287</v>
      </c>
      <c r="I994" s="7" t="s">
        <v>52</v>
      </c>
      <c r="J994" s="7" t="s">
        <v>1004</v>
      </c>
      <c r="K994" s="7" t="s">
        <v>4288</v>
      </c>
      <c r="L994" s="12">
        <v>1</v>
      </c>
      <c r="M994" s="7" t="s">
        <v>1896</v>
      </c>
    </row>
    <row r="995" spans="2:13" ht="37.5" customHeight="1" x14ac:dyDescent="0.35">
      <c r="B995" s="11">
        <v>81</v>
      </c>
      <c r="C995" s="5" t="s">
        <v>4124</v>
      </c>
      <c r="D995" s="11">
        <v>51</v>
      </c>
      <c r="E995" s="5" t="s">
        <v>4289</v>
      </c>
      <c r="F995" s="5" t="s">
        <v>4290</v>
      </c>
      <c r="G995" s="5" t="s">
        <v>1781</v>
      </c>
      <c r="H995" s="5" t="s">
        <v>4287</v>
      </c>
      <c r="I995" s="5" t="s">
        <v>52</v>
      </c>
      <c r="J995" s="5" t="s">
        <v>1004</v>
      </c>
      <c r="K995" s="5" t="s">
        <v>4288</v>
      </c>
      <c r="L995" s="11">
        <v>1</v>
      </c>
      <c r="M995" s="5" t="s">
        <v>1896</v>
      </c>
    </row>
    <row r="996" spans="2:13" ht="37.5" customHeight="1" x14ac:dyDescent="0.35">
      <c r="B996" s="12">
        <v>81</v>
      </c>
      <c r="C996" s="7" t="s">
        <v>4124</v>
      </c>
      <c r="D996" s="12">
        <v>52</v>
      </c>
      <c r="E996" s="7" t="s">
        <v>4291</v>
      </c>
      <c r="F996" s="7" t="s">
        <v>4292</v>
      </c>
      <c r="G996" s="7" t="s">
        <v>188</v>
      </c>
      <c r="H996" s="7" t="s">
        <v>4287</v>
      </c>
      <c r="I996" s="7" t="s">
        <v>52</v>
      </c>
      <c r="J996" s="7" t="s">
        <v>1004</v>
      </c>
      <c r="K996" s="7" t="s">
        <v>4288</v>
      </c>
      <c r="L996" s="12">
        <v>1</v>
      </c>
      <c r="M996" s="7" t="s">
        <v>1896</v>
      </c>
    </row>
    <row r="997" spans="2:13" ht="37.5" customHeight="1" x14ac:dyDescent="0.35">
      <c r="B997" s="11">
        <v>81</v>
      </c>
      <c r="C997" s="5" t="s">
        <v>4124</v>
      </c>
      <c r="D997" s="11">
        <v>53</v>
      </c>
      <c r="E997" s="5" t="s">
        <v>4293</v>
      </c>
      <c r="F997" s="5" t="s">
        <v>4294</v>
      </c>
      <c r="G997" s="5" t="s">
        <v>32</v>
      </c>
      <c r="H997" s="5" t="s">
        <v>817</v>
      </c>
      <c r="I997" s="5" t="s">
        <v>52</v>
      </c>
      <c r="J997" s="5" t="s">
        <v>1004</v>
      </c>
      <c r="K997" s="5" t="s">
        <v>2708</v>
      </c>
      <c r="L997" s="11">
        <v>1</v>
      </c>
      <c r="M997" s="5" t="s">
        <v>1896</v>
      </c>
    </row>
    <row r="998" spans="2:13" ht="37.5" customHeight="1" x14ac:dyDescent="0.35">
      <c r="B998" s="12">
        <v>81</v>
      </c>
      <c r="C998" s="7" t="s">
        <v>4124</v>
      </c>
      <c r="D998" s="12">
        <v>54</v>
      </c>
      <c r="E998" s="7" t="s">
        <v>4295</v>
      </c>
      <c r="F998" s="7" t="s">
        <v>4296</v>
      </c>
      <c r="G998" s="7" t="s">
        <v>1190</v>
      </c>
      <c r="H998" s="7" t="s">
        <v>37</v>
      </c>
      <c r="I998" s="7" t="s">
        <v>3324</v>
      </c>
      <c r="J998" s="7" t="s">
        <v>1579</v>
      </c>
      <c r="K998" s="7" t="s">
        <v>4297</v>
      </c>
      <c r="L998" s="12">
        <v>1</v>
      </c>
      <c r="M998" s="7" t="s">
        <v>1896</v>
      </c>
    </row>
    <row r="999" spans="2:13" ht="37.5" customHeight="1" x14ac:dyDescent="0.35">
      <c r="B999" s="11">
        <v>81</v>
      </c>
      <c r="C999" s="5" t="s">
        <v>4124</v>
      </c>
      <c r="D999" s="11">
        <v>55</v>
      </c>
      <c r="E999" s="5" t="s">
        <v>4298</v>
      </c>
      <c r="F999" s="5" t="s">
        <v>4299</v>
      </c>
      <c r="G999" s="5" t="s">
        <v>4300</v>
      </c>
      <c r="H999" s="5" t="s">
        <v>37</v>
      </c>
      <c r="I999" s="5" t="s">
        <v>1248</v>
      </c>
      <c r="J999" s="5" t="s">
        <v>1579</v>
      </c>
      <c r="K999" s="5" t="s">
        <v>4301</v>
      </c>
      <c r="L999" s="11">
        <v>1</v>
      </c>
      <c r="M999" s="5" t="s">
        <v>1896</v>
      </c>
    </row>
    <row r="1000" spans="2:13" ht="37.5" customHeight="1" x14ac:dyDescent="0.35">
      <c r="B1000" s="12">
        <v>81</v>
      </c>
      <c r="C1000" s="7" t="s">
        <v>4124</v>
      </c>
      <c r="D1000" s="12">
        <v>56</v>
      </c>
      <c r="E1000" s="7" t="s">
        <v>4302</v>
      </c>
      <c r="F1000" s="7" t="s">
        <v>4303</v>
      </c>
      <c r="G1000" s="7" t="s">
        <v>678</v>
      </c>
      <c r="H1000" s="7" t="s">
        <v>39</v>
      </c>
      <c r="I1000" s="7" t="s">
        <v>1077</v>
      </c>
      <c r="J1000" s="7" t="s">
        <v>3415</v>
      </c>
      <c r="K1000" s="7" t="s">
        <v>4304</v>
      </c>
      <c r="L1000" s="12">
        <v>1</v>
      </c>
      <c r="M1000" s="7" t="s">
        <v>1896</v>
      </c>
    </row>
    <row r="1001" spans="2:13" ht="37.5" customHeight="1" x14ac:dyDescent="0.35">
      <c r="B1001" s="11">
        <v>81</v>
      </c>
      <c r="C1001" s="5" t="s">
        <v>4124</v>
      </c>
      <c r="D1001" s="11">
        <v>57</v>
      </c>
      <c r="E1001" s="5" t="s">
        <v>4305</v>
      </c>
      <c r="F1001" s="5" t="s">
        <v>4306</v>
      </c>
      <c r="G1001" s="5" t="s">
        <v>1214</v>
      </c>
      <c r="H1001" s="5" t="s">
        <v>42</v>
      </c>
      <c r="I1001" s="5" t="s">
        <v>4307</v>
      </c>
      <c r="J1001" s="5" t="s">
        <v>4308</v>
      </c>
      <c r="K1001" s="5" t="s">
        <v>4309</v>
      </c>
      <c r="L1001" s="11">
        <v>1</v>
      </c>
      <c r="M1001" s="5" t="s">
        <v>1896</v>
      </c>
    </row>
    <row r="1002" spans="2:13" ht="37.5" customHeight="1" x14ac:dyDescent="0.35">
      <c r="B1002" s="12">
        <v>81</v>
      </c>
      <c r="C1002" s="7" t="s">
        <v>4124</v>
      </c>
      <c r="D1002" s="12">
        <v>58</v>
      </c>
      <c r="E1002" s="7" t="s">
        <v>4244</v>
      </c>
      <c r="F1002" s="7" t="s">
        <v>4310</v>
      </c>
      <c r="G1002" s="7" t="s">
        <v>4311</v>
      </c>
      <c r="H1002" s="7" t="s">
        <v>37</v>
      </c>
      <c r="I1002" s="7" t="s">
        <v>3324</v>
      </c>
      <c r="J1002" s="7" t="s">
        <v>1579</v>
      </c>
      <c r="K1002" s="7" t="s">
        <v>4297</v>
      </c>
      <c r="L1002" s="12">
        <v>1</v>
      </c>
      <c r="M1002" s="7" t="s">
        <v>1896</v>
      </c>
    </row>
    <row r="1003" spans="2:13" ht="37.5" customHeight="1" x14ac:dyDescent="0.35">
      <c r="B1003" s="11">
        <v>81</v>
      </c>
      <c r="C1003" s="5" t="s">
        <v>4124</v>
      </c>
      <c r="D1003" s="11">
        <v>59</v>
      </c>
      <c r="E1003" s="5" t="s">
        <v>4312</v>
      </c>
      <c r="F1003" s="5" t="s">
        <v>4313</v>
      </c>
      <c r="G1003" s="5" t="s">
        <v>877</v>
      </c>
      <c r="H1003" s="5" t="s">
        <v>36</v>
      </c>
      <c r="I1003" s="5" t="s">
        <v>2673</v>
      </c>
      <c r="J1003" s="5" t="s">
        <v>4314</v>
      </c>
      <c r="K1003" s="5" t="s">
        <v>4315</v>
      </c>
      <c r="L1003" s="11">
        <v>1</v>
      </c>
      <c r="M1003" s="5" t="s">
        <v>1896</v>
      </c>
    </row>
    <row r="1004" spans="2:13" ht="37.5" customHeight="1" x14ac:dyDescent="0.35">
      <c r="B1004" s="12">
        <v>81</v>
      </c>
      <c r="C1004" s="7" t="s">
        <v>4124</v>
      </c>
      <c r="D1004" s="12">
        <v>60</v>
      </c>
      <c r="E1004" s="7" t="s">
        <v>4316</v>
      </c>
      <c r="F1004" s="7" t="s">
        <v>4317</v>
      </c>
      <c r="G1004" s="7" t="s">
        <v>1961</v>
      </c>
      <c r="H1004" s="7" t="s">
        <v>36</v>
      </c>
      <c r="I1004" s="7" t="s">
        <v>2673</v>
      </c>
      <c r="J1004" s="7" t="s">
        <v>3415</v>
      </c>
      <c r="K1004" s="7" t="s">
        <v>4318</v>
      </c>
      <c r="L1004" s="12">
        <v>1</v>
      </c>
      <c r="M1004" s="7" t="s">
        <v>1896</v>
      </c>
    </row>
    <row r="1005" spans="2:13" ht="37.5" customHeight="1" x14ac:dyDescent="0.35">
      <c r="B1005" s="11">
        <v>81</v>
      </c>
      <c r="C1005" s="5" t="s">
        <v>4124</v>
      </c>
      <c r="D1005" s="11">
        <v>61</v>
      </c>
      <c r="E1005" s="5" t="s">
        <v>4319</v>
      </c>
      <c r="F1005" s="5" t="s">
        <v>4320</v>
      </c>
      <c r="G1005" s="5" t="s">
        <v>439</v>
      </c>
      <c r="H1005" s="5" t="s">
        <v>36</v>
      </c>
      <c r="I1005" s="5" t="s">
        <v>2673</v>
      </c>
      <c r="J1005" s="5" t="s">
        <v>3415</v>
      </c>
      <c r="K1005" s="5" t="s">
        <v>4318</v>
      </c>
      <c r="L1005" s="11">
        <v>1</v>
      </c>
      <c r="M1005" s="5" t="s">
        <v>1896</v>
      </c>
    </row>
    <row r="1006" spans="2:13" ht="37.5" customHeight="1" x14ac:dyDescent="0.35">
      <c r="B1006" s="12">
        <v>81</v>
      </c>
      <c r="C1006" s="7" t="s">
        <v>4124</v>
      </c>
      <c r="D1006" s="12">
        <v>62</v>
      </c>
      <c r="E1006" s="7" t="s">
        <v>4321</v>
      </c>
      <c r="F1006" s="7" t="s">
        <v>4322</v>
      </c>
      <c r="G1006" s="7" t="s">
        <v>513</v>
      </c>
      <c r="H1006" s="7" t="s">
        <v>36</v>
      </c>
      <c r="I1006" s="7" t="s">
        <v>2673</v>
      </c>
      <c r="J1006" s="7" t="s">
        <v>3415</v>
      </c>
      <c r="K1006" s="7" t="s">
        <v>4318</v>
      </c>
      <c r="L1006" s="12">
        <v>1</v>
      </c>
      <c r="M1006" s="7" t="s">
        <v>1896</v>
      </c>
    </row>
    <row r="1007" spans="2:13" ht="37.5" customHeight="1" x14ac:dyDescent="0.35">
      <c r="B1007" s="11">
        <v>82</v>
      </c>
      <c r="C1007" s="5" t="s">
        <v>4323</v>
      </c>
      <c r="D1007" s="11">
        <v>1</v>
      </c>
      <c r="E1007" s="5" t="s">
        <v>4324</v>
      </c>
      <c r="F1007" s="5" t="s">
        <v>4325</v>
      </c>
      <c r="G1007" s="5" t="s">
        <v>1294</v>
      </c>
      <c r="H1007" s="5" t="s">
        <v>36</v>
      </c>
      <c r="I1007" s="5" t="s">
        <v>1259</v>
      </c>
      <c r="J1007" s="5" t="s">
        <v>2371</v>
      </c>
      <c r="K1007" s="5" t="s">
        <v>4326</v>
      </c>
      <c r="L1007" s="11">
        <v>1</v>
      </c>
      <c r="M1007" s="5" t="s">
        <v>1896</v>
      </c>
    </row>
    <row r="1008" spans="2:13" ht="37.5" customHeight="1" x14ac:dyDescent="0.35">
      <c r="B1008" s="12">
        <v>82</v>
      </c>
      <c r="C1008" s="7" t="s">
        <v>4323</v>
      </c>
      <c r="D1008" s="12">
        <v>2</v>
      </c>
      <c r="E1008" s="7" t="s">
        <v>4327</v>
      </c>
      <c r="F1008" s="7" t="s">
        <v>4328</v>
      </c>
      <c r="G1008" s="7" t="s">
        <v>249</v>
      </c>
      <c r="H1008" s="7" t="s">
        <v>37</v>
      </c>
      <c r="I1008" s="7" t="s">
        <v>998</v>
      </c>
      <c r="J1008" s="7" t="s">
        <v>2371</v>
      </c>
      <c r="K1008" s="7" t="s">
        <v>4329</v>
      </c>
      <c r="L1008" s="12">
        <v>1</v>
      </c>
      <c r="M1008" s="7" t="s">
        <v>1896</v>
      </c>
    </row>
    <row r="1009" spans="2:13" ht="37.5" customHeight="1" x14ac:dyDescent="0.35">
      <c r="B1009" s="11">
        <v>82</v>
      </c>
      <c r="C1009" s="5" t="s">
        <v>4323</v>
      </c>
      <c r="D1009" s="11">
        <v>3</v>
      </c>
      <c r="E1009" s="5" t="s">
        <v>4330</v>
      </c>
      <c r="F1009" s="5" t="s">
        <v>4331</v>
      </c>
      <c r="G1009" s="5" t="s">
        <v>1161</v>
      </c>
      <c r="H1009" s="5" t="s">
        <v>37</v>
      </c>
      <c r="I1009" s="5" t="s">
        <v>998</v>
      </c>
      <c r="J1009" s="5" t="s">
        <v>2371</v>
      </c>
      <c r="K1009" s="5" t="s">
        <v>4329</v>
      </c>
      <c r="L1009" s="11">
        <v>1</v>
      </c>
      <c r="M1009" s="5" t="s">
        <v>1896</v>
      </c>
    </row>
    <row r="1010" spans="2:13" ht="37.5" customHeight="1" x14ac:dyDescent="0.35">
      <c r="B1010" s="12">
        <v>82</v>
      </c>
      <c r="C1010" s="7" t="s">
        <v>4323</v>
      </c>
      <c r="D1010" s="12">
        <v>4</v>
      </c>
      <c r="E1010" s="7" t="s">
        <v>4332</v>
      </c>
      <c r="F1010" s="7" t="s">
        <v>4333</v>
      </c>
      <c r="G1010" s="7" t="s">
        <v>713</v>
      </c>
      <c r="H1010" s="7" t="s">
        <v>838</v>
      </c>
      <c r="I1010" s="7" t="s">
        <v>52</v>
      </c>
      <c r="J1010" s="7" t="s">
        <v>4062</v>
      </c>
      <c r="K1010" s="7" t="s">
        <v>4334</v>
      </c>
      <c r="L1010" s="12">
        <v>1</v>
      </c>
      <c r="M1010" s="7" t="s">
        <v>1896</v>
      </c>
    </row>
    <row r="1011" spans="2:13" ht="52.5" customHeight="1" x14ac:dyDescent="0.35">
      <c r="B1011" s="11">
        <v>83</v>
      </c>
      <c r="C1011" s="5" t="s">
        <v>4335</v>
      </c>
      <c r="D1011" s="11">
        <v>1</v>
      </c>
      <c r="E1011" s="5" t="s">
        <v>4336</v>
      </c>
      <c r="F1011" s="5" t="s">
        <v>4337</v>
      </c>
      <c r="G1011" s="5" t="s">
        <v>428</v>
      </c>
      <c r="H1011" s="5" t="s">
        <v>4338</v>
      </c>
      <c r="I1011" s="5" t="s">
        <v>4339</v>
      </c>
      <c r="J1011" s="5" t="s">
        <v>4340</v>
      </c>
      <c r="K1011" s="5" t="s">
        <v>4341</v>
      </c>
      <c r="L1011" s="11">
        <v>3</v>
      </c>
      <c r="M1011" s="5" t="s">
        <v>1334</v>
      </c>
    </row>
    <row r="1012" spans="2:13" ht="37.5" customHeight="1" x14ac:dyDescent="0.35">
      <c r="B1012" s="12">
        <v>83</v>
      </c>
      <c r="C1012" s="7" t="s">
        <v>4335</v>
      </c>
      <c r="D1012" s="12">
        <v>2</v>
      </c>
      <c r="E1012" s="7" t="s">
        <v>4342</v>
      </c>
      <c r="F1012" s="7" t="s">
        <v>4343</v>
      </c>
      <c r="G1012" s="7" t="s">
        <v>2672</v>
      </c>
      <c r="H1012" s="7" t="s">
        <v>838</v>
      </c>
      <c r="I1012" s="7" t="s">
        <v>52</v>
      </c>
      <c r="J1012" s="7" t="s">
        <v>4062</v>
      </c>
      <c r="K1012" s="7" t="s">
        <v>4334</v>
      </c>
      <c r="L1012" s="12">
        <v>1</v>
      </c>
      <c r="M1012" s="7" t="s">
        <v>1334</v>
      </c>
    </row>
    <row r="1013" spans="2:13" ht="52.5" customHeight="1" x14ac:dyDescent="0.35">
      <c r="B1013" s="11">
        <v>84</v>
      </c>
      <c r="C1013" s="5" t="s">
        <v>4344</v>
      </c>
      <c r="D1013" s="11">
        <v>1</v>
      </c>
      <c r="E1013" s="5" t="s">
        <v>4345</v>
      </c>
      <c r="F1013" s="5" t="s">
        <v>4346</v>
      </c>
      <c r="G1013" s="5" t="s">
        <v>25</v>
      </c>
      <c r="H1013" s="5" t="s">
        <v>4347</v>
      </c>
      <c r="I1013" s="5" t="s">
        <v>1057</v>
      </c>
      <c r="J1013" s="5" t="s">
        <v>4348</v>
      </c>
      <c r="K1013" s="5" t="s">
        <v>4349</v>
      </c>
      <c r="L1013" s="11">
        <v>2</v>
      </c>
      <c r="M1013" s="5" t="s">
        <v>2012</v>
      </c>
    </row>
    <row r="1014" spans="2:13" ht="52.5" customHeight="1" x14ac:dyDescent="0.35">
      <c r="B1014" s="12">
        <v>85</v>
      </c>
      <c r="C1014" s="7" t="s">
        <v>4350</v>
      </c>
      <c r="D1014" s="12">
        <v>1</v>
      </c>
      <c r="E1014" s="7" t="s">
        <v>4351</v>
      </c>
      <c r="F1014" s="7" t="s">
        <v>4352</v>
      </c>
      <c r="G1014" s="7" t="s">
        <v>1435</v>
      </c>
      <c r="H1014" s="7" t="s">
        <v>4034</v>
      </c>
      <c r="I1014" s="7" t="s">
        <v>4353</v>
      </c>
      <c r="J1014" s="7" t="s">
        <v>4354</v>
      </c>
      <c r="K1014" s="7" t="s">
        <v>4355</v>
      </c>
      <c r="L1014" s="12">
        <v>2</v>
      </c>
      <c r="M1014" s="7" t="s">
        <v>2012</v>
      </c>
    </row>
    <row r="1015" spans="2:13" ht="52.5" customHeight="1" x14ac:dyDescent="0.35">
      <c r="B1015" s="11">
        <v>86</v>
      </c>
      <c r="C1015" s="5" t="s">
        <v>4356</v>
      </c>
      <c r="D1015" s="11">
        <v>1</v>
      </c>
      <c r="E1015" s="5" t="s">
        <v>4357</v>
      </c>
      <c r="F1015" s="5" t="s">
        <v>4358</v>
      </c>
      <c r="G1015" s="5" t="s">
        <v>29</v>
      </c>
      <c r="H1015" s="5" t="s">
        <v>3835</v>
      </c>
      <c r="I1015" s="5" t="s">
        <v>4359</v>
      </c>
      <c r="J1015" s="5" t="s">
        <v>4360</v>
      </c>
      <c r="K1015" s="5" t="s">
        <v>4361</v>
      </c>
      <c r="L1015" s="11">
        <v>3</v>
      </c>
      <c r="M1015" s="5" t="s">
        <v>2662</v>
      </c>
    </row>
    <row r="1016" spans="2:13" ht="37.5" customHeight="1" x14ac:dyDescent="0.35">
      <c r="B1016" s="12">
        <v>86</v>
      </c>
      <c r="C1016" s="7" t="s">
        <v>4356</v>
      </c>
      <c r="D1016" s="12">
        <v>2</v>
      </c>
      <c r="E1016" s="7" t="s">
        <v>4362</v>
      </c>
      <c r="F1016" s="7" t="s">
        <v>4363</v>
      </c>
      <c r="G1016" s="7" t="s">
        <v>576</v>
      </c>
      <c r="H1016" s="7" t="s">
        <v>36</v>
      </c>
      <c r="I1016" s="7" t="s">
        <v>4364</v>
      </c>
      <c r="J1016" s="7" t="s">
        <v>4365</v>
      </c>
      <c r="K1016" s="7" t="s">
        <v>4366</v>
      </c>
      <c r="L1016" s="12">
        <v>1</v>
      </c>
      <c r="M1016" s="7" t="s">
        <v>2662</v>
      </c>
    </row>
    <row r="1017" spans="2:13" ht="52.5" customHeight="1" x14ac:dyDescent="0.35">
      <c r="B1017" s="11">
        <v>86</v>
      </c>
      <c r="C1017" s="5" t="s">
        <v>4356</v>
      </c>
      <c r="D1017" s="11">
        <v>3</v>
      </c>
      <c r="E1017" s="5" t="s">
        <v>4367</v>
      </c>
      <c r="F1017" s="5" t="s">
        <v>4368</v>
      </c>
      <c r="G1017" s="5" t="s">
        <v>27</v>
      </c>
      <c r="H1017" s="5" t="s">
        <v>3835</v>
      </c>
      <c r="I1017" s="5" t="s">
        <v>4369</v>
      </c>
      <c r="J1017" s="5" t="s">
        <v>4370</v>
      </c>
      <c r="K1017" s="5" t="s">
        <v>4371</v>
      </c>
      <c r="L1017" s="11">
        <v>3</v>
      </c>
      <c r="M1017" s="5" t="s">
        <v>2662</v>
      </c>
    </row>
    <row r="1018" spans="2:13" ht="37.5" customHeight="1" x14ac:dyDescent="0.35">
      <c r="B1018" s="12">
        <v>86</v>
      </c>
      <c r="C1018" s="7" t="s">
        <v>4356</v>
      </c>
      <c r="D1018" s="12">
        <v>4</v>
      </c>
      <c r="E1018" s="7" t="s">
        <v>4372</v>
      </c>
      <c r="F1018" s="7" t="s">
        <v>4373</v>
      </c>
      <c r="G1018" s="7" t="s">
        <v>531</v>
      </c>
      <c r="H1018" s="7" t="s">
        <v>3824</v>
      </c>
      <c r="I1018" s="7" t="s">
        <v>4374</v>
      </c>
      <c r="J1018" s="7" t="s">
        <v>4375</v>
      </c>
      <c r="K1018" s="7" t="s">
        <v>4376</v>
      </c>
      <c r="L1018" s="12">
        <v>2</v>
      </c>
      <c r="M1018" s="7" t="s">
        <v>2662</v>
      </c>
    </row>
    <row r="1019" spans="2:13" ht="37.5" customHeight="1" x14ac:dyDescent="0.35">
      <c r="B1019" s="11">
        <v>86</v>
      </c>
      <c r="C1019" s="5" t="s">
        <v>4356</v>
      </c>
      <c r="D1019" s="11">
        <v>5</v>
      </c>
      <c r="E1019" s="5" t="s">
        <v>4377</v>
      </c>
      <c r="F1019" s="5" t="s">
        <v>4378</v>
      </c>
      <c r="G1019" s="5" t="s">
        <v>625</v>
      </c>
      <c r="H1019" s="5" t="s">
        <v>1039</v>
      </c>
      <c r="I1019" s="5" t="s">
        <v>4379</v>
      </c>
      <c r="J1019" s="5" t="s">
        <v>4380</v>
      </c>
      <c r="K1019" s="5" t="s">
        <v>4381</v>
      </c>
      <c r="L1019" s="11">
        <v>2</v>
      </c>
      <c r="M1019" s="5" t="s">
        <v>2662</v>
      </c>
    </row>
    <row r="1020" spans="2:13" ht="37.5" customHeight="1" x14ac:dyDescent="0.35">
      <c r="B1020" s="12">
        <v>86</v>
      </c>
      <c r="C1020" s="7" t="s">
        <v>4356</v>
      </c>
      <c r="D1020" s="12">
        <v>6</v>
      </c>
      <c r="E1020" s="7" t="s">
        <v>4382</v>
      </c>
      <c r="F1020" s="7" t="s">
        <v>4383</v>
      </c>
      <c r="G1020" s="7" t="s">
        <v>358</v>
      </c>
      <c r="H1020" s="7" t="s">
        <v>1856</v>
      </c>
      <c r="I1020" s="7" t="s">
        <v>4384</v>
      </c>
      <c r="J1020" s="7" t="s">
        <v>4380</v>
      </c>
      <c r="K1020" s="7" t="s">
        <v>4385</v>
      </c>
      <c r="L1020" s="12">
        <v>2</v>
      </c>
      <c r="M1020" s="7" t="s">
        <v>2662</v>
      </c>
    </row>
    <row r="1021" spans="2:13" ht="37.5" customHeight="1" x14ac:dyDescent="0.35">
      <c r="B1021" s="11">
        <v>86</v>
      </c>
      <c r="C1021" s="5" t="s">
        <v>4356</v>
      </c>
      <c r="D1021" s="11">
        <v>7</v>
      </c>
      <c r="E1021" s="5" t="s">
        <v>4386</v>
      </c>
      <c r="F1021" s="5" t="s">
        <v>4387</v>
      </c>
      <c r="G1021" s="5" t="s">
        <v>31</v>
      </c>
      <c r="H1021" s="5" t="s">
        <v>37</v>
      </c>
      <c r="I1021" s="5" t="s">
        <v>1264</v>
      </c>
      <c r="J1021" s="5" t="s">
        <v>2857</v>
      </c>
      <c r="K1021" s="5" t="s">
        <v>4388</v>
      </c>
      <c r="L1021" s="11">
        <v>1</v>
      </c>
      <c r="M1021" s="5" t="s">
        <v>2662</v>
      </c>
    </row>
    <row r="1022" spans="2:13" ht="37.5" customHeight="1" x14ac:dyDescent="0.35">
      <c r="B1022" s="12">
        <v>86</v>
      </c>
      <c r="C1022" s="7" t="s">
        <v>4356</v>
      </c>
      <c r="D1022" s="12">
        <v>8</v>
      </c>
      <c r="E1022" s="7" t="s">
        <v>4389</v>
      </c>
      <c r="F1022" s="7" t="s">
        <v>4390</v>
      </c>
      <c r="G1022" s="7" t="s">
        <v>497</v>
      </c>
      <c r="H1022" s="7" t="s">
        <v>1039</v>
      </c>
      <c r="I1022" s="7" t="s">
        <v>4379</v>
      </c>
      <c r="J1022" s="7" t="s">
        <v>4380</v>
      </c>
      <c r="K1022" s="7" t="s">
        <v>4381</v>
      </c>
      <c r="L1022" s="12">
        <v>2</v>
      </c>
      <c r="M1022" s="7" t="s">
        <v>2662</v>
      </c>
    </row>
    <row r="1023" spans="2:13" ht="37.5" customHeight="1" x14ac:dyDescent="0.35">
      <c r="B1023" s="11">
        <v>86</v>
      </c>
      <c r="C1023" s="5" t="s">
        <v>4356</v>
      </c>
      <c r="D1023" s="11">
        <v>9</v>
      </c>
      <c r="E1023" s="5" t="s">
        <v>4391</v>
      </c>
      <c r="F1023" s="5" t="s">
        <v>4392</v>
      </c>
      <c r="G1023" s="5" t="s">
        <v>1235</v>
      </c>
      <c r="H1023" s="5" t="s">
        <v>4393</v>
      </c>
      <c r="I1023" s="5" t="s">
        <v>4394</v>
      </c>
      <c r="J1023" s="5" t="s">
        <v>4395</v>
      </c>
      <c r="K1023" s="5" t="s">
        <v>4396</v>
      </c>
      <c r="L1023" s="11">
        <v>2</v>
      </c>
      <c r="M1023" s="5" t="s">
        <v>2662</v>
      </c>
    </row>
    <row r="1024" spans="2:13" ht="21.75" customHeight="1" x14ac:dyDescent="0.35">
      <c r="B1024" s="12">
        <v>86</v>
      </c>
      <c r="C1024" s="7" t="s">
        <v>4356</v>
      </c>
      <c r="D1024" s="12">
        <v>10</v>
      </c>
      <c r="E1024" s="7" t="s">
        <v>4397</v>
      </c>
      <c r="F1024" s="7" t="s">
        <v>4398</v>
      </c>
      <c r="G1024" s="7" t="s">
        <v>212</v>
      </c>
      <c r="H1024" s="7" t="s">
        <v>36</v>
      </c>
      <c r="I1024" s="7" t="s">
        <v>2673</v>
      </c>
      <c r="J1024" s="7" t="s">
        <v>4365</v>
      </c>
      <c r="K1024" s="7" t="s">
        <v>4399</v>
      </c>
      <c r="L1024" s="12">
        <v>1</v>
      </c>
      <c r="M1024" s="7" t="s">
        <v>2662</v>
      </c>
    </row>
    <row r="1025" spans="2:13" ht="37.5" customHeight="1" x14ac:dyDescent="0.35">
      <c r="B1025" s="11">
        <v>86</v>
      </c>
      <c r="C1025" s="5" t="s">
        <v>4356</v>
      </c>
      <c r="D1025" s="11">
        <v>11</v>
      </c>
      <c r="E1025" s="5" t="s">
        <v>4400</v>
      </c>
      <c r="F1025" s="5" t="s">
        <v>4401</v>
      </c>
      <c r="G1025" s="5" t="s">
        <v>1730</v>
      </c>
      <c r="H1025" s="5" t="s">
        <v>4393</v>
      </c>
      <c r="I1025" s="5" t="s">
        <v>4394</v>
      </c>
      <c r="J1025" s="5" t="s">
        <v>4395</v>
      </c>
      <c r="K1025" s="5" t="s">
        <v>4396</v>
      </c>
      <c r="L1025" s="11">
        <v>2</v>
      </c>
      <c r="M1025" s="5" t="s">
        <v>2662</v>
      </c>
    </row>
    <row r="1026" spans="2:13" ht="37.5" customHeight="1" x14ac:dyDescent="0.35">
      <c r="B1026" s="12">
        <v>86</v>
      </c>
      <c r="C1026" s="7" t="s">
        <v>4356</v>
      </c>
      <c r="D1026" s="12">
        <v>12</v>
      </c>
      <c r="E1026" s="7" t="s">
        <v>4402</v>
      </c>
      <c r="F1026" s="7" t="s">
        <v>4403</v>
      </c>
      <c r="G1026" s="7" t="s">
        <v>3283</v>
      </c>
      <c r="H1026" s="7" t="s">
        <v>37</v>
      </c>
      <c r="I1026" s="7" t="s">
        <v>1987</v>
      </c>
      <c r="J1026" s="7" t="s">
        <v>2001</v>
      </c>
      <c r="K1026" s="7" t="s">
        <v>4404</v>
      </c>
      <c r="L1026" s="12">
        <v>1</v>
      </c>
      <c r="M1026" s="7" t="s">
        <v>2662</v>
      </c>
    </row>
    <row r="1027" spans="2:13" ht="37.5" customHeight="1" x14ac:dyDescent="0.35">
      <c r="B1027" s="11">
        <v>87</v>
      </c>
      <c r="C1027" s="5" t="s">
        <v>4405</v>
      </c>
      <c r="D1027" s="11">
        <v>1</v>
      </c>
      <c r="E1027" s="5" t="s">
        <v>4406</v>
      </c>
      <c r="F1027" s="5" t="s">
        <v>4407</v>
      </c>
      <c r="G1027" s="5" t="s">
        <v>585</v>
      </c>
      <c r="H1027" s="5" t="s">
        <v>37</v>
      </c>
      <c r="I1027" s="5" t="s">
        <v>55</v>
      </c>
      <c r="J1027" s="5" t="s">
        <v>4408</v>
      </c>
      <c r="K1027" s="5" t="s">
        <v>4409</v>
      </c>
      <c r="L1027" s="11">
        <v>1</v>
      </c>
      <c r="M1027" s="5" t="s">
        <v>156</v>
      </c>
    </row>
    <row r="1028" spans="2:13" ht="37.5" customHeight="1" x14ac:dyDescent="0.35">
      <c r="B1028" s="12">
        <v>87</v>
      </c>
      <c r="C1028" s="7" t="s">
        <v>4405</v>
      </c>
      <c r="D1028" s="12">
        <v>2</v>
      </c>
      <c r="E1028" s="7" t="s">
        <v>4410</v>
      </c>
      <c r="F1028" s="7" t="s">
        <v>4411</v>
      </c>
      <c r="G1028" s="7" t="s">
        <v>560</v>
      </c>
      <c r="H1028" s="7" t="s">
        <v>42</v>
      </c>
      <c r="I1028" s="7" t="s">
        <v>49</v>
      </c>
      <c r="J1028" s="7" t="s">
        <v>177</v>
      </c>
      <c r="K1028" s="7" t="s">
        <v>4412</v>
      </c>
      <c r="L1028" s="12">
        <v>1</v>
      </c>
      <c r="M1028" s="7" t="s">
        <v>156</v>
      </c>
    </row>
    <row r="1029" spans="2:13" ht="21.75" customHeight="1" x14ac:dyDescent="0.35">
      <c r="B1029" s="11">
        <v>88</v>
      </c>
      <c r="C1029" s="5" t="s">
        <v>4413</v>
      </c>
      <c r="D1029" s="11">
        <v>1</v>
      </c>
      <c r="E1029" s="5" t="s">
        <v>4414</v>
      </c>
      <c r="F1029" s="5" t="s">
        <v>4415</v>
      </c>
      <c r="G1029" s="5" t="s">
        <v>32</v>
      </c>
      <c r="H1029" s="5" t="s">
        <v>43</v>
      </c>
      <c r="I1029" s="5" t="s">
        <v>806</v>
      </c>
      <c r="J1029" s="5" t="s">
        <v>1988</v>
      </c>
      <c r="K1029" s="5" t="s">
        <v>4416</v>
      </c>
      <c r="L1029" s="11">
        <v>1</v>
      </c>
      <c r="M1029" s="5" t="s">
        <v>4085</v>
      </c>
    </row>
    <row r="1030" spans="2:13" ht="21.75" customHeight="1" x14ac:dyDescent="0.35">
      <c r="B1030" s="12">
        <v>88</v>
      </c>
      <c r="C1030" s="7" t="s">
        <v>4413</v>
      </c>
      <c r="D1030" s="12">
        <v>2</v>
      </c>
      <c r="E1030" s="7" t="s">
        <v>4417</v>
      </c>
      <c r="F1030" s="7" t="s">
        <v>4418</v>
      </c>
      <c r="G1030" s="7" t="s">
        <v>457</v>
      </c>
      <c r="H1030" s="7" t="s">
        <v>43</v>
      </c>
      <c r="I1030" s="7" t="s">
        <v>806</v>
      </c>
      <c r="J1030" s="7" t="s">
        <v>1988</v>
      </c>
      <c r="K1030" s="7" t="s">
        <v>4416</v>
      </c>
      <c r="L1030" s="12">
        <v>1</v>
      </c>
      <c r="M1030" s="7" t="s">
        <v>4085</v>
      </c>
    </row>
    <row r="1031" spans="2:13" ht="37.5" customHeight="1" x14ac:dyDescent="0.35">
      <c r="B1031" s="11">
        <v>88</v>
      </c>
      <c r="C1031" s="5" t="s">
        <v>4413</v>
      </c>
      <c r="D1031" s="11">
        <v>3</v>
      </c>
      <c r="E1031" s="5" t="s">
        <v>4419</v>
      </c>
      <c r="F1031" s="5" t="s">
        <v>4420</v>
      </c>
      <c r="G1031" s="5" t="s">
        <v>2685</v>
      </c>
      <c r="H1031" s="5" t="s">
        <v>43</v>
      </c>
      <c r="I1031" s="5" t="s">
        <v>806</v>
      </c>
      <c r="J1031" s="5" t="s">
        <v>1988</v>
      </c>
      <c r="K1031" s="5" t="s">
        <v>4416</v>
      </c>
      <c r="L1031" s="11">
        <v>1</v>
      </c>
      <c r="M1031" s="5" t="s">
        <v>4085</v>
      </c>
    </row>
    <row r="1032" spans="2:13" ht="21.75" customHeight="1" x14ac:dyDescent="0.35">
      <c r="B1032" s="12">
        <v>88</v>
      </c>
      <c r="C1032" s="7" t="s">
        <v>4413</v>
      </c>
      <c r="D1032" s="12">
        <v>4</v>
      </c>
      <c r="E1032" s="7" t="s">
        <v>4421</v>
      </c>
      <c r="F1032" s="7" t="s">
        <v>4422</v>
      </c>
      <c r="G1032" s="7" t="s">
        <v>212</v>
      </c>
      <c r="H1032" s="7" t="s">
        <v>43</v>
      </c>
      <c r="I1032" s="7" t="s">
        <v>806</v>
      </c>
      <c r="J1032" s="7" t="s">
        <v>1988</v>
      </c>
      <c r="K1032" s="7" t="s">
        <v>4416</v>
      </c>
      <c r="L1032" s="12">
        <v>1</v>
      </c>
      <c r="M1032" s="7" t="s">
        <v>4085</v>
      </c>
    </row>
    <row r="1033" spans="2:13" ht="37.5" customHeight="1" x14ac:dyDescent="0.35">
      <c r="B1033" s="11">
        <v>88</v>
      </c>
      <c r="C1033" s="5" t="s">
        <v>4413</v>
      </c>
      <c r="D1033" s="11">
        <v>5</v>
      </c>
      <c r="E1033" s="5" t="s">
        <v>4423</v>
      </c>
      <c r="F1033" s="5" t="s">
        <v>4424</v>
      </c>
      <c r="G1033" s="5" t="s">
        <v>33</v>
      </c>
      <c r="H1033" s="5" t="s">
        <v>43</v>
      </c>
      <c r="I1033" s="5" t="s">
        <v>806</v>
      </c>
      <c r="J1033" s="5" t="s">
        <v>3984</v>
      </c>
      <c r="K1033" s="5" t="s">
        <v>4425</v>
      </c>
      <c r="L1033" s="11">
        <v>1</v>
      </c>
      <c r="M1033" s="5" t="s">
        <v>4085</v>
      </c>
    </row>
    <row r="1034" spans="2:13" ht="37.5" customHeight="1" x14ac:dyDescent="0.35">
      <c r="B1034" s="12">
        <v>88</v>
      </c>
      <c r="C1034" s="7" t="s">
        <v>4413</v>
      </c>
      <c r="D1034" s="12">
        <v>6</v>
      </c>
      <c r="E1034" s="7" t="s">
        <v>4426</v>
      </c>
      <c r="F1034" s="7" t="s">
        <v>4427</v>
      </c>
      <c r="G1034" s="7" t="s">
        <v>4227</v>
      </c>
      <c r="H1034" s="7" t="s">
        <v>43</v>
      </c>
      <c r="I1034" s="7" t="s">
        <v>806</v>
      </c>
      <c r="J1034" s="7" t="s">
        <v>3984</v>
      </c>
      <c r="K1034" s="7" t="s">
        <v>4425</v>
      </c>
      <c r="L1034" s="12">
        <v>1</v>
      </c>
      <c r="M1034" s="7" t="s">
        <v>4085</v>
      </c>
    </row>
    <row r="1035" spans="2:13" ht="37.5" customHeight="1" x14ac:dyDescent="0.35">
      <c r="B1035" s="11">
        <v>88</v>
      </c>
      <c r="C1035" s="5" t="s">
        <v>4413</v>
      </c>
      <c r="D1035" s="11">
        <v>7</v>
      </c>
      <c r="E1035" s="5" t="s">
        <v>4428</v>
      </c>
      <c r="F1035" s="5" t="s">
        <v>4429</v>
      </c>
      <c r="G1035" s="5" t="s">
        <v>552</v>
      </c>
      <c r="H1035" s="5" t="s">
        <v>43</v>
      </c>
      <c r="I1035" s="5" t="s">
        <v>806</v>
      </c>
      <c r="J1035" s="5" t="s">
        <v>3984</v>
      </c>
      <c r="K1035" s="5" t="s">
        <v>4425</v>
      </c>
      <c r="L1035" s="11">
        <v>1</v>
      </c>
      <c r="M1035" s="5" t="s">
        <v>4085</v>
      </c>
    </row>
    <row r="1036" spans="2:13" ht="37.5" customHeight="1" x14ac:dyDescent="0.35">
      <c r="B1036" s="12">
        <v>88</v>
      </c>
      <c r="C1036" s="7" t="s">
        <v>4413</v>
      </c>
      <c r="D1036" s="12">
        <v>8</v>
      </c>
      <c r="E1036" s="7" t="s">
        <v>4430</v>
      </c>
      <c r="F1036" s="7" t="s">
        <v>4431</v>
      </c>
      <c r="G1036" s="7" t="s">
        <v>1127</v>
      </c>
      <c r="H1036" s="7" t="s">
        <v>43</v>
      </c>
      <c r="I1036" s="7" t="s">
        <v>806</v>
      </c>
      <c r="J1036" s="7" t="s">
        <v>3984</v>
      </c>
      <c r="K1036" s="7" t="s">
        <v>4425</v>
      </c>
      <c r="L1036" s="12">
        <v>1</v>
      </c>
      <c r="M1036" s="7" t="s">
        <v>4085</v>
      </c>
    </row>
    <row r="1037" spans="2:13" ht="37.5" customHeight="1" x14ac:dyDescent="0.35">
      <c r="B1037" s="11">
        <v>88</v>
      </c>
      <c r="C1037" s="5" t="s">
        <v>4413</v>
      </c>
      <c r="D1037" s="11">
        <v>9</v>
      </c>
      <c r="E1037" s="5" t="s">
        <v>4432</v>
      </c>
      <c r="F1037" s="5" t="s">
        <v>4433</v>
      </c>
      <c r="G1037" s="5" t="s">
        <v>188</v>
      </c>
      <c r="H1037" s="5" t="s">
        <v>2971</v>
      </c>
      <c r="I1037" s="5" t="s">
        <v>4434</v>
      </c>
      <c r="J1037" s="5" t="s">
        <v>3984</v>
      </c>
      <c r="K1037" s="5" t="s">
        <v>4435</v>
      </c>
      <c r="L1037" s="11">
        <v>2</v>
      </c>
      <c r="M1037" s="5" t="s">
        <v>4085</v>
      </c>
    </row>
    <row r="1038" spans="2:13" ht="37.5" customHeight="1" x14ac:dyDescent="0.35">
      <c r="B1038" s="12">
        <v>89</v>
      </c>
      <c r="C1038" s="7" t="s">
        <v>4436</v>
      </c>
      <c r="D1038" s="12">
        <v>1</v>
      </c>
      <c r="E1038" s="7" t="s">
        <v>4437</v>
      </c>
      <c r="F1038" s="7" t="s">
        <v>4438</v>
      </c>
      <c r="G1038" s="7" t="s">
        <v>32</v>
      </c>
      <c r="H1038" s="7" t="s">
        <v>1046</v>
      </c>
      <c r="I1038" s="7" t="s">
        <v>1047</v>
      </c>
      <c r="J1038" s="7" t="s">
        <v>404</v>
      </c>
      <c r="K1038" s="7" t="s">
        <v>3309</v>
      </c>
      <c r="L1038" s="12">
        <v>1</v>
      </c>
      <c r="M1038" s="7" t="s">
        <v>1896</v>
      </c>
    </row>
    <row r="1039" spans="2:13" ht="37.5" customHeight="1" x14ac:dyDescent="0.35">
      <c r="B1039" s="11">
        <v>89</v>
      </c>
      <c r="C1039" s="5" t="s">
        <v>4436</v>
      </c>
      <c r="D1039" s="11">
        <v>2</v>
      </c>
      <c r="E1039" s="5" t="s">
        <v>4439</v>
      </c>
      <c r="F1039" s="5" t="s">
        <v>4440</v>
      </c>
      <c r="G1039" s="5" t="s">
        <v>713</v>
      </c>
      <c r="H1039" s="5" t="s">
        <v>4441</v>
      </c>
      <c r="I1039" s="5" t="s">
        <v>52</v>
      </c>
      <c r="J1039" s="5" t="s">
        <v>4442</v>
      </c>
      <c r="K1039" s="5" t="s">
        <v>4443</v>
      </c>
      <c r="L1039" s="11">
        <v>1</v>
      </c>
      <c r="M1039" s="5" t="s">
        <v>1896</v>
      </c>
    </row>
    <row r="1040" spans="2:13" ht="37.5" customHeight="1" x14ac:dyDescent="0.35">
      <c r="B1040" s="12">
        <v>89</v>
      </c>
      <c r="C1040" s="7" t="s">
        <v>4436</v>
      </c>
      <c r="D1040" s="12">
        <v>3</v>
      </c>
      <c r="E1040" s="7" t="s">
        <v>4444</v>
      </c>
      <c r="F1040" s="7" t="s">
        <v>4445</v>
      </c>
      <c r="G1040" s="7" t="s">
        <v>30</v>
      </c>
      <c r="H1040" s="7" t="s">
        <v>43</v>
      </c>
      <c r="I1040" s="7" t="s">
        <v>806</v>
      </c>
      <c r="J1040" s="7" t="s">
        <v>1579</v>
      </c>
      <c r="K1040" s="7" t="s">
        <v>4446</v>
      </c>
      <c r="L1040" s="12">
        <v>1</v>
      </c>
      <c r="M1040" s="7" t="s">
        <v>1896</v>
      </c>
    </row>
    <row r="1041" spans="2:13" ht="21.75" customHeight="1" x14ac:dyDescent="0.35">
      <c r="B1041" s="11">
        <v>90</v>
      </c>
      <c r="C1041" s="5" t="s">
        <v>4447</v>
      </c>
      <c r="D1041" s="11">
        <v>1</v>
      </c>
      <c r="E1041" s="5" t="s">
        <v>4448</v>
      </c>
      <c r="F1041" s="5" t="s">
        <v>4449</v>
      </c>
      <c r="G1041" s="5" t="s">
        <v>29</v>
      </c>
      <c r="H1041" s="5" t="s">
        <v>38</v>
      </c>
      <c r="I1041" s="5" t="s">
        <v>53</v>
      </c>
      <c r="J1041" s="5" t="s">
        <v>404</v>
      </c>
      <c r="K1041" s="5" t="s">
        <v>1306</v>
      </c>
      <c r="L1041" s="11">
        <v>1</v>
      </c>
      <c r="M1041" s="5" t="s">
        <v>2887</v>
      </c>
    </row>
    <row r="1042" spans="2:13" ht="21.75" customHeight="1" x14ac:dyDescent="0.35">
      <c r="B1042" s="12">
        <v>90</v>
      </c>
      <c r="C1042" s="7" t="s">
        <v>4447</v>
      </c>
      <c r="D1042" s="12">
        <v>2</v>
      </c>
      <c r="E1042" s="7" t="s">
        <v>4450</v>
      </c>
      <c r="F1042" s="7" t="s">
        <v>4451</v>
      </c>
      <c r="G1042" s="7" t="s">
        <v>29</v>
      </c>
      <c r="H1042" s="7" t="s">
        <v>38</v>
      </c>
      <c r="I1042" s="7" t="s">
        <v>53</v>
      </c>
      <c r="J1042" s="7" t="s">
        <v>404</v>
      </c>
      <c r="K1042" s="7" t="s">
        <v>1306</v>
      </c>
      <c r="L1042" s="12">
        <v>1</v>
      </c>
      <c r="M1042" s="7" t="s">
        <v>2887</v>
      </c>
    </row>
    <row r="1043" spans="2:13" ht="67.5" customHeight="1" x14ac:dyDescent="0.35">
      <c r="B1043" s="11">
        <v>91</v>
      </c>
      <c r="C1043" s="5" t="s">
        <v>4452</v>
      </c>
      <c r="D1043" s="11">
        <v>1</v>
      </c>
      <c r="E1043" s="5" t="s">
        <v>4453</v>
      </c>
      <c r="F1043" s="5" t="s">
        <v>4454</v>
      </c>
      <c r="G1043" s="5" t="s">
        <v>29</v>
      </c>
      <c r="H1043" s="5" t="s">
        <v>4455</v>
      </c>
      <c r="I1043" s="5" t="s">
        <v>4456</v>
      </c>
      <c r="J1043" s="5" t="s">
        <v>1997</v>
      </c>
      <c r="K1043" s="5" t="s">
        <v>4457</v>
      </c>
      <c r="L1043" s="11">
        <v>4</v>
      </c>
      <c r="M1043" s="5" t="s">
        <v>2887</v>
      </c>
    </row>
    <row r="1044" spans="2:13" ht="21.75" customHeight="1" x14ac:dyDescent="0.35">
      <c r="B1044" s="12">
        <v>92</v>
      </c>
      <c r="C1044" s="7" t="s">
        <v>4458</v>
      </c>
      <c r="D1044" s="12">
        <v>1</v>
      </c>
      <c r="E1044" s="7" t="s">
        <v>4459</v>
      </c>
      <c r="F1044" s="7" t="s">
        <v>4460</v>
      </c>
      <c r="G1044" s="7" t="s">
        <v>927</v>
      </c>
      <c r="H1044" s="7" t="s">
        <v>37</v>
      </c>
      <c r="I1044" s="7" t="s">
        <v>1191</v>
      </c>
      <c r="J1044" s="7" t="s">
        <v>1988</v>
      </c>
      <c r="K1044" s="7" t="s">
        <v>4461</v>
      </c>
      <c r="L1044" s="12">
        <v>1</v>
      </c>
      <c r="M1044" s="7"/>
    </row>
    <row r="1045" spans="2:13" ht="37.5" customHeight="1" x14ac:dyDescent="0.35">
      <c r="B1045" s="11">
        <v>93</v>
      </c>
      <c r="C1045" s="5" t="s">
        <v>4462</v>
      </c>
      <c r="D1045" s="11">
        <v>1</v>
      </c>
      <c r="E1045" s="5" t="s">
        <v>4463</v>
      </c>
      <c r="F1045" s="5" t="s">
        <v>4464</v>
      </c>
      <c r="G1045" s="5" t="s">
        <v>30</v>
      </c>
      <c r="H1045" s="5" t="s">
        <v>37</v>
      </c>
      <c r="I1045" s="5" t="s">
        <v>998</v>
      </c>
      <c r="J1045" s="5" t="s">
        <v>2617</v>
      </c>
      <c r="K1045" s="5" t="s">
        <v>4465</v>
      </c>
      <c r="L1045" s="11">
        <v>1</v>
      </c>
      <c r="M1045" s="5" t="s">
        <v>1302</v>
      </c>
    </row>
    <row r="1046" spans="2:13" ht="37.5" customHeight="1" x14ac:dyDescent="0.35">
      <c r="B1046" s="12">
        <v>94</v>
      </c>
      <c r="C1046" s="7" t="s">
        <v>4466</v>
      </c>
      <c r="D1046" s="12">
        <v>1</v>
      </c>
      <c r="E1046" s="7" t="s">
        <v>4467</v>
      </c>
      <c r="F1046" s="7" t="s">
        <v>4468</v>
      </c>
      <c r="G1046" s="7" t="s">
        <v>825</v>
      </c>
      <c r="H1046" s="7" t="s">
        <v>838</v>
      </c>
      <c r="I1046" s="7" t="s">
        <v>52</v>
      </c>
      <c r="J1046" s="7" t="s">
        <v>404</v>
      </c>
      <c r="K1046" s="7" t="s">
        <v>839</v>
      </c>
      <c r="L1046" s="12">
        <v>1</v>
      </c>
      <c r="M1046" s="7" t="s">
        <v>4469</v>
      </c>
    </row>
    <row r="1047" spans="2:13" ht="37.5" customHeight="1" x14ac:dyDescent="0.35">
      <c r="B1047" s="11">
        <v>95</v>
      </c>
      <c r="C1047" s="5" t="s">
        <v>4470</v>
      </c>
      <c r="D1047" s="11">
        <v>1</v>
      </c>
      <c r="E1047" s="5" t="s">
        <v>4471</v>
      </c>
      <c r="F1047" s="5" t="s">
        <v>4472</v>
      </c>
      <c r="G1047" s="5" t="s">
        <v>30</v>
      </c>
      <c r="H1047" s="5" t="s">
        <v>838</v>
      </c>
      <c r="I1047" s="5" t="s">
        <v>52</v>
      </c>
      <c r="J1047" s="5" t="s">
        <v>1063</v>
      </c>
      <c r="K1047" s="5" t="s">
        <v>1064</v>
      </c>
      <c r="L1047" s="11">
        <v>1</v>
      </c>
      <c r="M1047" s="5" t="s">
        <v>2144</v>
      </c>
    </row>
    <row r="1048" spans="2:13" ht="37.5" customHeight="1" x14ac:dyDescent="0.35">
      <c r="B1048" s="12">
        <v>96</v>
      </c>
      <c r="C1048" s="7" t="s">
        <v>4473</v>
      </c>
      <c r="D1048" s="12">
        <v>1</v>
      </c>
      <c r="E1048" s="7" t="s">
        <v>4474</v>
      </c>
      <c r="F1048" s="7" t="s">
        <v>4475</v>
      </c>
      <c r="G1048" s="7" t="s">
        <v>1269</v>
      </c>
      <c r="H1048" s="7" t="s">
        <v>37</v>
      </c>
      <c r="I1048" s="7" t="s">
        <v>1987</v>
      </c>
      <c r="J1048" s="7" t="s">
        <v>4476</v>
      </c>
      <c r="K1048" s="7" t="s">
        <v>4477</v>
      </c>
      <c r="L1048" s="12">
        <v>1</v>
      </c>
      <c r="M1048" s="7" t="s">
        <v>2012</v>
      </c>
    </row>
    <row r="1049" spans="2:13" ht="37.5" customHeight="1" x14ac:dyDescent="0.35">
      <c r="B1049" s="11">
        <v>96</v>
      </c>
      <c r="C1049" s="5" t="s">
        <v>4473</v>
      </c>
      <c r="D1049" s="11">
        <v>2</v>
      </c>
      <c r="E1049" s="5" t="s">
        <v>4478</v>
      </c>
      <c r="F1049" s="5" t="s">
        <v>4479</v>
      </c>
      <c r="G1049" s="5" t="s">
        <v>1161</v>
      </c>
      <c r="H1049" s="5" t="s">
        <v>37</v>
      </c>
      <c r="I1049" s="5" t="s">
        <v>998</v>
      </c>
      <c r="J1049" s="5" t="s">
        <v>4476</v>
      </c>
      <c r="K1049" s="5" t="s">
        <v>4480</v>
      </c>
      <c r="L1049" s="11">
        <v>1</v>
      </c>
      <c r="M1049" s="5" t="s">
        <v>2012</v>
      </c>
    </row>
    <row r="1050" spans="2:13" ht="37.5" customHeight="1" x14ac:dyDescent="0.35">
      <c r="B1050" s="12">
        <v>97</v>
      </c>
      <c r="C1050" s="7" t="s">
        <v>4481</v>
      </c>
      <c r="D1050" s="12">
        <v>1</v>
      </c>
      <c r="E1050" s="7" t="s">
        <v>4482</v>
      </c>
      <c r="F1050" s="7" t="s">
        <v>4483</v>
      </c>
      <c r="G1050" s="7" t="s">
        <v>160</v>
      </c>
      <c r="H1050" s="7" t="s">
        <v>152</v>
      </c>
      <c r="I1050" s="7" t="s">
        <v>806</v>
      </c>
      <c r="J1050" s="7" t="s">
        <v>1063</v>
      </c>
      <c r="K1050" s="7" t="s">
        <v>4484</v>
      </c>
      <c r="L1050" s="12">
        <v>1</v>
      </c>
      <c r="M1050" s="7" t="s">
        <v>2012</v>
      </c>
    </row>
    <row r="1051" spans="2:13" ht="37.5" customHeight="1" x14ac:dyDescent="0.35">
      <c r="B1051" s="11">
        <v>98</v>
      </c>
      <c r="C1051" s="5" t="s">
        <v>4485</v>
      </c>
      <c r="D1051" s="11">
        <v>1</v>
      </c>
      <c r="E1051" s="5" t="s">
        <v>4486</v>
      </c>
      <c r="F1051" s="5" t="s">
        <v>4487</v>
      </c>
      <c r="G1051" s="5" t="s">
        <v>2919</v>
      </c>
      <c r="H1051" s="5" t="s">
        <v>1948</v>
      </c>
      <c r="I1051" s="5" t="s">
        <v>1949</v>
      </c>
      <c r="J1051" s="5" t="s">
        <v>3933</v>
      </c>
      <c r="K1051" s="5" t="s">
        <v>4488</v>
      </c>
      <c r="L1051" s="11">
        <v>1</v>
      </c>
      <c r="M1051" s="5" t="s">
        <v>1302</v>
      </c>
    </row>
    <row r="1052" spans="2:13" ht="37.5" customHeight="1" x14ac:dyDescent="0.35">
      <c r="B1052" s="12">
        <v>99</v>
      </c>
      <c r="C1052" s="7" t="s">
        <v>4489</v>
      </c>
      <c r="D1052" s="12">
        <v>1</v>
      </c>
      <c r="E1052" s="7" t="s">
        <v>4490</v>
      </c>
      <c r="F1052" s="7" t="s">
        <v>4491</v>
      </c>
      <c r="G1052" s="7" t="s">
        <v>761</v>
      </c>
      <c r="H1052" s="7" t="s">
        <v>152</v>
      </c>
      <c r="I1052" s="7" t="s">
        <v>56</v>
      </c>
      <c r="J1052" s="7" t="s">
        <v>233</v>
      </c>
      <c r="K1052" s="7" t="s">
        <v>2686</v>
      </c>
      <c r="L1052" s="12">
        <v>1</v>
      </c>
      <c r="M1052" s="7" t="s">
        <v>987</v>
      </c>
    </row>
    <row r="1053" spans="2:13" ht="37.5" customHeight="1" x14ac:dyDescent="0.35">
      <c r="B1053" s="11">
        <v>100</v>
      </c>
      <c r="C1053" s="5" t="s">
        <v>4492</v>
      </c>
      <c r="D1053" s="11">
        <v>1</v>
      </c>
      <c r="E1053" s="5" t="s">
        <v>4493</v>
      </c>
      <c r="F1053" s="5" t="s">
        <v>4494</v>
      </c>
      <c r="G1053" s="5" t="s">
        <v>2919</v>
      </c>
      <c r="H1053" s="5" t="s">
        <v>838</v>
      </c>
      <c r="I1053" s="5" t="s">
        <v>52</v>
      </c>
      <c r="J1053" s="5" t="s">
        <v>404</v>
      </c>
      <c r="K1053" s="5" t="s">
        <v>839</v>
      </c>
      <c r="L1053" s="11">
        <v>1</v>
      </c>
      <c r="M1053" s="5" t="s">
        <v>2887</v>
      </c>
    </row>
    <row r="1054" spans="2:13" ht="37.5" customHeight="1" x14ac:dyDescent="0.35">
      <c r="B1054" s="12">
        <v>101</v>
      </c>
      <c r="C1054" s="7" t="s">
        <v>4495</v>
      </c>
      <c r="D1054" s="12">
        <v>1</v>
      </c>
      <c r="E1054" s="7" t="s">
        <v>4496</v>
      </c>
      <c r="F1054" s="7" t="s">
        <v>4497</v>
      </c>
      <c r="G1054" s="7" t="s">
        <v>2685</v>
      </c>
      <c r="H1054" s="7" t="s">
        <v>38</v>
      </c>
      <c r="I1054" s="7" t="s">
        <v>53</v>
      </c>
      <c r="J1054" s="7" t="s">
        <v>404</v>
      </c>
      <c r="K1054" s="7" t="s">
        <v>1306</v>
      </c>
      <c r="L1054" s="12">
        <v>1</v>
      </c>
      <c r="M1054" s="7" t="s">
        <v>2299</v>
      </c>
    </row>
    <row r="1055" spans="2:13" ht="37.5" customHeight="1" x14ac:dyDescent="0.35">
      <c r="B1055" s="11">
        <v>102</v>
      </c>
      <c r="C1055" s="5" t="s">
        <v>4498</v>
      </c>
      <c r="D1055" s="11">
        <v>1</v>
      </c>
      <c r="E1055" s="5" t="s">
        <v>4499</v>
      </c>
      <c r="F1055" s="5" t="s">
        <v>4500</v>
      </c>
      <c r="G1055" s="5" t="s">
        <v>439</v>
      </c>
      <c r="H1055" s="5" t="s">
        <v>1948</v>
      </c>
      <c r="I1055" s="5" t="s">
        <v>1949</v>
      </c>
      <c r="J1055" s="5" t="s">
        <v>4501</v>
      </c>
      <c r="K1055" s="5" t="s">
        <v>4502</v>
      </c>
      <c r="L1055" s="11">
        <v>1</v>
      </c>
      <c r="M1055" s="5" t="s">
        <v>4503</v>
      </c>
    </row>
    <row r="1056" spans="2:13" ht="37.5" customHeight="1" x14ac:dyDescent="0.35">
      <c r="B1056" s="12">
        <v>103</v>
      </c>
      <c r="C1056" s="7" t="s">
        <v>4504</v>
      </c>
      <c r="D1056" s="12">
        <v>1</v>
      </c>
      <c r="E1056" s="7" t="s">
        <v>4505</v>
      </c>
      <c r="F1056" s="7" t="s">
        <v>4506</v>
      </c>
      <c r="G1056" s="7" t="s">
        <v>4507</v>
      </c>
      <c r="H1056" s="7" t="s">
        <v>39</v>
      </c>
      <c r="I1056" s="7" t="s">
        <v>4508</v>
      </c>
      <c r="J1056" s="7" t="s">
        <v>4509</v>
      </c>
      <c r="K1056" s="7" t="s">
        <v>4510</v>
      </c>
      <c r="L1056" s="12">
        <v>2</v>
      </c>
      <c r="M1056" s="7"/>
    </row>
    <row r="1057" spans="2:12" ht="25.5" customHeight="1" x14ac:dyDescent="0.35">
      <c r="B1057" s="9" t="s">
        <v>978</v>
      </c>
      <c r="C1057" s="9"/>
      <c r="D1057" s="9"/>
      <c r="E1057" s="16">
        <f>SUBTOTAL(103,E5:E1056)</f>
        <v>1052</v>
      </c>
      <c r="F1057" s="9"/>
      <c r="G1057" s="9"/>
      <c r="H1057" s="9"/>
      <c r="I1057" s="9"/>
      <c r="J1057" s="9"/>
      <c r="K1057" s="9"/>
      <c r="L1057" s="16">
        <f>SUBTOTAL(109,L5:L1056)</f>
        <v>1543</v>
      </c>
    </row>
    <row r="1059" spans="2:12" x14ac:dyDescent="0.2">
      <c r="B1059" s="17" t="s">
        <v>979</v>
      </c>
    </row>
  </sheetData>
  <autoFilter ref="B4:M1056" xr:uid="{00000000-0009-0000-0000-000003000000}"/>
  <mergeCells count="1"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2507"/>
  <sheetViews>
    <sheetView showGridLines="0" zoomScale="90" zoomScaleNormal="90" workbookViewId="0">
      <pane xSplit="1" ySplit="4" topLeftCell="B5" activePane="bottomRight" state="frozen"/>
      <selection pane="bottomLeft" activeCell="A5" sqref="A5"/>
      <selection pane="topRight" activeCell="B1" sqref="B1"/>
      <selection pane="bottomRight"/>
    </sheetView>
  </sheetViews>
  <sheetFormatPr defaultColWidth="8.7421875" defaultRowHeight="15" customHeight="1" x14ac:dyDescent="0.2"/>
  <cols>
    <col min="1" max="1" width="2.95703125" customWidth="1"/>
    <col min="2" max="2" width="9.953125" customWidth="1"/>
    <col min="3" max="3" width="25.9609375" customWidth="1"/>
    <col min="4" max="4" width="9.953125" customWidth="1"/>
    <col min="5" max="5" width="23.9453125" customWidth="1"/>
    <col min="6" max="6" width="13.98828125" customWidth="1"/>
    <col min="7" max="7" width="25.9609375" customWidth="1"/>
    <col min="8" max="8" width="20.04296875" customWidth="1"/>
    <col min="9" max="9" width="23.9453125" customWidth="1"/>
    <col min="10" max="10" width="20.04296875" customWidth="1"/>
    <col min="11" max="11" width="46.00390625" customWidth="1"/>
    <col min="12" max="12" width="9.953125" customWidth="1"/>
    <col min="13" max="13" width="11.97265625" customWidth="1"/>
  </cols>
  <sheetData>
    <row r="2" spans="2:13" ht="31.5" customHeight="1" x14ac:dyDescent="0.2">
      <c r="B2" s="18" t="s">
        <v>4511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ht="7.5" customHeight="1" x14ac:dyDescent="0.2"/>
    <row r="4" spans="2:13" ht="27.75" customHeight="1" x14ac:dyDescent="0.35">
      <c r="B4" s="4" t="s">
        <v>93</v>
      </c>
      <c r="C4" s="4" t="s">
        <v>95</v>
      </c>
      <c r="D4" s="4" t="s">
        <v>97</v>
      </c>
      <c r="E4" s="4" t="s">
        <v>99</v>
      </c>
      <c r="F4" s="4" t="s">
        <v>101</v>
      </c>
      <c r="G4" s="4" t="s">
        <v>103</v>
      </c>
      <c r="H4" s="4" t="s">
        <v>105</v>
      </c>
      <c r="I4" s="4" t="s">
        <v>107</v>
      </c>
      <c r="J4" s="4" t="s">
        <v>109</v>
      </c>
      <c r="K4" s="4" t="s">
        <v>111</v>
      </c>
      <c r="L4" s="4" t="s">
        <v>113</v>
      </c>
      <c r="M4" s="4" t="s">
        <v>147</v>
      </c>
    </row>
    <row r="5" spans="2:13" ht="52.5" customHeight="1" x14ac:dyDescent="0.35">
      <c r="B5" s="11">
        <v>1</v>
      </c>
      <c r="C5" s="5" t="s">
        <v>4512</v>
      </c>
      <c r="D5" s="11">
        <v>1</v>
      </c>
      <c r="E5" s="5" t="s">
        <v>4513</v>
      </c>
      <c r="F5" s="5" t="s">
        <v>4514</v>
      </c>
      <c r="G5" s="5" t="s">
        <v>421</v>
      </c>
      <c r="H5" s="5" t="s">
        <v>4515</v>
      </c>
      <c r="I5" s="5" t="s">
        <v>295</v>
      </c>
      <c r="J5" s="5" t="s">
        <v>4516</v>
      </c>
      <c r="K5" s="5" t="s">
        <v>4517</v>
      </c>
      <c r="L5" s="11">
        <v>3</v>
      </c>
      <c r="M5" s="5" t="s">
        <v>4518</v>
      </c>
    </row>
    <row r="6" spans="2:13" ht="67.5" customHeight="1" x14ac:dyDescent="0.35">
      <c r="B6" s="12">
        <v>1</v>
      </c>
      <c r="C6" s="7" t="s">
        <v>4512</v>
      </c>
      <c r="D6" s="12">
        <v>2</v>
      </c>
      <c r="E6" s="7" t="s">
        <v>4519</v>
      </c>
      <c r="F6" s="7" t="s">
        <v>4520</v>
      </c>
      <c r="G6" s="7" t="s">
        <v>590</v>
      </c>
      <c r="H6" s="7" t="s">
        <v>4521</v>
      </c>
      <c r="I6" s="7" t="s">
        <v>307</v>
      </c>
      <c r="J6" s="7" t="s">
        <v>4522</v>
      </c>
      <c r="K6" s="7" t="s">
        <v>4523</v>
      </c>
      <c r="L6" s="12">
        <v>3</v>
      </c>
      <c r="M6" s="7" t="s">
        <v>4518</v>
      </c>
    </row>
    <row r="7" spans="2:13" ht="37.5" customHeight="1" x14ac:dyDescent="0.35">
      <c r="B7" s="11">
        <v>1</v>
      </c>
      <c r="C7" s="5" t="s">
        <v>4512</v>
      </c>
      <c r="D7" s="11">
        <v>3</v>
      </c>
      <c r="E7" s="5" t="s">
        <v>4524</v>
      </c>
      <c r="F7" s="5" t="s">
        <v>4525</v>
      </c>
      <c r="G7" s="5" t="s">
        <v>1076</v>
      </c>
      <c r="H7" s="5" t="s">
        <v>42</v>
      </c>
      <c r="I7" s="5" t="s">
        <v>4526</v>
      </c>
      <c r="J7" s="5" t="s">
        <v>4527</v>
      </c>
      <c r="K7" s="5" t="s">
        <v>4528</v>
      </c>
      <c r="L7" s="11">
        <v>1</v>
      </c>
      <c r="M7" s="5" t="s">
        <v>4518</v>
      </c>
    </row>
    <row r="8" spans="2:13" ht="112.5" customHeight="1" x14ac:dyDescent="0.35">
      <c r="B8" s="12">
        <v>1</v>
      </c>
      <c r="C8" s="7" t="s">
        <v>4512</v>
      </c>
      <c r="D8" s="12">
        <v>4</v>
      </c>
      <c r="E8" s="7" t="s">
        <v>4529</v>
      </c>
      <c r="F8" s="7" t="s">
        <v>4530</v>
      </c>
      <c r="G8" s="7" t="s">
        <v>29</v>
      </c>
      <c r="H8" s="7" t="s">
        <v>4531</v>
      </c>
      <c r="I8" s="7" t="s">
        <v>4532</v>
      </c>
      <c r="J8" s="7" t="s">
        <v>4533</v>
      </c>
      <c r="K8" s="7" t="s">
        <v>4534</v>
      </c>
      <c r="L8" s="12">
        <v>5</v>
      </c>
      <c r="M8" s="7" t="s">
        <v>4518</v>
      </c>
    </row>
    <row r="9" spans="2:13" ht="37.5" customHeight="1" x14ac:dyDescent="0.35">
      <c r="B9" s="11">
        <v>1</v>
      </c>
      <c r="C9" s="5" t="s">
        <v>4512</v>
      </c>
      <c r="D9" s="11">
        <v>5</v>
      </c>
      <c r="E9" s="5" t="s">
        <v>4535</v>
      </c>
      <c r="F9" s="5" t="s">
        <v>4536</v>
      </c>
      <c r="G9" s="5" t="s">
        <v>185</v>
      </c>
      <c r="H9" s="5" t="s">
        <v>41</v>
      </c>
      <c r="I9" s="5" t="s">
        <v>170</v>
      </c>
      <c r="J9" s="5" t="s">
        <v>4537</v>
      </c>
      <c r="K9" s="5" t="s">
        <v>4538</v>
      </c>
      <c r="L9" s="11">
        <v>1</v>
      </c>
      <c r="M9" s="5" t="s">
        <v>4518</v>
      </c>
    </row>
    <row r="10" spans="2:13" ht="37.5" customHeight="1" x14ac:dyDescent="0.35">
      <c r="B10" s="12">
        <v>1</v>
      </c>
      <c r="C10" s="7" t="s">
        <v>4512</v>
      </c>
      <c r="D10" s="12">
        <v>6</v>
      </c>
      <c r="E10" s="7" t="s">
        <v>4539</v>
      </c>
      <c r="F10" s="7" t="s">
        <v>4540</v>
      </c>
      <c r="G10" s="7" t="s">
        <v>395</v>
      </c>
      <c r="H10" s="7" t="s">
        <v>36</v>
      </c>
      <c r="I10" s="7" t="s">
        <v>4541</v>
      </c>
      <c r="J10" s="7" t="s">
        <v>331</v>
      </c>
      <c r="K10" s="7" t="s">
        <v>4542</v>
      </c>
      <c r="L10" s="12">
        <v>1</v>
      </c>
      <c r="M10" s="7" t="s">
        <v>4518</v>
      </c>
    </row>
    <row r="11" spans="2:13" ht="37.5" customHeight="1" x14ac:dyDescent="0.35">
      <c r="B11" s="11">
        <v>1</v>
      </c>
      <c r="C11" s="5" t="s">
        <v>4512</v>
      </c>
      <c r="D11" s="11">
        <v>7</v>
      </c>
      <c r="E11" s="5" t="s">
        <v>4543</v>
      </c>
      <c r="F11" s="5" t="s">
        <v>4544</v>
      </c>
      <c r="G11" s="5" t="s">
        <v>428</v>
      </c>
      <c r="H11" s="5" t="s">
        <v>36</v>
      </c>
      <c r="I11" s="5" t="s">
        <v>4541</v>
      </c>
      <c r="J11" s="5" t="s">
        <v>331</v>
      </c>
      <c r="K11" s="5" t="s">
        <v>4542</v>
      </c>
      <c r="L11" s="11">
        <v>1</v>
      </c>
      <c r="M11" s="5" t="s">
        <v>4518</v>
      </c>
    </row>
    <row r="12" spans="2:13" ht="67.5" customHeight="1" x14ac:dyDescent="0.35">
      <c r="B12" s="12">
        <v>1</v>
      </c>
      <c r="C12" s="7" t="s">
        <v>4512</v>
      </c>
      <c r="D12" s="12">
        <v>8</v>
      </c>
      <c r="E12" s="7" t="s">
        <v>4545</v>
      </c>
      <c r="F12" s="7" t="s">
        <v>4546</v>
      </c>
      <c r="G12" s="7" t="s">
        <v>25</v>
      </c>
      <c r="H12" s="7" t="s">
        <v>4521</v>
      </c>
      <c r="I12" s="7" t="s">
        <v>307</v>
      </c>
      <c r="J12" s="7" t="s">
        <v>4547</v>
      </c>
      <c r="K12" s="7" t="s">
        <v>4548</v>
      </c>
      <c r="L12" s="12">
        <v>3</v>
      </c>
      <c r="M12" s="7" t="s">
        <v>4518</v>
      </c>
    </row>
    <row r="13" spans="2:13" ht="52.5" customHeight="1" x14ac:dyDescent="0.35">
      <c r="B13" s="11">
        <v>1</v>
      </c>
      <c r="C13" s="5" t="s">
        <v>4512</v>
      </c>
      <c r="D13" s="11">
        <v>9</v>
      </c>
      <c r="E13" s="5" t="s">
        <v>4549</v>
      </c>
      <c r="F13" s="5" t="s">
        <v>4550</v>
      </c>
      <c r="G13" s="5" t="s">
        <v>27</v>
      </c>
      <c r="H13" s="5" t="s">
        <v>294</v>
      </c>
      <c r="I13" s="5" t="s">
        <v>170</v>
      </c>
      <c r="J13" s="5" t="s">
        <v>4551</v>
      </c>
      <c r="K13" s="5" t="s">
        <v>4552</v>
      </c>
      <c r="L13" s="11">
        <v>2</v>
      </c>
      <c r="M13" s="5" t="s">
        <v>4518</v>
      </c>
    </row>
    <row r="14" spans="2:13" ht="37.5" customHeight="1" x14ac:dyDescent="0.35">
      <c r="B14" s="12">
        <v>1</v>
      </c>
      <c r="C14" s="7" t="s">
        <v>4512</v>
      </c>
      <c r="D14" s="12">
        <v>10</v>
      </c>
      <c r="E14" s="7" t="s">
        <v>4553</v>
      </c>
      <c r="F14" s="7" t="s">
        <v>4554</v>
      </c>
      <c r="G14" s="7" t="s">
        <v>24</v>
      </c>
      <c r="H14" s="7" t="s">
        <v>306</v>
      </c>
      <c r="I14" s="7" t="s">
        <v>307</v>
      </c>
      <c r="J14" s="7" t="s">
        <v>4555</v>
      </c>
      <c r="K14" s="7" t="s">
        <v>4556</v>
      </c>
      <c r="L14" s="12">
        <v>2</v>
      </c>
      <c r="M14" s="7" t="s">
        <v>4518</v>
      </c>
    </row>
    <row r="15" spans="2:13" ht="21.75" customHeight="1" x14ac:dyDescent="0.35">
      <c r="B15" s="11">
        <v>1</v>
      </c>
      <c r="C15" s="5" t="s">
        <v>4512</v>
      </c>
      <c r="D15" s="11">
        <v>11</v>
      </c>
      <c r="E15" s="5" t="s">
        <v>4557</v>
      </c>
      <c r="F15" s="5" t="s">
        <v>4558</v>
      </c>
      <c r="G15" s="5" t="s">
        <v>2415</v>
      </c>
      <c r="H15" s="5" t="s">
        <v>36</v>
      </c>
      <c r="I15" s="5" t="s">
        <v>4559</v>
      </c>
      <c r="J15" s="5" t="s">
        <v>177</v>
      </c>
      <c r="K15" s="5" t="s">
        <v>4560</v>
      </c>
      <c r="L15" s="11">
        <v>1</v>
      </c>
      <c r="M15" s="5" t="s">
        <v>4518</v>
      </c>
    </row>
    <row r="16" spans="2:13" ht="37.5" customHeight="1" x14ac:dyDescent="0.35">
      <c r="B16" s="12">
        <v>1</v>
      </c>
      <c r="C16" s="7" t="s">
        <v>4512</v>
      </c>
      <c r="D16" s="12">
        <v>12</v>
      </c>
      <c r="E16" s="7" t="s">
        <v>4561</v>
      </c>
      <c r="F16" s="7" t="s">
        <v>4562</v>
      </c>
      <c r="G16" s="7" t="s">
        <v>653</v>
      </c>
      <c r="H16" s="7" t="s">
        <v>37</v>
      </c>
      <c r="I16" s="7" t="s">
        <v>170</v>
      </c>
      <c r="J16" s="7" t="s">
        <v>194</v>
      </c>
      <c r="K16" s="7" t="s">
        <v>286</v>
      </c>
      <c r="L16" s="12">
        <v>1</v>
      </c>
      <c r="M16" s="7" t="s">
        <v>4518</v>
      </c>
    </row>
    <row r="17" spans="2:13" ht="37.5" customHeight="1" x14ac:dyDescent="0.35">
      <c r="B17" s="11">
        <v>1</v>
      </c>
      <c r="C17" s="5" t="s">
        <v>4512</v>
      </c>
      <c r="D17" s="11">
        <v>13</v>
      </c>
      <c r="E17" s="5" t="s">
        <v>4563</v>
      </c>
      <c r="F17" s="5" t="s">
        <v>4564</v>
      </c>
      <c r="G17" s="5" t="s">
        <v>625</v>
      </c>
      <c r="H17" s="5" t="s">
        <v>1521</v>
      </c>
      <c r="I17" s="5" t="s">
        <v>4565</v>
      </c>
      <c r="J17" s="5" t="s">
        <v>4566</v>
      </c>
      <c r="K17" s="5" t="s">
        <v>4567</v>
      </c>
      <c r="L17" s="11">
        <v>2</v>
      </c>
      <c r="M17" s="5" t="s">
        <v>4518</v>
      </c>
    </row>
    <row r="18" spans="2:13" ht="37.5" customHeight="1" x14ac:dyDescent="0.35">
      <c r="B18" s="12">
        <v>1</v>
      </c>
      <c r="C18" s="7" t="s">
        <v>4512</v>
      </c>
      <c r="D18" s="12">
        <v>14</v>
      </c>
      <c r="E18" s="7" t="s">
        <v>4568</v>
      </c>
      <c r="F18" s="7" t="s">
        <v>4569</v>
      </c>
      <c r="G18" s="7" t="s">
        <v>648</v>
      </c>
      <c r="H18" s="7" t="s">
        <v>36</v>
      </c>
      <c r="I18" s="7" t="s">
        <v>48</v>
      </c>
      <c r="J18" s="7" t="s">
        <v>177</v>
      </c>
      <c r="K18" s="7" t="s">
        <v>4570</v>
      </c>
      <c r="L18" s="12">
        <v>1</v>
      </c>
      <c r="M18" s="7" t="s">
        <v>4518</v>
      </c>
    </row>
    <row r="19" spans="2:13" ht="21.75" customHeight="1" x14ac:dyDescent="0.35">
      <c r="B19" s="11">
        <v>1</v>
      </c>
      <c r="C19" s="5" t="s">
        <v>4512</v>
      </c>
      <c r="D19" s="11">
        <v>15</v>
      </c>
      <c r="E19" s="5" t="s">
        <v>4571</v>
      </c>
      <c r="F19" s="5" t="s">
        <v>4572</v>
      </c>
      <c r="G19" s="5" t="s">
        <v>188</v>
      </c>
      <c r="H19" s="5" t="s">
        <v>37</v>
      </c>
      <c r="I19" s="5" t="s">
        <v>339</v>
      </c>
      <c r="J19" s="5" t="s">
        <v>194</v>
      </c>
      <c r="K19" s="5" t="s">
        <v>4573</v>
      </c>
      <c r="L19" s="11">
        <v>1</v>
      </c>
      <c r="M19" s="5" t="s">
        <v>4518</v>
      </c>
    </row>
    <row r="20" spans="2:13" ht="37.5" customHeight="1" x14ac:dyDescent="0.35">
      <c r="B20" s="12">
        <v>1</v>
      </c>
      <c r="C20" s="7" t="s">
        <v>4512</v>
      </c>
      <c r="D20" s="12">
        <v>16</v>
      </c>
      <c r="E20" s="7" t="s">
        <v>4574</v>
      </c>
      <c r="F20" s="7" t="s">
        <v>4575</v>
      </c>
      <c r="G20" s="7" t="s">
        <v>733</v>
      </c>
      <c r="H20" s="7" t="s">
        <v>37</v>
      </c>
      <c r="I20" s="7" t="s">
        <v>339</v>
      </c>
      <c r="J20" s="7" t="s">
        <v>194</v>
      </c>
      <c r="K20" s="7" t="s">
        <v>4573</v>
      </c>
      <c r="L20" s="12">
        <v>1</v>
      </c>
      <c r="M20" s="7" t="s">
        <v>4518</v>
      </c>
    </row>
    <row r="21" spans="2:13" ht="37.5" customHeight="1" x14ac:dyDescent="0.35">
      <c r="B21" s="11">
        <v>1</v>
      </c>
      <c r="C21" s="5" t="s">
        <v>4512</v>
      </c>
      <c r="D21" s="11">
        <v>17</v>
      </c>
      <c r="E21" s="5" t="s">
        <v>4576</v>
      </c>
      <c r="F21" s="5" t="s">
        <v>4577</v>
      </c>
      <c r="G21" s="5" t="s">
        <v>1589</v>
      </c>
      <c r="H21" s="5" t="s">
        <v>37</v>
      </c>
      <c r="I21" s="5" t="s">
        <v>339</v>
      </c>
      <c r="J21" s="5" t="s">
        <v>194</v>
      </c>
      <c r="K21" s="5" t="s">
        <v>4573</v>
      </c>
      <c r="L21" s="11">
        <v>1</v>
      </c>
      <c r="M21" s="5" t="s">
        <v>4518</v>
      </c>
    </row>
    <row r="22" spans="2:13" ht="52.5" customHeight="1" x14ac:dyDescent="0.35">
      <c r="B22" s="12">
        <v>1</v>
      </c>
      <c r="C22" s="7" t="s">
        <v>4512</v>
      </c>
      <c r="D22" s="12">
        <v>18</v>
      </c>
      <c r="E22" s="7" t="s">
        <v>4578</v>
      </c>
      <c r="F22" s="7" t="s">
        <v>4579</v>
      </c>
      <c r="G22" s="7" t="s">
        <v>279</v>
      </c>
      <c r="H22" s="7" t="s">
        <v>4580</v>
      </c>
      <c r="I22" s="7" t="s">
        <v>4581</v>
      </c>
      <c r="J22" s="7" t="s">
        <v>4582</v>
      </c>
      <c r="K22" s="7" t="s">
        <v>4583</v>
      </c>
      <c r="L22" s="12">
        <v>2</v>
      </c>
      <c r="M22" s="7" t="s">
        <v>4518</v>
      </c>
    </row>
    <row r="23" spans="2:13" ht="37.5" customHeight="1" x14ac:dyDescent="0.35">
      <c r="B23" s="11">
        <v>1</v>
      </c>
      <c r="C23" s="5" t="s">
        <v>4512</v>
      </c>
      <c r="D23" s="11">
        <v>19</v>
      </c>
      <c r="E23" s="5" t="s">
        <v>4584</v>
      </c>
      <c r="F23" s="5" t="s">
        <v>4585</v>
      </c>
      <c r="G23" s="5" t="s">
        <v>497</v>
      </c>
      <c r="H23" s="5" t="s">
        <v>306</v>
      </c>
      <c r="I23" s="5" t="s">
        <v>4586</v>
      </c>
      <c r="J23" s="5" t="s">
        <v>4587</v>
      </c>
      <c r="K23" s="5" t="s">
        <v>4588</v>
      </c>
      <c r="L23" s="11">
        <v>2</v>
      </c>
      <c r="M23" s="5" t="s">
        <v>4518</v>
      </c>
    </row>
    <row r="24" spans="2:13" ht="37.5" customHeight="1" x14ac:dyDescent="0.35">
      <c r="B24" s="12">
        <v>1</v>
      </c>
      <c r="C24" s="7" t="s">
        <v>4512</v>
      </c>
      <c r="D24" s="12">
        <v>20</v>
      </c>
      <c r="E24" s="7" t="s">
        <v>4589</v>
      </c>
      <c r="F24" s="7" t="s">
        <v>4590</v>
      </c>
      <c r="G24" s="7" t="s">
        <v>766</v>
      </c>
      <c r="H24" s="7" t="s">
        <v>37</v>
      </c>
      <c r="I24" s="7" t="s">
        <v>339</v>
      </c>
      <c r="J24" s="7" t="s">
        <v>194</v>
      </c>
      <c r="K24" s="7" t="s">
        <v>4573</v>
      </c>
      <c r="L24" s="12">
        <v>1</v>
      </c>
      <c r="M24" s="7" t="s">
        <v>4518</v>
      </c>
    </row>
    <row r="25" spans="2:13" ht="21.75" customHeight="1" x14ac:dyDescent="0.35">
      <c r="B25" s="11">
        <v>1</v>
      </c>
      <c r="C25" s="5" t="s">
        <v>4512</v>
      </c>
      <c r="D25" s="11">
        <v>21</v>
      </c>
      <c r="E25" s="5" t="s">
        <v>4591</v>
      </c>
      <c r="F25" s="5" t="s">
        <v>4592</v>
      </c>
      <c r="G25" s="5" t="s">
        <v>973</v>
      </c>
      <c r="H25" s="5" t="s">
        <v>37</v>
      </c>
      <c r="I25" s="5" t="s">
        <v>193</v>
      </c>
      <c r="J25" s="5" t="s">
        <v>194</v>
      </c>
      <c r="K25" s="5" t="s">
        <v>195</v>
      </c>
      <c r="L25" s="11">
        <v>1</v>
      </c>
      <c r="M25" s="5" t="s">
        <v>4518</v>
      </c>
    </row>
    <row r="26" spans="2:13" ht="37.5" customHeight="1" x14ac:dyDescent="0.35">
      <c r="B26" s="12">
        <v>1</v>
      </c>
      <c r="C26" s="7" t="s">
        <v>4512</v>
      </c>
      <c r="D26" s="12">
        <v>22</v>
      </c>
      <c r="E26" s="7" t="s">
        <v>4593</v>
      </c>
      <c r="F26" s="7" t="s">
        <v>4594</v>
      </c>
      <c r="G26" s="7" t="s">
        <v>28</v>
      </c>
      <c r="H26" s="7" t="s">
        <v>36</v>
      </c>
      <c r="I26" s="7" t="s">
        <v>48</v>
      </c>
      <c r="J26" s="7" t="s">
        <v>177</v>
      </c>
      <c r="K26" s="7" t="s">
        <v>4570</v>
      </c>
      <c r="L26" s="12">
        <v>1</v>
      </c>
      <c r="M26" s="7" t="s">
        <v>4518</v>
      </c>
    </row>
    <row r="27" spans="2:13" ht="37.5" customHeight="1" x14ac:dyDescent="0.35">
      <c r="B27" s="11">
        <v>1</v>
      </c>
      <c r="C27" s="5" t="s">
        <v>4512</v>
      </c>
      <c r="D27" s="11">
        <v>23</v>
      </c>
      <c r="E27" s="5" t="s">
        <v>4595</v>
      </c>
      <c r="F27" s="5" t="s">
        <v>4596</v>
      </c>
      <c r="G27" s="5" t="s">
        <v>573</v>
      </c>
      <c r="H27" s="5" t="s">
        <v>41</v>
      </c>
      <c r="I27" s="5" t="s">
        <v>170</v>
      </c>
      <c r="J27" s="5" t="s">
        <v>4537</v>
      </c>
      <c r="K27" s="5" t="s">
        <v>4538</v>
      </c>
      <c r="L27" s="11">
        <v>1</v>
      </c>
      <c r="M27" s="5" t="s">
        <v>4518</v>
      </c>
    </row>
    <row r="28" spans="2:13" ht="52.5" customHeight="1" x14ac:dyDescent="0.35">
      <c r="B28" s="12">
        <v>1</v>
      </c>
      <c r="C28" s="7" t="s">
        <v>4512</v>
      </c>
      <c r="D28" s="12">
        <v>24</v>
      </c>
      <c r="E28" s="7" t="s">
        <v>4597</v>
      </c>
      <c r="F28" s="7" t="s">
        <v>4598</v>
      </c>
      <c r="G28" s="7" t="s">
        <v>31</v>
      </c>
      <c r="H28" s="7" t="s">
        <v>4599</v>
      </c>
      <c r="I28" s="7" t="s">
        <v>4600</v>
      </c>
      <c r="J28" s="7" t="s">
        <v>4601</v>
      </c>
      <c r="K28" s="7" t="s">
        <v>4602</v>
      </c>
      <c r="L28" s="12">
        <v>2</v>
      </c>
      <c r="M28" s="7" t="s">
        <v>4518</v>
      </c>
    </row>
    <row r="29" spans="2:13" ht="21.75" customHeight="1" x14ac:dyDescent="0.35">
      <c r="B29" s="11">
        <v>1</v>
      </c>
      <c r="C29" s="5" t="s">
        <v>4512</v>
      </c>
      <c r="D29" s="11">
        <v>25</v>
      </c>
      <c r="E29" s="5" t="s">
        <v>4603</v>
      </c>
      <c r="F29" s="5" t="s">
        <v>4604</v>
      </c>
      <c r="G29" s="5" t="s">
        <v>402</v>
      </c>
      <c r="H29" s="5" t="s">
        <v>37</v>
      </c>
      <c r="I29" s="5" t="s">
        <v>679</v>
      </c>
      <c r="J29" s="5" t="s">
        <v>194</v>
      </c>
      <c r="K29" s="5" t="s">
        <v>4605</v>
      </c>
      <c r="L29" s="11">
        <v>1</v>
      </c>
      <c r="M29" s="5" t="s">
        <v>4518</v>
      </c>
    </row>
    <row r="30" spans="2:13" ht="52.5" customHeight="1" x14ac:dyDescent="0.35">
      <c r="B30" s="12">
        <v>1</v>
      </c>
      <c r="C30" s="7" t="s">
        <v>4512</v>
      </c>
      <c r="D30" s="12">
        <v>26</v>
      </c>
      <c r="E30" s="7" t="s">
        <v>4606</v>
      </c>
      <c r="F30" s="7" t="s">
        <v>4607</v>
      </c>
      <c r="G30" s="7" t="s">
        <v>1235</v>
      </c>
      <c r="H30" s="7" t="s">
        <v>294</v>
      </c>
      <c r="I30" s="7" t="s">
        <v>679</v>
      </c>
      <c r="J30" s="7" t="s">
        <v>4608</v>
      </c>
      <c r="K30" s="7" t="s">
        <v>4609</v>
      </c>
      <c r="L30" s="12">
        <v>2</v>
      </c>
      <c r="M30" s="7" t="s">
        <v>4518</v>
      </c>
    </row>
    <row r="31" spans="2:13" ht="37.5" customHeight="1" x14ac:dyDescent="0.35">
      <c r="B31" s="11">
        <v>1</v>
      </c>
      <c r="C31" s="5" t="s">
        <v>4512</v>
      </c>
      <c r="D31" s="11">
        <v>27</v>
      </c>
      <c r="E31" s="5" t="s">
        <v>4610</v>
      </c>
      <c r="F31" s="5" t="s">
        <v>4611</v>
      </c>
      <c r="G31" s="5" t="s">
        <v>825</v>
      </c>
      <c r="H31" s="5" t="s">
        <v>37</v>
      </c>
      <c r="I31" s="5" t="s">
        <v>679</v>
      </c>
      <c r="J31" s="5" t="s">
        <v>194</v>
      </c>
      <c r="K31" s="5" t="s">
        <v>4605</v>
      </c>
      <c r="L31" s="11">
        <v>1</v>
      </c>
      <c r="M31" s="5" t="s">
        <v>4518</v>
      </c>
    </row>
    <row r="32" spans="2:13" ht="37.5" customHeight="1" x14ac:dyDescent="0.35">
      <c r="B32" s="12">
        <v>1</v>
      </c>
      <c r="C32" s="7" t="s">
        <v>4512</v>
      </c>
      <c r="D32" s="12">
        <v>28</v>
      </c>
      <c r="E32" s="7" t="s">
        <v>4612</v>
      </c>
      <c r="F32" s="7" t="s">
        <v>4613</v>
      </c>
      <c r="G32" s="7" t="s">
        <v>778</v>
      </c>
      <c r="H32" s="7" t="s">
        <v>41</v>
      </c>
      <c r="I32" s="7" t="s">
        <v>170</v>
      </c>
      <c r="J32" s="7" t="s">
        <v>4537</v>
      </c>
      <c r="K32" s="7" t="s">
        <v>4538</v>
      </c>
      <c r="L32" s="12">
        <v>1</v>
      </c>
      <c r="M32" s="7" t="s">
        <v>4518</v>
      </c>
    </row>
    <row r="33" spans="2:13" ht="37.5" customHeight="1" x14ac:dyDescent="0.35">
      <c r="B33" s="11">
        <v>1</v>
      </c>
      <c r="C33" s="5" t="s">
        <v>4512</v>
      </c>
      <c r="D33" s="11">
        <v>29</v>
      </c>
      <c r="E33" s="5" t="s">
        <v>4614</v>
      </c>
      <c r="F33" s="5" t="s">
        <v>4615</v>
      </c>
      <c r="G33" s="5" t="s">
        <v>1240</v>
      </c>
      <c r="H33" s="5" t="s">
        <v>41</v>
      </c>
      <c r="I33" s="5" t="s">
        <v>170</v>
      </c>
      <c r="J33" s="5" t="s">
        <v>4537</v>
      </c>
      <c r="K33" s="5" t="s">
        <v>4538</v>
      </c>
      <c r="L33" s="11">
        <v>1</v>
      </c>
      <c r="M33" s="5" t="s">
        <v>4518</v>
      </c>
    </row>
    <row r="34" spans="2:13" ht="37.5" customHeight="1" x14ac:dyDescent="0.35">
      <c r="B34" s="12">
        <v>1</v>
      </c>
      <c r="C34" s="7" t="s">
        <v>4512</v>
      </c>
      <c r="D34" s="12">
        <v>30</v>
      </c>
      <c r="E34" s="7" t="s">
        <v>4616</v>
      </c>
      <c r="F34" s="7" t="s">
        <v>4617</v>
      </c>
      <c r="G34" s="7" t="s">
        <v>26</v>
      </c>
      <c r="H34" s="7" t="s">
        <v>41</v>
      </c>
      <c r="I34" s="7" t="s">
        <v>170</v>
      </c>
      <c r="J34" s="7" t="s">
        <v>4537</v>
      </c>
      <c r="K34" s="7" t="s">
        <v>4538</v>
      </c>
      <c r="L34" s="12">
        <v>1</v>
      </c>
      <c r="M34" s="7" t="s">
        <v>4518</v>
      </c>
    </row>
    <row r="35" spans="2:13" ht="37.5" customHeight="1" x14ac:dyDescent="0.35">
      <c r="B35" s="11">
        <v>1</v>
      </c>
      <c r="C35" s="5" t="s">
        <v>4512</v>
      </c>
      <c r="D35" s="11">
        <v>31</v>
      </c>
      <c r="E35" s="5" t="s">
        <v>4618</v>
      </c>
      <c r="F35" s="5" t="s">
        <v>4619</v>
      </c>
      <c r="G35" s="5" t="s">
        <v>282</v>
      </c>
      <c r="H35" s="5" t="s">
        <v>36</v>
      </c>
      <c r="I35" s="5" t="s">
        <v>48</v>
      </c>
      <c r="J35" s="5" t="s">
        <v>177</v>
      </c>
      <c r="K35" s="5" t="s">
        <v>4570</v>
      </c>
      <c r="L35" s="11">
        <v>1</v>
      </c>
      <c r="M35" s="5" t="s">
        <v>4518</v>
      </c>
    </row>
    <row r="36" spans="2:13" ht="21.75" customHeight="1" x14ac:dyDescent="0.35">
      <c r="B36" s="12">
        <v>1</v>
      </c>
      <c r="C36" s="7" t="s">
        <v>4512</v>
      </c>
      <c r="D36" s="12">
        <v>32</v>
      </c>
      <c r="E36" s="7" t="s">
        <v>4620</v>
      </c>
      <c r="F36" s="7" t="s">
        <v>4621</v>
      </c>
      <c r="G36" s="7" t="s">
        <v>810</v>
      </c>
      <c r="H36" s="7" t="s">
        <v>36</v>
      </c>
      <c r="I36" s="7" t="s">
        <v>48</v>
      </c>
      <c r="J36" s="7" t="s">
        <v>177</v>
      </c>
      <c r="K36" s="7" t="s">
        <v>4570</v>
      </c>
      <c r="L36" s="12">
        <v>1</v>
      </c>
      <c r="M36" s="7" t="s">
        <v>4518</v>
      </c>
    </row>
    <row r="37" spans="2:13" ht="37.5" customHeight="1" x14ac:dyDescent="0.35">
      <c r="B37" s="11">
        <v>1</v>
      </c>
      <c r="C37" s="5" t="s">
        <v>4512</v>
      </c>
      <c r="D37" s="11">
        <v>33</v>
      </c>
      <c r="E37" s="5" t="s">
        <v>4622</v>
      </c>
      <c r="F37" s="5" t="s">
        <v>4623</v>
      </c>
      <c r="G37" s="5" t="s">
        <v>552</v>
      </c>
      <c r="H37" s="5" t="s">
        <v>36</v>
      </c>
      <c r="I37" s="5" t="s">
        <v>48</v>
      </c>
      <c r="J37" s="5" t="s">
        <v>177</v>
      </c>
      <c r="K37" s="5" t="s">
        <v>4570</v>
      </c>
      <c r="L37" s="11">
        <v>1</v>
      </c>
      <c r="M37" s="5" t="s">
        <v>4518</v>
      </c>
    </row>
    <row r="38" spans="2:13" ht="37.5" customHeight="1" x14ac:dyDescent="0.35">
      <c r="B38" s="12">
        <v>1</v>
      </c>
      <c r="C38" s="7" t="s">
        <v>4512</v>
      </c>
      <c r="D38" s="12">
        <v>34</v>
      </c>
      <c r="E38" s="7" t="s">
        <v>4624</v>
      </c>
      <c r="F38" s="7" t="s">
        <v>4625</v>
      </c>
      <c r="G38" s="7" t="s">
        <v>33</v>
      </c>
      <c r="H38" s="7" t="s">
        <v>36</v>
      </c>
      <c r="I38" s="7" t="s">
        <v>48</v>
      </c>
      <c r="J38" s="7" t="s">
        <v>177</v>
      </c>
      <c r="K38" s="7" t="s">
        <v>4570</v>
      </c>
      <c r="L38" s="12">
        <v>1</v>
      </c>
      <c r="M38" s="7" t="s">
        <v>4518</v>
      </c>
    </row>
    <row r="39" spans="2:13" ht="37.5" customHeight="1" x14ac:dyDescent="0.35">
      <c r="B39" s="11">
        <v>1</v>
      </c>
      <c r="C39" s="5" t="s">
        <v>4512</v>
      </c>
      <c r="D39" s="11">
        <v>35</v>
      </c>
      <c r="E39" s="5" t="s">
        <v>4626</v>
      </c>
      <c r="F39" s="5" t="s">
        <v>4627</v>
      </c>
      <c r="G39" s="5" t="s">
        <v>939</v>
      </c>
      <c r="H39" s="5" t="s">
        <v>36</v>
      </c>
      <c r="I39" s="5" t="s">
        <v>48</v>
      </c>
      <c r="J39" s="5" t="s">
        <v>177</v>
      </c>
      <c r="K39" s="5" t="s">
        <v>4570</v>
      </c>
      <c r="L39" s="11">
        <v>1</v>
      </c>
      <c r="M39" s="5" t="s">
        <v>4518</v>
      </c>
    </row>
    <row r="40" spans="2:13" ht="37.5" customHeight="1" x14ac:dyDescent="0.35">
      <c r="B40" s="12">
        <v>1</v>
      </c>
      <c r="C40" s="7" t="s">
        <v>4512</v>
      </c>
      <c r="D40" s="12">
        <v>36</v>
      </c>
      <c r="E40" s="7" t="s">
        <v>4628</v>
      </c>
      <c r="F40" s="7" t="s">
        <v>4629</v>
      </c>
      <c r="G40" s="7" t="s">
        <v>761</v>
      </c>
      <c r="H40" s="7" t="s">
        <v>37</v>
      </c>
      <c r="I40" s="7" t="s">
        <v>679</v>
      </c>
      <c r="J40" s="7" t="s">
        <v>194</v>
      </c>
      <c r="K40" s="7" t="s">
        <v>4605</v>
      </c>
      <c r="L40" s="12">
        <v>1</v>
      </c>
      <c r="M40" s="7" t="s">
        <v>4518</v>
      </c>
    </row>
    <row r="41" spans="2:13" ht="21.75" customHeight="1" x14ac:dyDescent="0.35">
      <c r="B41" s="11">
        <v>1</v>
      </c>
      <c r="C41" s="5" t="s">
        <v>4512</v>
      </c>
      <c r="D41" s="11">
        <v>37</v>
      </c>
      <c r="E41" s="5" t="s">
        <v>4630</v>
      </c>
      <c r="F41" s="5" t="s">
        <v>4631</v>
      </c>
      <c r="G41" s="5" t="s">
        <v>788</v>
      </c>
      <c r="H41" s="5" t="s">
        <v>37</v>
      </c>
      <c r="I41" s="5" t="s">
        <v>679</v>
      </c>
      <c r="J41" s="5" t="s">
        <v>194</v>
      </c>
      <c r="K41" s="5" t="s">
        <v>4605</v>
      </c>
      <c r="L41" s="11">
        <v>1</v>
      </c>
      <c r="M41" s="5" t="s">
        <v>4518</v>
      </c>
    </row>
    <row r="42" spans="2:13" ht="52.5" customHeight="1" x14ac:dyDescent="0.35">
      <c r="B42" s="12">
        <v>1</v>
      </c>
      <c r="C42" s="7" t="s">
        <v>4512</v>
      </c>
      <c r="D42" s="12">
        <v>38</v>
      </c>
      <c r="E42" s="7" t="s">
        <v>4632</v>
      </c>
      <c r="F42" s="7" t="s">
        <v>4633</v>
      </c>
      <c r="G42" s="7" t="s">
        <v>4634</v>
      </c>
      <c r="H42" s="7" t="s">
        <v>4599</v>
      </c>
      <c r="I42" s="7" t="s">
        <v>4635</v>
      </c>
      <c r="J42" s="7" t="s">
        <v>4601</v>
      </c>
      <c r="K42" s="7" t="s">
        <v>4636</v>
      </c>
      <c r="L42" s="12">
        <v>2</v>
      </c>
      <c r="M42" s="7" t="s">
        <v>4518</v>
      </c>
    </row>
    <row r="43" spans="2:13" ht="37.5" customHeight="1" x14ac:dyDescent="0.35">
      <c r="B43" s="11">
        <v>1</v>
      </c>
      <c r="C43" s="5" t="s">
        <v>4512</v>
      </c>
      <c r="D43" s="11">
        <v>39</v>
      </c>
      <c r="E43" s="5" t="s">
        <v>4637</v>
      </c>
      <c r="F43" s="5" t="s">
        <v>4638</v>
      </c>
      <c r="G43" s="5" t="s">
        <v>1226</v>
      </c>
      <c r="H43" s="5" t="s">
        <v>37</v>
      </c>
      <c r="I43" s="5" t="s">
        <v>170</v>
      </c>
      <c r="J43" s="5" t="s">
        <v>194</v>
      </c>
      <c r="K43" s="5" t="s">
        <v>286</v>
      </c>
      <c r="L43" s="11">
        <v>1</v>
      </c>
      <c r="M43" s="5" t="s">
        <v>4518</v>
      </c>
    </row>
    <row r="44" spans="2:13" ht="21.75" customHeight="1" x14ac:dyDescent="0.35">
      <c r="B44" s="12">
        <v>1</v>
      </c>
      <c r="C44" s="7" t="s">
        <v>4512</v>
      </c>
      <c r="D44" s="12">
        <v>40</v>
      </c>
      <c r="E44" s="7" t="s">
        <v>4639</v>
      </c>
      <c r="F44" s="7" t="s">
        <v>4640</v>
      </c>
      <c r="G44" s="7" t="s">
        <v>2837</v>
      </c>
      <c r="H44" s="7" t="s">
        <v>37</v>
      </c>
      <c r="I44" s="7" t="s">
        <v>170</v>
      </c>
      <c r="J44" s="7" t="s">
        <v>194</v>
      </c>
      <c r="K44" s="7" t="s">
        <v>286</v>
      </c>
      <c r="L44" s="12">
        <v>1</v>
      </c>
      <c r="M44" s="7" t="s">
        <v>4518</v>
      </c>
    </row>
    <row r="45" spans="2:13" ht="37.5" customHeight="1" x14ac:dyDescent="0.35">
      <c r="B45" s="11">
        <v>1</v>
      </c>
      <c r="C45" s="5" t="s">
        <v>4512</v>
      </c>
      <c r="D45" s="11">
        <v>41</v>
      </c>
      <c r="E45" s="5" t="s">
        <v>4641</v>
      </c>
      <c r="F45" s="5" t="s">
        <v>4642</v>
      </c>
      <c r="G45" s="5" t="s">
        <v>1269</v>
      </c>
      <c r="H45" s="5" t="s">
        <v>1995</v>
      </c>
      <c r="I45" s="5" t="s">
        <v>4643</v>
      </c>
      <c r="J45" s="5" t="s">
        <v>4644</v>
      </c>
      <c r="K45" s="5" t="s">
        <v>4645</v>
      </c>
      <c r="L45" s="11">
        <v>2</v>
      </c>
      <c r="M45" s="5" t="s">
        <v>4518</v>
      </c>
    </row>
    <row r="46" spans="2:13" ht="21.75" customHeight="1" x14ac:dyDescent="0.35">
      <c r="B46" s="12">
        <v>1</v>
      </c>
      <c r="C46" s="7" t="s">
        <v>4512</v>
      </c>
      <c r="D46" s="12">
        <v>42</v>
      </c>
      <c r="E46" s="7" t="s">
        <v>4646</v>
      </c>
      <c r="F46" s="7" t="s">
        <v>4647</v>
      </c>
      <c r="G46" s="7" t="s">
        <v>897</v>
      </c>
      <c r="H46" s="7" t="s">
        <v>36</v>
      </c>
      <c r="I46" s="7" t="s">
        <v>48</v>
      </c>
      <c r="J46" s="7" t="s">
        <v>177</v>
      </c>
      <c r="K46" s="7" t="s">
        <v>4570</v>
      </c>
      <c r="L46" s="12">
        <v>1</v>
      </c>
      <c r="M46" s="7" t="s">
        <v>4518</v>
      </c>
    </row>
    <row r="47" spans="2:13" ht="37.5" customHeight="1" x14ac:dyDescent="0.35">
      <c r="B47" s="11">
        <v>1</v>
      </c>
      <c r="C47" s="5" t="s">
        <v>4512</v>
      </c>
      <c r="D47" s="11">
        <v>43</v>
      </c>
      <c r="E47" s="5" t="s">
        <v>4648</v>
      </c>
      <c r="F47" s="5" t="s">
        <v>4649</v>
      </c>
      <c r="G47" s="5" t="s">
        <v>837</v>
      </c>
      <c r="H47" s="5" t="s">
        <v>39</v>
      </c>
      <c r="I47" s="5" t="s">
        <v>482</v>
      </c>
      <c r="J47" s="5" t="s">
        <v>4650</v>
      </c>
      <c r="K47" s="5" t="s">
        <v>4651</v>
      </c>
      <c r="L47" s="11">
        <v>1</v>
      </c>
      <c r="M47" s="5" t="s">
        <v>4518</v>
      </c>
    </row>
    <row r="48" spans="2:13" ht="37.5" customHeight="1" x14ac:dyDescent="0.35">
      <c r="B48" s="12">
        <v>1</v>
      </c>
      <c r="C48" s="7" t="s">
        <v>4512</v>
      </c>
      <c r="D48" s="12">
        <v>44</v>
      </c>
      <c r="E48" s="7" t="s">
        <v>4652</v>
      </c>
      <c r="F48" s="7" t="s">
        <v>4653</v>
      </c>
      <c r="G48" s="7" t="s">
        <v>4654</v>
      </c>
      <c r="H48" s="7" t="s">
        <v>39</v>
      </c>
      <c r="I48" s="7" t="s">
        <v>482</v>
      </c>
      <c r="J48" s="7" t="s">
        <v>4650</v>
      </c>
      <c r="K48" s="7" t="s">
        <v>4651</v>
      </c>
      <c r="L48" s="12">
        <v>1</v>
      </c>
      <c r="M48" s="7" t="s">
        <v>4518</v>
      </c>
    </row>
    <row r="49" spans="2:13" ht="37.5" customHeight="1" x14ac:dyDescent="0.35">
      <c r="B49" s="11">
        <v>1</v>
      </c>
      <c r="C49" s="5" t="s">
        <v>4512</v>
      </c>
      <c r="D49" s="11">
        <v>45</v>
      </c>
      <c r="E49" s="5" t="s">
        <v>4655</v>
      </c>
      <c r="F49" s="5" t="s">
        <v>4656</v>
      </c>
      <c r="G49" s="5" t="s">
        <v>3185</v>
      </c>
      <c r="H49" s="5" t="s">
        <v>42</v>
      </c>
      <c r="I49" s="5" t="s">
        <v>4657</v>
      </c>
      <c r="J49" s="5" t="s">
        <v>4658</v>
      </c>
      <c r="K49" s="5" t="s">
        <v>4659</v>
      </c>
      <c r="L49" s="11">
        <v>1</v>
      </c>
      <c r="M49" s="5" t="s">
        <v>4518</v>
      </c>
    </row>
    <row r="50" spans="2:13" ht="37.5" customHeight="1" x14ac:dyDescent="0.35">
      <c r="B50" s="12">
        <v>1</v>
      </c>
      <c r="C50" s="7" t="s">
        <v>4512</v>
      </c>
      <c r="D50" s="12">
        <v>46</v>
      </c>
      <c r="E50" s="7" t="s">
        <v>4660</v>
      </c>
      <c r="F50" s="7" t="s">
        <v>4661</v>
      </c>
      <c r="G50" s="7" t="s">
        <v>698</v>
      </c>
      <c r="H50" s="7" t="s">
        <v>4662</v>
      </c>
      <c r="I50" s="7" t="s">
        <v>4663</v>
      </c>
      <c r="J50" s="7" t="s">
        <v>177</v>
      </c>
      <c r="K50" s="7" t="s">
        <v>4664</v>
      </c>
      <c r="L50" s="12">
        <v>2</v>
      </c>
      <c r="M50" s="7" t="s">
        <v>4518</v>
      </c>
    </row>
    <row r="51" spans="2:13" ht="37.5" customHeight="1" x14ac:dyDescent="0.35">
      <c r="B51" s="11">
        <v>1</v>
      </c>
      <c r="C51" s="5" t="s">
        <v>4512</v>
      </c>
      <c r="D51" s="11">
        <v>47</v>
      </c>
      <c r="E51" s="5" t="s">
        <v>4665</v>
      </c>
      <c r="F51" s="5" t="s">
        <v>4666</v>
      </c>
      <c r="G51" s="5" t="s">
        <v>1647</v>
      </c>
      <c r="H51" s="5" t="s">
        <v>41</v>
      </c>
      <c r="I51" s="5" t="s">
        <v>170</v>
      </c>
      <c r="J51" s="5" t="s">
        <v>4667</v>
      </c>
      <c r="K51" s="5" t="s">
        <v>4668</v>
      </c>
      <c r="L51" s="11">
        <v>1</v>
      </c>
      <c r="M51" s="5" t="s">
        <v>4518</v>
      </c>
    </row>
    <row r="52" spans="2:13" ht="37.5" customHeight="1" x14ac:dyDescent="0.35">
      <c r="B52" s="12">
        <v>1</v>
      </c>
      <c r="C52" s="7" t="s">
        <v>4512</v>
      </c>
      <c r="D52" s="12">
        <v>48</v>
      </c>
      <c r="E52" s="7" t="s">
        <v>4669</v>
      </c>
      <c r="F52" s="7" t="s">
        <v>4670</v>
      </c>
      <c r="G52" s="7" t="s">
        <v>3946</v>
      </c>
      <c r="H52" s="7" t="s">
        <v>41</v>
      </c>
      <c r="I52" s="7" t="s">
        <v>170</v>
      </c>
      <c r="J52" s="7" t="s">
        <v>4667</v>
      </c>
      <c r="K52" s="7" t="s">
        <v>4668</v>
      </c>
      <c r="L52" s="12">
        <v>1</v>
      </c>
      <c r="M52" s="7" t="s">
        <v>4518</v>
      </c>
    </row>
    <row r="53" spans="2:13" ht="37.5" customHeight="1" x14ac:dyDescent="0.35">
      <c r="B53" s="11">
        <v>1</v>
      </c>
      <c r="C53" s="5" t="s">
        <v>4512</v>
      </c>
      <c r="D53" s="11">
        <v>49</v>
      </c>
      <c r="E53" s="5" t="s">
        <v>4671</v>
      </c>
      <c r="F53" s="5" t="s">
        <v>4672</v>
      </c>
      <c r="G53" s="5" t="s">
        <v>4673</v>
      </c>
      <c r="H53" s="5" t="s">
        <v>41</v>
      </c>
      <c r="I53" s="5" t="s">
        <v>170</v>
      </c>
      <c r="J53" s="5" t="s">
        <v>4667</v>
      </c>
      <c r="K53" s="5" t="s">
        <v>4668</v>
      </c>
      <c r="L53" s="11">
        <v>1</v>
      </c>
      <c r="M53" s="5" t="s">
        <v>4518</v>
      </c>
    </row>
    <row r="54" spans="2:13" ht="21.75" customHeight="1" x14ac:dyDescent="0.35">
      <c r="B54" s="12">
        <v>1</v>
      </c>
      <c r="C54" s="7" t="s">
        <v>4512</v>
      </c>
      <c r="D54" s="12">
        <v>50</v>
      </c>
      <c r="E54" s="7" t="s">
        <v>4674</v>
      </c>
      <c r="F54" s="7" t="s">
        <v>4675</v>
      </c>
      <c r="G54" s="7" t="s">
        <v>457</v>
      </c>
      <c r="H54" s="7" t="s">
        <v>4676</v>
      </c>
      <c r="I54" s="7" t="s">
        <v>49</v>
      </c>
      <c r="J54" s="7" t="s">
        <v>4667</v>
      </c>
      <c r="K54" s="7" t="s">
        <v>4677</v>
      </c>
      <c r="L54" s="12">
        <v>1</v>
      </c>
      <c r="M54" s="7" t="s">
        <v>4518</v>
      </c>
    </row>
    <row r="55" spans="2:13" ht="37.5" customHeight="1" x14ac:dyDescent="0.35">
      <c r="B55" s="11">
        <v>1</v>
      </c>
      <c r="C55" s="5" t="s">
        <v>4512</v>
      </c>
      <c r="D55" s="11">
        <v>51</v>
      </c>
      <c r="E55" s="5" t="s">
        <v>4678</v>
      </c>
      <c r="F55" s="5" t="s">
        <v>4679</v>
      </c>
      <c r="G55" s="5" t="s">
        <v>4680</v>
      </c>
      <c r="H55" s="5" t="s">
        <v>36</v>
      </c>
      <c r="I55" s="5" t="s">
        <v>48</v>
      </c>
      <c r="J55" s="5" t="s">
        <v>177</v>
      </c>
      <c r="K55" s="5" t="s">
        <v>4570</v>
      </c>
      <c r="L55" s="11">
        <v>1</v>
      </c>
      <c r="M55" s="5" t="s">
        <v>4518</v>
      </c>
    </row>
    <row r="56" spans="2:13" ht="21.75" customHeight="1" x14ac:dyDescent="0.35">
      <c r="B56" s="12">
        <v>1</v>
      </c>
      <c r="C56" s="7" t="s">
        <v>4512</v>
      </c>
      <c r="D56" s="12">
        <v>52</v>
      </c>
      <c r="E56" s="7" t="s">
        <v>4681</v>
      </c>
      <c r="F56" s="7" t="s">
        <v>4682</v>
      </c>
      <c r="G56" s="7" t="s">
        <v>212</v>
      </c>
      <c r="H56" s="7" t="s">
        <v>36</v>
      </c>
      <c r="I56" s="7" t="s">
        <v>48</v>
      </c>
      <c r="J56" s="7" t="s">
        <v>177</v>
      </c>
      <c r="K56" s="7" t="s">
        <v>4570</v>
      </c>
      <c r="L56" s="12">
        <v>1</v>
      </c>
      <c r="M56" s="7" t="s">
        <v>4518</v>
      </c>
    </row>
    <row r="57" spans="2:13" ht="37.5" customHeight="1" x14ac:dyDescent="0.35">
      <c r="B57" s="11">
        <v>1</v>
      </c>
      <c r="C57" s="5" t="s">
        <v>4512</v>
      </c>
      <c r="D57" s="11">
        <v>53</v>
      </c>
      <c r="E57" s="5" t="s">
        <v>4683</v>
      </c>
      <c r="F57" s="5" t="s">
        <v>4684</v>
      </c>
      <c r="G57" s="5" t="s">
        <v>1127</v>
      </c>
      <c r="H57" s="5" t="s">
        <v>36</v>
      </c>
      <c r="I57" s="5" t="s">
        <v>48</v>
      </c>
      <c r="J57" s="5" t="s">
        <v>177</v>
      </c>
      <c r="K57" s="5" t="s">
        <v>4570</v>
      </c>
      <c r="L57" s="11">
        <v>1</v>
      </c>
      <c r="M57" s="5" t="s">
        <v>4518</v>
      </c>
    </row>
    <row r="58" spans="2:13" ht="21.75" customHeight="1" x14ac:dyDescent="0.35">
      <c r="B58" s="12">
        <v>1</v>
      </c>
      <c r="C58" s="7" t="s">
        <v>4512</v>
      </c>
      <c r="D58" s="12">
        <v>54</v>
      </c>
      <c r="E58" s="7" t="s">
        <v>4685</v>
      </c>
      <c r="F58" s="7" t="s">
        <v>4686</v>
      </c>
      <c r="G58" s="7" t="s">
        <v>950</v>
      </c>
      <c r="H58" s="7" t="s">
        <v>36</v>
      </c>
      <c r="I58" s="7" t="s">
        <v>48</v>
      </c>
      <c r="J58" s="7" t="s">
        <v>177</v>
      </c>
      <c r="K58" s="7" t="s">
        <v>4570</v>
      </c>
      <c r="L58" s="12">
        <v>1</v>
      </c>
      <c r="M58" s="7" t="s">
        <v>4518</v>
      </c>
    </row>
    <row r="59" spans="2:13" ht="21.75" customHeight="1" x14ac:dyDescent="0.35">
      <c r="B59" s="11">
        <v>1</v>
      </c>
      <c r="C59" s="5" t="s">
        <v>4512</v>
      </c>
      <c r="D59" s="11">
        <v>55</v>
      </c>
      <c r="E59" s="5" t="s">
        <v>4687</v>
      </c>
      <c r="F59" s="5" t="s">
        <v>4688</v>
      </c>
      <c r="G59" s="5" t="s">
        <v>970</v>
      </c>
      <c r="H59" s="5" t="s">
        <v>36</v>
      </c>
      <c r="I59" s="5" t="s">
        <v>48</v>
      </c>
      <c r="J59" s="5" t="s">
        <v>177</v>
      </c>
      <c r="K59" s="5" t="s">
        <v>4570</v>
      </c>
      <c r="L59" s="11">
        <v>1</v>
      </c>
      <c r="M59" s="5" t="s">
        <v>4518</v>
      </c>
    </row>
    <row r="60" spans="2:13" ht="37.5" customHeight="1" x14ac:dyDescent="0.35">
      <c r="B60" s="12">
        <v>1</v>
      </c>
      <c r="C60" s="7" t="s">
        <v>4512</v>
      </c>
      <c r="D60" s="12">
        <v>56</v>
      </c>
      <c r="E60" s="7" t="s">
        <v>4689</v>
      </c>
      <c r="F60" s="7" t="s">
        <v>4690</v>
      </c>
      <c r="G60" s="7" t="s">
        <v>536</v>
      </c>
      <c r="H60" s="7" t="s">
        <v>36</v>
      </c>
      <c r="I60" s="7" t="s">
        <v>48</v>
      </c>
      <c r="J60" s="7" t="s">
        <v>177</v>
      </c>
      <c r="K60" s="7" t="s">
        <v>4570</v>
      </c>
      <c r="L60" s="12">
        <v>1</v>
      </c>
      <c r="M60" s="7" t="s">
        <v>4518</v>
      </c>
    </row>
    <row r="61" spans="2:13" ht="21.75" customHeight="1" x14ac:dyDescent="0.35">
      <c r="B61" s="11">
        <v>1</v>
      </c>
      <c r="C61" s="5" t="s">
        <v>4512</v>
      </c>
      <c r="D61" s="11">
        <v>57</v>
      </c>
      <c r="E61" s="5" t="s">
        <v>4691</v>
      </c>
      <c r="F61" s="5" t="s">
        <v>4692</v>
      </c>
      <c r="G61" s="5" t="s">
        <v>1873</v>
      </c>
      <c r="H61" s="5" t="s">
        <v>36</v>
      </c>
      <c r="I61" s="5" t="s">
        <v>48</v>
      </c>
      <c r="J61" s="5" t="s">
        <v>177</v>
      </c>
      <c r="K61" s="5" t="s">
        <v>4570</v>
      </c>
      <c r="L61" s="11">
        <v>1</v>
      </c>
      <c r="M61" s="5" t="s">
        <v>4518</v>
      </c>
    </row>
    <row r="62" spans="2:13" ht="37.5" customHeight="1" x14ac:dyDescent="0.35">
      <c r="B62" s="12">
        <v>1</v>
      </c>
      <c r="C62" s="7" t="s">
        <v>4512</v>
      </c>
      <c r="D62" s="12">
        <v>58</v>
      </c>
      <c r="E62" s="7" t="s">
        <v>4693</v>
      </c>
      <c r="F62" s="7" t="s">
        <v>4694</v>
      </c>
      <c r="G62" s="7" t="s">
        <v>439</v>
      </c>
      <c r="H62" s="7" t="s">
        <v>37</v>
      </c>
      <c r="I62" s="7" t="s">
        <v>170</v>
      </c>
      <c r="J62" s="7" t="s">
        <v>194</v>
      </c>
      <c r="K62" s="7" t="s">
        <v>286</v>
      </c>
      <c r="L62" s="12">
        <v>1</v>
      </c>
      <c r="M62" s="7" t="s">
        <v>4518</v>
      </c>
    </row>
    <row r="63" spans="2:13" ht="21.75" customHeight="1" x14ac:dyDescent="0.35">
      <c r="B63" s="11">
        <v>1</v>
      </c>
      <c r="C63" s="5" t="s">
        <v>4512</v>
      </c>
      <c r="D63" s="11">
        <v>59</v>
      </c>
      <c r="E63" s="5" t="s">
        <v>4695</v>
      </c>
      <c r="F63" s="5" t="s">
        <v>4696</v>
      </c>
      <c r="G63" s="5" t="s">
        <v>1680</v>
      </c>
      <c r="H63" s="5" t="s">
        <v>36</v>
      </c>
      <c r="I63" s="5" t="s">
        <v>48</v>
      </c>
      <c r="J63" s="5" t="s">
        <v>177</v>
      </c>
      <c r="K63" s="5" t="s">
        <v>4570</v>
      </c>
      <c r="L63" s="11">
        <v>1</v>
      </c>
      <c r="M63" s="5" t="s">
        <v>4518</v>
      </c>
    </row>
    <row r="64" spans="2:13" ht="21.75" customHeight="1" x14ac:dyDescent="0.35">
      <c r="B64" s="12">
        <v>1</v>
      </c>
      <c r="C64" s="7" t="s">
        <v>4512</v>
      </c>
      <c r="D64" s="12">
        <v>60</v>
      </c>
      <c r="E64" s="7" t="s">
        <v>4697</v>
      </c>
      <c r="F64" s="7" t="s">
        <v>4698</v>
      </c>
      <c r="G64" s="7" t="s">
        <v>1203</v>
      </c>
      <c r="H64" s="7" t="s">
        <v>36</v>
      </c>
      <c r="I64" s="7" t="s">
        <v>48</v>
      </c>
      <c r="J64" s="7" t="s">
        <v>177</v>
      </c>
      <c r="K64" s="7" t="s">
        <v>4570</v>
      </c>
      <c r="L64" s="12">
        <v>1</v>
      </c>
      <c r="M64" s="7" t="s">
        <v>4518</v>
      </c>
    </row>
    <row r="65" spans="2:13" ht="37.5" customHeight="1" x14ac:dyDescent="0.35">
      <c r="B65" s="11">
        <v>1</v>
      </c>
      <c r="C65" s="5" t="s">
        <v>4512</v>
      </c>
      <c r="D65" s="11">
        <v>61</v>
      </c>
      <c r="E65" s="5" t="s">
        <v>4699</v>
      </c>
      <c r="F65" s="5" t="s">
        <v>4700</v>
      </c>
      <c r="G65" s="5" t="s">
        <v>224</v>
      </c>
      <c r="H65" s="5" t="s">
        <v>1521</v>
      </c>
      <c r="I65" s="5" t="s">
        <v>4565</v>
      </c>
      <c r="J65" s="5" t="s">
        <v>4566</v>
      </c>
      <c r="K65" s="5" t="s">
        <v>4567</v>
      </c>
      <c r="L65" s="11">
        <v>2</v>
      </c>
      <c r="M65" s="5" t="s">
        <v>4518</v>
      </c>
    </row>
    <row r="66" spans="2:13" ht="21.75" customHeight="1" x14ac:dyDescent="0.35">
      <c r="B66" s="12">
        <v>1</v>
      </c>
      <c r="C66" s="7" t="s">
        <v>4512</v>
      </c>
      <c r="D66" s="12">
        <v>62</v>
      </c>
      <c r="E66" s="7" t="s">
        <v>4701</v>
      </c>
      <c r="F66" s="7" t="s">
        <v>4702</v>
      </c>
      <c r="G66" s="7" t="s">
        <v>4703</v>
      </c>
      <c r="H66" s="7" t="s">
        <v>36</v>
      </c>
      <c r="I66" s="7" t="s">
        <v>48</v>
      </c>
      <c r="J66" s="7" t="s">
        <v>177</v>
      </c>
      <c r="K66" s="7" t="s">
        <v>4570</v>
      </c>
      <c r="L66" s="12">
        <v>1</v>
      </c>
      <c r="M66" s="7" t="s">
        <v>4518</v>
      </c>
    </row>
    <row r="67" spans="2:13" ht="21.75" customHeight="1" x14ac:dyDescent="0.35">
      <c r="B67" s="11">
        <v>1</v>
      </c>
      <c r="C67" s="5" t="s">
        <v>4512</v>
      </c>
      <c r="D67" s="11">
        <v>63</v>
      </c>
      <c r="E67" s="5" t="s">
        <v>4704</v>
      </c>
      <c r="F67" s="5" t="s">
        <v>4705</v>
      </c>
      <c r="G67" s="5" t="s">
        <v>4706</v>
      </c>
      <c r="H67" s="5" t="s">
        <v>37</v>
      </c>
      <c r="I67" s="5" t="s">
        <v>170</v>
      </c>
      <c r="J67" s="5" t="s">
        <v>4707</v>
      </c>
      <c r="K67" s="5" t="s">
        <v>4708</v>
      </c>
      <c r="L67" s="11">
        <v>1</v>
      </c>
      <c r="M67" s="5" t="s">
        <v>4518</v>
      </c>
    </row>
    <row r="68" spans="2:13" ht="21.75" customHeight="1" x14ac:dyDescent="0.35">
      <c r="B68" s="12">
        <v>1</v>
      </c>
      <c r="C68" s="7" t="s">
        <v>4512</v>
      </c>
      <c r="D68" s="12">
        <v>64</v>
      </c>
      <c r="E68" s="7" t="s">
        <v>4709</v>
      </c>
      <c r="F68" s="7" t="s">
        <v>4710</v>
      </c>
      <c r="G68" s="7" t="s">
        <v>927</v>
      </c>
      <c r="H68" s="7" t="s">
        <v>37</v>
      </c>
      <c r="I68" s="7" t="s">
        <v>170</v>
      </c>
      <c r="J68" s="7" t="s">
        <v>194</v>
      </c>
      <c r="K68" s="7" t="s">
        <v>286</v>
      </c>
      <c r="L68" s="12">
        <v>1</v>
      </c>
      <c r="M68" s="7" t="s">
        <v>4518</v>
      </c>
    </row>
    <row r="69" spans="2:13" ht="21.75" customHeight="1" x14ac:dyDescent="0.35">
      <c r="B69" s="11">
        <v>1</v>
      </c>
      <c r="C69" s="5" t="s">
        <v>4512</v>
      </c>
      <c r="D69" s="11">
        <v>65</v>
      </c>
      <c r="E69" s="5" t="s">
        <v>4711</v>
      </c>
      <c r="F69" s="5" t="s">
        <v>4712</v>
      </c>
      <c r="G69" s="5" t="s">
        <v>1781</v>
      </c>
      <c r="H69" s="5" t="s">
        <v>37</v>
      </c>
      <c r="I69" s="5" t="s">
        <v>170</v>
      </c>
      <c r="J69" s="5" t="s">
        <v>194</v>
      </c>
      <c r="K69" s="5" t="s">
        <v>286</v>
      </c>
      <c r="L69" s="11">
        <v>1</v>
      </c>
      <c r="M69" s="5" t="s">
        <v>4518</v>
      </c>
    </row>
    <row r="70" spans="2:13" ht="37.5" customHeight="1" x14ac:dyDescent="0.35">
      <c r="B70" s="12">
        <v>1</v>
      </c>
      <c r="C70" s="7" t="s">
        <v>4512</v>
      </c>
      <c r="D70" s="12">
        <v>66</v>
      </c>
      <c r="E70" s="7" t="s">
        <v>4713</v>
      </c>
      <c r="F70" s="7" t="s">
        <v>4714</v>
      </c>
      <c r="G70" s="7" t="s">
        <v>249</v>
      </c>
      <c r="H70" s="7" t="s">
        <v>301</v>
      </c>
      <c r="I70" s="7" t="s">
        <v>302</v>
      </c>
      <c r="J70" s="7" t="s">
        <v>4715</v>
      </c>
      <c r="K70" s="7" t="s">
        <v>4716</v>
      </c>
      <c r="L70" s="12">
        <v>2</v>
      </c>
      <c r="M70" s="7" t="s">
        <v>4518</v>
      </c>
    </row>
    <row r="71" spans="2:13" ht="52.5" customHeight="1" x14ac:dyDescent="0.35">
      <c r="B71" s="11">
        <v>1</v>
      </c>
      <c r="C71" s="5" t="s">
        <v>4512</v>
      </c>
      <c r="D71" s="11">
        <v>67</v>
      </c>
      <c r="E71" s="5" t="s">
        <v>4717</v>
      </c>
      <c r="F71" s="5" t="s">
        <v>4718</v>
      </c>
      <c r="G71" s="5" t="s">
        <v>4719</v>
      </c>
      <c r="H71" s="5" t="s">
        <v>4720</v>
      </c>
      <c r="I71" s="5" t="s">
        <v>4565</v>
      </c>
      <c r="J71" s="5" t="s">
        <v>4721</v>
      </c>
      <c r="K71" s="5" t="s">
        <v>4722</v>
      </c>
      <c r="L71" s="11">
        <v>2</v>
      </c>
      <c r="M71" s="5" t="s">
        <v>4518</v>
      </c>
    </row>
    <row r="72" spans="2:13" ht="52.5" customHeight="1" x14ac:dyDescent="0.35">
      <c r="B72" s="12">
        <v>1</v>
      </c>
      <c r="C72" s="7" t="s">
        <v>4512</v>
      </c>
      <c r="D72" s="12">
        <v>68</v>
      </c>
      <c r="E72" s="7" t="s">
        <v>4723</v>
      </c>
      <c r="F72" s="7" t="s">
        <v>4724</v>
      </c>
      <c r="G72" s="7" t="s">
        <v>842</v>
      </c>
      <c r="H72" s="7" t="s">
        <v>4720</v>
      </c>
      <c r="I72" s="7" t="s">
        <v>4565</v>
      </c>
      <c r="J72" s="7" t="s">
        <v>4721</v>
      </c>
      <c r="K72" s="7" t="s">
        <v>4722</v>
      </c>
      <c r="L72" s="12">
        <v>2</v>
      </c>
      <c r="M72" s="7" t="s">
        <v>4518</v>
      </c>
    </row>
    <row r="73" spans="2:13" ht="37.5" customHeight="1" x14ac:dyDescent="0.35">
      <c r="B73" s="11">
        <v>1</v>
      </c>
      <c r="C73" s="5" t="s">
        <v>4512</v>
      </c>
      <c r="D73" s="11">
        <v>69</v>
      </c>
      <c r="E73" s="5" t="s">
        <v>4725</v>
      </c>
      <c r="F73" s="5" t="s">
        <v>4726</v>
      </c>
      <c r="G73" s="5" t="s">
        <v>856</v>
      </c>
      <c r="H73" s="5" t="s">
        <v>301</v>
      </c>
      <c r="I73" s="5" t="s">
        <v>4727</v>
      </c>
      <c r="J73" s="5" t="s">
        <v>4715</v>
      </c>
      <c r="K73" s="5" t="s">
        <v>4728</v>
      </c>
      <c r="L73" s="11">
        <v>2</v>
      </c>
      <c r="M73" s="5" t="s">
        <v>4518</v>
      </c>
    </row>
    <row r="74" spans="2:13" ht="21.75" customHeight="1" x14ac:dyDescent="0.35">
      <c r="B74" s="12">
        <v>1</v>
      </c>
      <c r="C74" s="7" t="s">
        <v>4512</v>
      </c>
      <c r="D74" s="12">
        <v>70</v>
      </c>
      <c r="E74" s="7" t="s">
        <v>4729</v>
      </c>
      <c r="F74" s="7" t="s">
        <v>4730</v>
      </c>
      <c r="G74" s="7" t="s">
        <v>4731</v>
      </c>
      <c r="H74" s="7" t="s">
        <v>37</v>
      </c>
      <c r="I74" s="7" t="s">
        <v>170</v>
      </c>
      <c r="J74" s="7" t="s">
        <v>194</v>
      </c>
      <c r="K74" s="7" t="s">
        <v>286</v>
      </c>
      <c r="L74" s="12">
        <v>1</v>
      </c>
      <c r="M74" s="7" t="s">
        <v>4518</v>
      </c>
    </row>
    <row r="75" spans="2:13" ht="37.5" customHeight="1" x14ac:dyDescent="0.35">
      <c r="B75" s="11">
        <v>1</v>
      </c>
      <c r="C75" s="5" t="s">
        <v>4512</v>
      </c>
      <c r="D75" s="11">
        <v>71</v>
      </c>
      <c r="E75" s="5" t="s">
        <v>4732</v>
      </c>
      <c r="F75" s="5" t="s">
        <v>4733</v>
      </c>
      <c r="G75" s="5" t="s">
        <v>1667</v>
      </c>
      <c r="H75" s="5" t="s">
        <v>41</v>
      </c>
      <c r="I75" s="5" t="s">
        <v>170</v>
      </c>
      <c r="J75" s="5" t="s">
        <v>4734</v>
      </c>
      <c r="K75" s="5" t="s">
        <v>4735</v>
      </c>
      <c r="L75" s="11">
        <v>1</v>
      </c>
      <c r="M75" s="5" t="s">
        <v>4518</v>
      </c>
    </row>
    <row r="76" spans="2:13" ht="37.5" customHeight="1" x14ac:dyDescent="0.35">
      <c r="B76" s="12">
        <v>1</v>
      </c>
      <c r="C76" s="7" t="s">
        <v>4512</v>
      </c>
      <c r="D76" s="12">
        <v>72</v>
      </c>
      <c r="E76" s="7" t="s">
        <v>4736</v>
      </c>
      <c r="F76" s="7" t="s">
        <v>4737</v>
      </c>
      <c r="G76" s="7" t="s">
        <v>800</v>
      </c>
      <c r="H76" s="7" t="s">
        <v>306</v>
      </c>
      <c r="I76" s="7" t="s">
        <v>4738</v>
      </c>
      <c r="J76" s="7" t="s">
        <v>308</v>
      </c>
      <c r="K76" s="7" t="s">
        <v>4739</v>
      </c>
      <c r="L76" s="12">
        <v>2</v>
      </c>
      <c r="M76" s="7" t="s">
        <v>4518</v>
      </c>
    </row>
    <row r="77" spans="2:13" ht="37.5" customHeight="1" x14ac:dyDescent="0.35">
      <c r="B77" s="11">
        <v>1</v>
      </c>
      <c r="C77" s="5" t="s">
        <v>4512</v>
      </c>
      <c r="D77" s="11">
        <v>73</v>
      </c>
      <c r="E77" s="5" t="s">
        <v>4740</v>
      </c>
      <c r="F77" s="5" t="s">
        <v>4741</v>
      </c>
      <c r="G77" s="5" t="s">
        <v>32</v>
      </c>
      <c r="H77" s="5" t="s">
        <v>294</v>
      </c>
      <c r="I77" s="5" t="s">
        <v>4643</v>
      </c>
      <c r="J77" s="5" t="s">
        <v>4522</v>
      </c>
      <c r="K77" s="5" t="s">
        <v>4742</v>
      </c>
      <c r="L77" s="11">
        <v>2</v>
      </c>
      <c r="M77" s="5" t="s">
        <v>4518</v>
      </c>
    </row>
    <row r="78" spans="2:13" ht="21.75" customHeight="1" x14ac:dyDescent="0.35">
      <c r="B78" s="12">
        <v>1</v>
      </c>
      <c r="C78" s="7" t="s">
        <v>4512</v>
      </c>
      <c r="D78" s="12">
        <v>74</v>
      </c>
      <c r="E78" s="7" t="s">
        <v>4743</v>
      </c>
      <c r="F78" s="7" t="s">
        <v>4744</v>
      </c>
      <c r="G78" s="7" t="s">
        <v>900</v>
      </c>
      <c r="H78" s="7" t="s">
        <v>37</v>
      </c>
      <c r="I78" s="7" t="s">
        <v>170</v>
      </c>
      <c r="J78" s="7" t="s">
        <v>194</v>
      </c>
      <c r="K78" s="7" t="s">
        <v>286</v>
      </c>
      <c r="L78" s="12">
        <v>1</v>
      </c>
      <c r="M78" s="7" t="s">
        <v>4518</v>
      </c>
    </row>
    <row r="79" spans="2:13" ht="21.75" customHeight="1" x14ac:dyDescent="0.35">
      <c r="B79" s="11">
        <v>1</v>
      </c>
      <c r="C79" s="5" t="s">
        <v>4512</v>
      </c>
      <c r="D79" s="11">
        <v>75</v>
      </c>
      <c r="E79" s="5" t="s">
        <v>4745</v>
      </c>
      <c r="F79" s="5" t="s">
        <v>4746</v>
      </c>
      <c r="G79" s="5" t="s">
        <v>1829</v>
      </c>
      <c r="H79" s="5" t="s">
        <v>37</v>
      </c>
      <c r="I79" s="5" t="s">
        <v>170</v>
      </c>
      <c r="J79" s="5" t="s">
        <v>194</v>
      </c>
      <c r="K79" s="5" t="s">
        <v>286</v>
      </c>
      <c r="L79" s="11">
        <v>1</v>
      </c>
      <c r="M79" s="5" t="s">
        <v>4518</v>
      </c>
    </row>
    <row r="80" spans="2:13" ht="52.5" customHeight="1" x14ac:dyDescent="0.35">
      <c r="B80" s="12">
        <v>1</v>
      </c>
      <c r="C80" s="7" t="s">
        <v>4512</v>
      </c>
      <c r="D80" s="12">
        <v>76</v>
      </c>
      <c r="E80" s="7" t="s">
        <v>4747</v>
      </c>
      <c r="F80" s="7" t="s">
        <v>4748</v>
      </c>
      <c r="G80" s="7" t="s">
        <v>3283</v>
      </c>
      <c r="H80" s="7" t="s">
        <v>294</v>
      </c>
      <c r="I80" s="7" t="s">
        <v>170</v>
      </c>
      <c r="J80" s="7" t="s">
        <v>4522</v>
      </c>
      <c r="K80" s="7" t="s">
        <v>4749</v>
      </c>
      <c r="L80" s="12">
        <v>2</v>
      </c>
      <c r="M80" s="7" t="s">
        <v>4518</v>
      </c>
    </row>
    <row r="81" spans="2:13" ht="37.5" customHeight="1" x14ac:dyDescent="0.35">
      <c r="B81" s="11">
        <v>1</v>
      </c>
      <c r="C81" s="5" t="s">
        <v>4512</v>
      </c>
      <c r="D81" s="11">
        <v>77</v>
      </c>
      <c r="E81" s="5" t="s">
        <v>4750</v>
      </c>
      <c r="F81" s="5" t="s">
        <v>4751</v>
      </c>
      <c r="G81" s="5" t="s">
        <v>1196</v>
      </c>
      <c r="H81" s="5" t="s">
        <v>4752</v>
      </c>
      <c r="I81" s="5" t="s">
        <v>4753</v>
      </c>
      <c r="J81" s="5" t="s">
        <v>4754</v>
      </c>
      <c r="K81" s="5" t="s">
        <v>4755</v>
      </c>
      <c r="L81" s="11">
        <v>2</v>
      </c>
      <c r="M81" s="5" t="s">
        <v>4518</v>
      </c>
    </row>
    <row r="82" spans="2:13" ht="37.5" customHeight="1" x14ac:dyDescent="0.35">
      <c r="B82" s="12">
        <v>1</v>
      </c>
      <c r="C82" s="7" t="s">
        <v>4512</v>
      </c>
      <c r="D82" s="12">
        <v>78</v>
      </c>
      <c r="E82" s="7" t="s">
        <v>4756</v>
      </c>
      <c r="F82" s="7" t="s">
        <v>4757</v>
      </c>
      <c r="G82" s="7" t="s">
        <v>30</v>
      </c>
      <c r="H82" s="7" t="s">
        <v>37</v>
      </c>
      <c r="I82" s="7" t="s">
        <v>170</v>
      </c>
      <c r="J82" s="7" t="s">
        <v>194</v>
      </c>
      <c r="K82" s="7" t="s">
        <v>286</v>
      </c>
      <c r="L82" s="12">
        <v>1</v>
      </c>
      <c r="M82" s="7" t="s">
        <v>4518</v>
      </c>
    </row>
    <row r="83" spans="2:13" ht="67.5" customHeight="1" x14ac:dyDescent="0.35">
      <c r="B83" s="11">
        <v>1</v>
      </c>
      <c r="C83" s="5" t="s">
        <v>4512</v>
      </c>
      <c r="D83" s="11">
        <v>79</v>
      </c>
      <c r="E83" s="5" t="s">
        <v>4758</v>
      </c>
      <c r="F83" s="5" t="s">
        <v>4759</v>
      </c>
      <c r="G83" s="5" t="s">
        <v>4260</v>
      </c>
      <c r="H83" s="5" t="s">
        <v>4760</v>
      </c>
      <c r="I83" s="5" t="s">
        <v>307</v>
      </c>
      <c r="J83" s="5" t="s">
        <v>4761</v>
      </c>
      <c r="K83" s="5" t="s">
        <v>4762</v>
      </c>
      <c r="L83" s="11">
        <v>3</v>
      </c>
      <c r="M83" s="5" t="s">
        <v>4518</v>
      </c>
    </row>
    <row r="84" spans="2:13" ht="21.75" customHeight="1" x14ac:dyDescent="0.35">
      <c r="B84" s="12">
        <v>1</v>
      </c>
      <c r="C84" s="7" t="s">
        <v>4512</v>
      </c>
      <c r="D84" s="12">
        <v>80</v>
      </c>
      <c r="E84" s="7" t="s">
        <v>4763</v>
      </c>
      <c r="F84" s="7" t="s">
        <v>4764</v>
      </c>
      <c r="G84" s="7" t="s">
        <v>26</v>
      </c>
      <c r="H84" s="7" t="s">
        <v>42</v>
      </c>
      <c r="I84" s="7" t="s">
        <v>49</v>
      </c>
      <c r="J84" s="7" t="s">
        <v>2617</v>
      </c>
      <c r="K84" s="7" t="s">
        <v>4765</v>
      </c>
      <c r="L84" s="12">
        <v>1</v>
      </c>
      <c r="M84" s="7" t="s">
        <v>4518</v>
      </c>
    </row>
    <row r="85" spans="2:13" ht="21.75" customHeight="1" x14ac:dyDescent="0.35">
      <c r="B85" s="11">
        <v>1</v>
      </c>
      <c r="C85" s="5" t="s">
        <v>4512</v>
      </c>
      <c r="D85" s="11">
        <v>81</v>
      </c>
      <c r="E85" s="5" t="s">
        <v>4766</v>
      </c>
      <c r="F85" s="5" t="s">
        <v>4767</v>
      </c>
      <c r="G85" s="5" t="s">
        <v>791</v>
      </c>
      <c r="H85" s="5" t="s">
        <v>37</v>
      </c>
      <c r="I85" s="5" t="s">
        <v>193</v>
      </c>
      <c r="J85" s="5" t="s">
        <v>194</v>
      </c>
      <c r="K85" s="5" t="s">
        <v>195</v>
      </c>
      <c r="L85" s="11">
        <v>1</v>
      </c>
      <c r="M85" s="5" t="s">
        <v>4518</v>
      </c>
    </row>
    <row r="86" spans="2:13" ht="37.5" customHeight="1" x14ac:dyDescent="0.35">
      <c r="B86" s="12">
        <v>1</v>
      </c>
      <c r="C86" s="7" t="s">
        <v>4512</v>
      </c>
      <c r="D86" s="12">
        <v>82</v>
      </c>
      <c r="E86" s="7" t="s">
        <v>4768</v>
      </c>
      <c r="F86" s="7" t="s">
        <v>4769</v>
      </c>
      <c r="G86" s="7" t="s">
        <v>358</v>
      </c>
      <c r="H86" s="7" t="s">
        <v>37</v>
      </c>
      <c r="I86" s="7" t="s">
        <v>193</v>
      </c>
      <c r="J86" s="7" t="s">
        <v>194</v>
      </c>
      <c r="K86" s="7" t="s">
        <v>195</v>
      </c>
      <c r="L86" s="12">
        <v>1</v>
      </c>
      <c r="M86" s="7" t="s">
        <v>4518</v>
      </c>
    </row>
    <row r="87" spans="2:13" ht="21.75" customHeight="1" x14ac:dyDescent="0.35">
      <c r="B87" s="11">
        <v>1</v>
      </c>
      <c r="C87" s="5" t="s">
        <v>4512</v>
      </c>
      <c r="D87" s="11">
        <v>83</v>
      </c>
      <c r="E87" s="5" t="s">
        <v>4770</v>
      </c>
      <c r="F87" s="5" t="s">
        <v>4771</v>
      </c>
      <c r="G87" s="5" t="s">
        <v>749</v>
      </c>
      <c r="H87" s="5" t="s">
        <v>36</v>
      </c>
      <c r="I87" s="5" t="s">
        <v>48</v>
      </c>
      <c r="J87" s="5" t="s">
        <v>177</v>
      </c>
      <c r="K87" s="5" t="s">
        <v>4570</v>
      </c>
      <c r="L87" s="11">
        <v>1</v>
      </c>
      <c r="M87" s="5" t="s">
        <v>4518</v>
      </c>
    </row>
    <row r="88" spans="2:13" ht="21.75" customHeight="1" x14ac:dyDescent="0.35">
      <c r="B88" s="12">
        <v>1</v>
      </c>
      <c r="C88" s="7" t="s">
        <v>4512</v>
      </c>
      <c r="D88" s="12">
        <v>84</v>
      </c>
      <c r="E88" s="7" t="s">
        <v>4772</v>
      </c>
      <c r="F88" s="7" t="s">
        <v>4773</v>
      </c>
      <c r="G88" s="7" t="s">
        <v>1172</v>
      </c>
      <c r="H88" s="7" t="s">
        <v>36</v>
      </c>
      <c r="I88" s="7" t="s">
        <v>48</v>
      </c>
      <c r="J88" s="7" t="s">
        <v>177</v>
      </c>
      <c r="K88" s="7" t="s">
        <v>4570</v>
      </c>
      <c r="L88" s="12">
        <v>1</v>
      </c>
      <c r="M88" s="7" t="s">
        <v>4518</v>
      </c>
    </row>
    <row r="89" spans="2:13" ht="37.5" customHeight="1" x14ac:dyDescent="0.35">
      <c r="B89" s="11">
        <v>1</v>
      </c>
      <c r="C89" s="5" t="s">
        <v>4512</v>
      </c>
      <c r="D89" s="11">
        <v>85</v>
      </c>
      <c r="E89" s="5" t="s">
        <v>4774</v>
      </c>
      <c r="F89" s="5" t="s">
        <v>4775</v>
      </c>
      <c r="G89" s="5" t="s">
        <v>956</v>
      </c>
      <c r="H89" s="5" t="s">
        <v>4580</v>
      </c>
      <c r="I89" s="5" t="s">
        <v>4776</v>
      </c>
      <c r="J89" s="5" t="s">
        <v>4777</v>
      </c>
      <c r="K89" s="5" t="s">
        <v>4778</v>
      </c>
      <c r="L89" s="11">
        <v>2</v>
      </c>
      <c r="M89" s="5" t="s">
        <v>4518</v>
      </c>
    </row>
    <row r="90" spans="2:13" ht="21.75" customHeight="1" x14ac:dyDescent="0.35">
      <c r="B90" s="12">
        <v>1</v>
      </c>
      <c r="C90" s="7" t="s">
        <v>4512</v>
      </c>
      <c r="D90" s="12">
        <v>86</v>
      </c>
      <c r="E90" s="7" t="s">
        <v>4779</v>
      </c>
      <c r="F90" s="7" t="s">
        <v>4780</v>
      </c>
      <c r="G90" s="7" t="s">
        <v>2232</v>
      </c>
      <c r="H90" s="7" t="s">
        <v>41</v>
      </c>
      <c r="I90" s="7" t="s">
        <v>193</v>
      </c>
      <c r="J90" s="7" t="s">
        <v>4650</v>
      </c>
      <c r="K90" s="7" t="s">
        <v>4781</v>
      </c>
      <c r="L90" s="12">
        <v>1</v>
      </c>
      <c r="M90" s="7" t="s">
        <v>4518</v>
      </c>
    </row>
    <row r="91" spans="2:13" ht="21.75" customHeight="1" x14ac:dyDescent="0.35">
      <c r="B91" s="11">
        <v>1</v>
      </c>
      <c r="C91" s="5" t="s">
        <v>4512</v>
      </c>
      <c r="D91" s="11">
        <v>87</v>
      </c>
      <c r="E91" s="5" t="s">
        <v>4782</v>
      </c>
      <c r="F91" s="5" t="s">
        <v>4783</v>
      </c>
      <c r="G91" s="5" t="s">
        <v>285</v>
      </c>
      <c r="H91" s="5" t="s">
        <v>41</v>
      </c>
      <c r="I91" s="5" t="s">
        <v>193</v>
      </c>
      <c r="J91" s="5" t="s">
        <v>4650</v>
      </c>
      <c r="K91" s="5" t="s">
        <v>4781</v>
      </c>
      <c r="L91" s="11">
        <v>1</v>
      </c>
      <c r="M91" s="5" t="s">
        <v>4518</v>
      </c>
    </row>
    <row r="92" spans="2:13" ht="37.5" customHeight="1" x14ac:dyDescent="0.35">
      <c r="B92" s="12">
        <v>1</v>
      </c>
      <c r="C92" s="7" t="s">
        <v>4512</v>
      </c>
      <c r="D92" s="12">
        <v>88</v>
      </c>
      <c r="E92" s="7" t="s">
        <v>4784</v>
      </c>
      <c r="F92" s="7" t="s">
        <v>4785</v>
      </c>
      <c r="G92" s="7" t="s">
        <v>4786</v>
      </c>
      <c r="H92" s="7" t="s">
        <v>4662</v>
      </c>
      <c r="I92" s="7" t="s">
        <v>4787</v>
      </c>
      <c r="J92" s="7" t="s">
        <v>4788</v>
      </c>
      <c r="K92" s="7" t="s">
        <v>4789</v>
      </c>
      <c r="L92" s="12">
        <v>2</v>
      </c>
      <c r="M92" s="7" t="s">
        <v>4518</v>
      </c>
    </row>
    <row r="93" spans="2:13" ht="37.5" customHeight="1" x14ac:dyDescent="0.35">
      <c r="B93" s="11">
        <v>1</v>
      </c>
      <c r="C93" s="5" t="s">
        <v>4512</v>
      </c>
      <c r="D93" s="11">
        <v>89</v>
      </c>
      <c r="E93" s="5" t="s">
        <v>4790</v>
      </c>
      <c r="F93" s="5" t="s">
        <v>4791</v>
      </c>
      <c r="G93" s="5" t="s">
        <v>877</v>
      </c>
      <c r="H93" s="5" t="s">
        <v>36</v>
      </c>
      <c r="I93" s="5" t="s">
        <v>4792</v>
      </c>
      <c r="J93" s="5" t="s">
        <v>177</v>
      </c>
      <c r="K93" s="5" t="s">
        <v>4793</v>
      </c>
      <c r="L93" s="11">
        <v>2</v>
      </c>
      <c r="M93" s="5" t="s">
        <v>4518</v>
      </c>
    </row>
    <row r="94" spans="2:13" ht="21.75" customHeight="1" x14ac:dyDescent="0.35">
      <c r="B94" s="12">
        <v>1</v>
      </c>
      <c r="C94" s="7" t="s">
        <v>4512</v>
      </c>
      <c r="D94" s="12">
        <v>90</v>
      </c>
      <c r="E94" s="7" t="s">
        <v>4794</v>
      </c>
      <c r="F94" s="7" t="s">
        <v>4795</v>
      </c>
      <c r="G94" s="7" t="s">
        <v>1606</v>
      </c>
      <c r="H94" s="7" t="s">
        <v>36</v>
      </c>
      <c r="I94" s="7" t="s">
        <v>1885</v>
      </c>
      <c r="J94" s="7" t="s">
        <v>177</v>
      </c>
      <c r="K94" s="7" t="s">
        <v>4796</v>
      </c>
      <c r="L94" s="12">
        <v>1</v>
      </c>
      <c r="M94" s="7" t="s">
        <v>4518</v>
      </c>
    </row>
    <row r="95" spans="2:13" ht="21.75" customHeight="1" x14ac:dyDescent="0.35">
      <c r="B95" s="11">
        <v>1</v>
      </c>
      <c r="C95" s="5" t="s">
        <v>4512</v>
      </c>
      <c r="D95" s="11">
        <v>91</v>
      </c>
      <c r="E95" s="5" t="s">
        <v>4797</v>
      </c>
      <c r="F95" s="5" t="s">
        <v>4798</v>
      </c>
      <c r="G95" s="5" t="s">
        <v>4799</v>
      </c>
      <c r="H95" s="5" t="s">
        <v>36</v>
      </c>
      <c r="I95" s="5" t="s">
        <v>48</v>
      </c>
      <c r="J95" s="5" t="s">
        <v>177</v>
      </c>
      <c r="K95" s="5" t="s">
        <v>4570</v>
      </c>
      <c r="L95" s="11">
        <v>1</v>
      </c>
      <c r="M95" s="5" t="s">
        <v>4518</v>
      </c>
    </row>
    <row r="96" spans="2:13" ht="37.5" customHeight="1" x14ac:dyDescent="0.35">
      <c r="B96" s="12">
        <v>1</v>
      </c>
      <c r="C96" s="7" t="s">
        <v>4512</v>
      </c>
      <c r="D96" s="12">
        <v>92</v>
      </c>
      <c r="E96" s="7" t="s">
        <v>4800</v>
      </c>
      <c r="F96" s="7" t="s">
        <v>4801</v>
      </c>
      <c r="G96" s="7" t="s">
        <v>851</v>
      </c>
      <c r="H96" s="7" t="s">
        <v>36</v>
      </c>
      <c r="I96" s="7" t="s">
        <v>48</v>
      </c>
      <c r="J96" s="7" t="s">
        <v>177</v>
      </c>
      <c r="K96" s="7" t="s">
        <v>4570</v>
      </c>
      <c r="L96" s="12">
        <v>1</v>
      </c>
      <c r="M96" s="7" t="s">
        <v>4518</v>
      </c>
    </row>
    <row r="97" spans="2:13" ht="21.75" customHeight="1" x14ac:dyDescent="0.35">
      <c r="B97" s="11">
        <v>1</v>
      </c>
      <c r="C97" s="5" t="s">
        <v>4512</v>
      </c>
      <c r="D97" s="11">
        <v>93</v>
      </c>
      <c r="E97" s="5" t="s">
        <v>4736</v>
      </c>
      <c r="F97" s="5" t="s">
        <v>4802</v>
      </c>
      <c r="G97" s="5" t="s">
        <v>3190</v>
      </c>
      <c r="H97" s="5" t="s">
        <v>41</v>
      </c>
      <c r="I97" s="5" t="s">
        <v>193</v>
      </c>
      <c r="J97" s="5" t="s">
        <v>4803</v>
      </c>
      <c r="K97" s="5" t="s">
        <v>4804</v>
      </c>
      <c r="L97" s="11">
        <v>1</v>
      </c>
      <c r="M97" s="5" t="s">
        <v>4518</v>
      </c>
    </row>
    <row r="98" spans="2:13" ht="37.5" customHeight="1" x14ac:dyDescent="0.35">
      <c r="B98" s="12">
        <v>1</v>
      </c>
      <c r="C98" s="7" t="s">
        <v>4512</v>
      </c>
      <c r="D98" s="12">
        <v>94</v>
      </c>
      <c r="E98" s="7" t="s">
        <v>4805</v>
      </c>
      <c r="F98" s="7" t="s">
        <v>4806</v>
      </c>
      <c r="G98" s="7" t="s">
        <v>962</v>
      </c>
      <c r="H98" s="7" t="s">
        <v>41</v>
      </c>
      <c r="I98" s="7" t="s">
        <v>193</v>
      </c>
      <c r="J98" s="7" t="s">
        <v>4803</v>
      </c>
      <c r="K98" s="7" t="s">
        <v>4804</v>
      </c>
      <c r="L98" s="12">
        <v>1</v>
      </c>
      <c r="M98" s="7" t="s">
        <v>4518</v>
      </c>
    </row>
    <row r="99" spans="2:13" ht="37.5" customHeight="1" x14ac:dyDescent="0.35">
      <c r="B99" s="11">
        <v>1</v>
      </c>
      <c r="C99" s="5" t="s">
        <v>4512</v>
      </c>
      <c r="D99" s="11">
        <v>95</v>
      </c>
      <c r="E99" s="5" t="s">
        <v>4807</v>
      </c>
      <c r="F99" s="5" t="s">
        <v>4808</v>
      </c>
      <c r="G99" s="5" t="s">
        <v>1190</v>
      </c>
      <c r="H99" s="5" t="s">
        <v>37</v>
      </c>
      <c r="I99" s="5" t="s">
        <v>679</v>
      </c>
      <c r="J99" s="5" t="s">
        <v>194</v>
      </c>
      <c r="K99" s="5" t="s">
        <v>4605</v>
      </c>
      <c r="L99" s="11">
        <v>1</v>
      </c>
      <c r="M99" s="5" t="s">
        <v>4518</v>
      </c>
    </row>
    <row r="100" spans="2:13" ht="37.5" customHeight="1" x14ac:dyDescent="0.35">
      <c r="B100" s="12">
        <v>1</v>
      </c>
      <c r="C100" s="7" t="s">
        <v>4512</v>
      </c>
      <c r="D100" s="12">
        <v>96</v>
      </c>
      <c r="E100" s="7" t="s">
        <v>4809</v>
      </c>
      <c r="F100" s="7" t="s">
        <v>4810</v>
      </c>
      <c r="G100" s="7" t="s">
        <v>4811</v>
      </c>
      <c r="H100" s="7" t="s">
        <v>4662</v>
      </c>
      <c r="I100" s="7" t="s">
        <v>4663</v>
      </c>
      <c r="J100" s="7" t="s">
        <v>4788</v>
      </c>
      <c r="K100" s="7" t="s">
        <v>4812</v>
      </c>
      <c r="L100" s="12">
        <v>2</v>
      </c>
      <c r="M100" s="7" t="s">
        <v>4518</v>
      </c>
    </row>
    <row r="101" spans="2:13" ht="37.5" customHeight="1" x14ac:dyDescent="0.35">
      <c r="B101" s="11">
        <v>1</v>
      </c>
      <c r="C101" s="5" t="s">
        <v>4512</v>
      </c>
      <c r="D101" s="11">
        <v>97</v>
      </c>
      <c r="E101" s="5" t="s">
        <v>4813</v>
      </c>
      <c r="F101" s="5" t="s">
        <v>4814</v>
      </c>
      <c r="G101" s="5" t="s">
        <v>4815</v>
      </c>
      <c r="H101" s="5" t="s">
        <v>4662</v>
      </c>
      <c r="I101" s="5" t="s">
        <v>4663</v>
      </c>
      <c r="J101" s="5" t="s">
        <v>4788</v>
      </c>
      <c r="K101" s="5" t="s">
        <v>4812</v>
      </c>
      <c r="L101" s="11">
        <v>2</v>
      </c>
      <c r="M101" s="5" t="s">
        <v>4518</v>
      </c>
    </row>
    <row r="102" spans="2:13" ht="21.75" customHeight="1" x14ac:dyDescent="0.35">
      <c r="B102" s="12">
        <v>1</v>
      </c>
      <c r="C102" s="7" t="s">
        <v>4512</v>
      </c>
      <c r="D102" s="12">
        <v>98</v>
      </c>
      <c r="E102" s="7" t="s">
        <v>4816</v>
      </c>
      <c r="F102" s="7" t="s">
        <v>4817</v>
      </c>
      <c r="G102" s="7" t="s">
        <v>2261</v>
      </c>
      <c r="H102" s="7" t="s">
        <v>36</v>
      </c>
      <c r="I102" s="7" t="s">
        <v>48</v>
      </c>
      <c r="J102" s="7" t="s">
        <v>177</v>
      </c>
      <c r="K102" s="7" t="s">
        <v>4570</v>
      </c>
      <c r="L102" s="12">
        <v>1</v>
      </c>
      <c r="M102" s="7" t="s">
        <v>4518</v>
      </c>
    </row>
    <row r="103" spans="2:13" ht="37.5" customHeight="1" x14ac:dyDescent="0.35">
      <c r="B103" s="11">
        <v>1</v>
      </c>
      <c r="C103" s="5" t="s">
        <v>4512</v>
      </c>
      <c r="D103" s="11">
        <v>99</v>
      </c>
      <c r="E103" s="5" t="s">
        <v>4818</v>
      </c>
      <c r="F103" s="5" t="s">
        <v>4819</v>
      </c>
      <c r="G103" s="5" t="s">
        <v>4820</v>
      </c>
      <c r="H103" s="5" t="s">
        <v>4662</v>
      </c>
      <c r="I103" s="5" t="s">
        <v>4663</v>
      </c>
      <c r="J103" s="5" t="s">
        <v>4788</v>
      </c>
      <c r="K103" s="5" t="s">
        <v>4812</v>
      </c>
      <c r="L103" s="11">
        <v>2</v>
      </c>
      <c r="M103" s="5" t="s">
        <v>4518</v>
      </c>
    </row>
    <row r="104" spans="2:13" ht="37.5" customHeight="1" x14ac:dyDescent="0.35">
      <c r="B104" s="12">
        <v>1</v>
      </c>
      <c r="C104" s="7" t="s">
        <v>4512</v>
      </c>
      <c r="D104" s="12">
        <v>100</v>
      </c>
      <c r="E104" s="7" t="s">
        <v>4821</v>
      </c>
      <c r="F104" s="7" t="s">
        <v>4822</v>
      </c>
      <c r="G104" s="7" t="s">
        <v>4823</v>
      </c>
      <c r="H104" s="7" t="s">
        <v>4662</v>
      </c>
      <c r="I104" s="7" t="s">
        <v>4663</v>
      </c>
      <c r="J104" s="7" t="s">
        <v>4788</v>
      </c>
      <c r="K104" s="7" t="s">
        <v>4812</v>
      </c>
      <c r="L104" s="12">
        <v>2</v>
      </c>
      <c r="M104" s="7" t="s">
        <v>4518</v>
      </c>
    </row>
    <row r="105" spans="2:13" ht="37.5" customHeight="1" x14ac:dyDescent="0.35">
      <c r="B105" s="11">
        <v>1</v>
      </c>
      <c r="C105" s="5" t="s">
        <v>4512</v>
      </c>
      <c r="D105" s="11">
        <v>101</v>
      </c>
      <c r="E105" s="5" t="s">
        <v>4824</v>
      </c>
      <c r="F105" s="5" t="s">
        <v>4825</v>
      </c>
      <c r="G105" s="5" t="s">
        <v>4826</v>
      </c>
      <c r="H105" s="5" t="s">
        <v>4662</v>
      </c>
      <c r="I105" s="5" t="s">
        <v>4663</v>
      </c>
      <c r="J105" s="5" t="s">
        <v>4788</v>
      </c>
      <c r="K105" s="5" t="s">
        <v>4812</v>
      </c>
      <c r="L105" s="11">
        <v>2</v>
      </c>
      <c r="M105" s="5" t="s">
        <v>4518</v>
      </c>
    </row>
    <row r="106" spans="2:13" ht="21.75" customHeight="1" x14ac:dyDescent="0.35">
      <c r="B106" s="12">
        <v>1</v>
      </c>
      <c r="C106" s="7" t="s">
        <v>4512</v>
      </c>
      <c r="D106" s="12">
        <v>102</v>
      </c>
      <c r="E106" s="7" t="s">
        <v>4827</v>
      </c>
      <c r="F106" s="7" t="s">
        <v>4828</v>
      </c>
      <c r="G106" s="7" t="s">
        <v>1661</v>
      </c>
      <c r="H106" s="7" t="s">
        <v>39</v>
      </c>
      <c r="I106" s="7" t="s">
        <v>482</v>
      </c>
      <c r="J106" s="7" t="s">
        <v>1903</v>
      </c>
      <c r="K106" s="7" t="s">
        <v>4829</v>
      </c>
      <c r="L106" s="12">
        <v>1</v>
      </c>
      <c r="M106" s="7" t="s">
        <v>4518</v>
      </c>
    </row>
    <row r="107" spans="2:13" ht="37.5" customHeight="1" x14ac:dyDescent="0.35">
      <c r="B107" s="11">
        <v>1</v>
      </c>
      <c r="C107" s="5" t="s">
        <v>4512</v>
      </c>
      <c r="D107" s="11">
        <v>103</v>
      </c>
      <c r="E107" s="5" t="s">
        <v>4830</v>
      </c>
      <c r="F107" s="5" t="s">
        <v>4831</v>
      </c>
      <c r="G107" s="5" t="s">
        <v>656</v>
      </c>
      <c r="H107" s="5" t="s">
        <v>4720</v>
      </c>
      <c r="I107" s="5" t="s">
        <v>4832</v>
      </c>
      <c r="J107" s="5" t="s">
        <v>4833</v>
      </c>
      <c r="K107" s="5" t="s">
        <v>4834</v>
      </c>
      <c r="L107" s="11">
        <v>2</v>
      </c>
      <c r="M107" s="5" t="s">
        <v>4518</v>
      </c>
    </row>
    <row r="108" spans="2:13" ht="37.5" customHeight="1" x14ac:dyDescent="0.35">
      <c r="B108" s="12">
        <v>1</v>
      </c>
      <c r="C108" s="7" t="s">
        <v>4512</v>
      </c>
      <c r="D108" s="12">
        <v>104</v>
      </c>
      <c r="E108" s="7" t="s">
        <v>4835</v>
      </c>
      <c r="F108" s="7" t="s">
        <v>4836</v>
      </c>
      <c r="G108" s="7" t="s">
        <v>576</v>
      </c>
      <c r="H108" s="7" t="s">
        <v>36</v>
      </c>
      <c r="I108" s="7" t="s">
        <v>48</v>
      </c>
      <c r="J108" s="7" t="s">
        <v>331</v>
      </c>
      <c r="K108" s="7" t="s">
        <v>4837</v>
      </c>
      <c r="L108" s="12">
        <v>1</v>
      </c>
      <c r="M108" s="7" t="s">
        <v>4518</v>
      </c>
    </row>
    <row r="109" spans="2:13" ht="37.5" customHeight="1" x14ac:dyDescent="0.35">
      <c r="B109" s="11">
        <v>1</v>
      </c>
      <c r="C109" s="5" t="s">
        <v>4512</v>
      </c>
      <c r="D109" s="11">
        <v>105</v>
      </c>
      <c r="E109" s="5" t="s">
        <v>4838</v>
      </c>
      <c r="F109" s="5" t="s">
        <v>4839</v>
      </c>
      <c r="G109" s="5" t="s">
        <v>262</v>
      </c>
      <c r="H109" s="5" t="s">
        <v>4662</v>
      </c>
      <c r="I109" s="5" t="s">
        <v>4663</v>
      </c>
      <c r="J109" s="5" t="s">
        <v>4840</v>
      </c>
      <c r="K109" s="5" t="s">
        <v>4841</v>
      </c>
      <c r="L109" s="11">
        <v>2</v>
      </c>
      <c r="M109" s="5" t="s">
        <v>4518</v>
      </c>
    </row>
    <row r="110" spans="2:13" ht="37.5" customHeight="1" x14ac:dyDescent="0.35">
      <c r="B110" s="12">
        <v>1</v>
      </c>
      <c r="C110" s="7" t="s">
        <v>4512</v>
      </c>
      <c r="D110" s="12">
        <v>106</v>
      </c>
      <c r="E110" s="7" t="s">
        <v>4842</v>
      </c>
      <c r="F110" s="7" t="s">
        <v>4843</v>
      </c>
      <c r="G110" s="7" t="s">
        <v>1692</v>
      </c>
      <c r="H110" s="7" t="s">
        <v>1521</v>
      </c>
      <c r="I110" s="7" t="s">
        <v>4565</v>
      </c>
      <c r="J110" s="7" t="s">
        <v>4844</v>
      </c>
      <c r="K110" s="7" t="s">
        <v>4845</v>
      </c>
      <c r="L110" s="12">
        <v>2</v>
      </c>
      <c r="M110" s="7" t="s">
        <v>4518</v>
      </c>
    </row>
    <row r="111" spans="2:13" ht="21.75" customHeight="1" x14ac:dyDescent="0.35">
      <c r="B111" s="11">
        <v>1</v>
      </c>
      <c r="C111" s="5" t="s">
        <v>4512</v>
      </c>
      <c r="D111" s="11">
        <v>107</v>
      </c>
      <c r="E111" s="5" t="s">
        <v>4846</v>
      </c>
      <c r="F111" s="5" t="s">
        <v>4847</v>
      </c>
      <c r="G111" s="5" t="s">
        <v>1263</v>
      </c>
      <c r="H111" s="5" t="s">
        <v>36</v>
      </c>
      <c r="I111" s="5" t="s">
        <v>48</v>
      </c>
      <c r="J111" s="5" t="s">
        <v>331</v>
      </c>
      <c r="K111" s="5" t="s">
        <v>4837</v>
      </c>
      <c r="L111" s="11">
        <v>1</v>
      </c>
      <c r="M111" s="5" t="s">
        <v>4518</v>
      </c>
    </row>
    <row r="112" spans="2:13" ht="37.5" customHeight="1" x14ac:dyDescent="0.35">
      <c r="B112" s="12">
        <v>1</v>
      </c>
      <c r="C112" s="7" t="s">
        <v>4512</v>
      </c>
      <c r="D112" s="12">
        <v>108</v>
      </c>
      <c r="E112" s="7" t="s">
        <v>4848</v>
      </c>
      <c r="F112" s="7" t="s">
        <v>4849</v>
      </c>
      <c r="G112" s="7" t="s">
        <v>4850</v>
      </c>
      <c r="H112" s="7" t="s">
        <v>42</v>
      </c>
      <c r="I112" s="7" t="s">
        <v>245</v>
      </c>
      <c r="J112" s="7" t="s">
        <v>4851</v>
      </c>
      <c r="K112" s="7" t="s">
        <v>4852</v>
      </c>
      <c r="L112" s="12">
        <v>1</v>
      </c>
      <c r="M112" s="7" t="s">
        <v>4518</v>
      </c>
    </row>
    <row r="113" spans="2:13" ht="21.75" customHeight="1" x14ac:dyDescent="0.35">
      <c r="B113" s="11">
        <v>1</v>
      </c>
      <c r="C113" s="5" t="s">
        <v>4512</v>
      </c>
      <c r="D113" s="11">
        <v>109</v>
      </c>
      <c r="E113" s="5" t="s">
        <v>4853</v>
      </c>
      <c r="F113" s="5" t="s">
        <v>4854</v>
      </c>
      <c r="G113" s="5" t="s">
        <v>4855</v>
      </c>
      <c r="H113" s="5" t="s">
        <v>39</v>
      </c>
      <c r="I113" s="5" t="s">
        <v>482</v>
      </c>
      <c r="J113" s="5" t="s">
        <v>1903</v>
      </c>
      <c r="K113" s="5" t="s">
        <v>4829</v>
      </c>
      <c r="L113" s="11">
        <v>1</v>
      </c>
      <c r="M113" s="5" t="s">
        <v>4518</v>
      </c>
    </row>
    <row r="114" spans="2:13" ht="37.5" customHeight="1" x14ac:dyDescent="0.35">
      <c r="B114" s="12">
        <v>1</v>
      </c>
      <c r="C114" s="7" t="s">
        <v>4512</v>
      </c>
      <c r="D114" s="12">
        <v>110</v>
      </c>
      <c r="E114" s="7" t="s">
        <v>4797</v>
      </c>
      <c r="F114" s="7" t="s">
        <v>4856</v>
      </c>
      <c r="G114" s="7" t="s">
        <v>4857</v>
      </c>
      <c r="H114" s="7" t="s">
        <v>4720</v>
      </c>
      <c r="I114" s="7" t="s">
        <v>4832</v>
      </c>
      <c r="J114" s="7" t="s">
        <v>4833</v>
      </c>
      <c r="K114" s="7" t="s">
        <v>4834</v>
      </c>
      <c r="L114" s="12">
        <v>2</v>
      </c>
      <c r="M114" s="7" t="s">
        <v>4518</v>
      </c>
    </row>
    <row r="115" spans="2:13" ht="37.5" customHeight="1" x14ac:dyDescent="0.35">
      <c r="B115" s="11">
        <v>1</v>
      </c>
      <c r="C115" s="5" t="s">
        <v>4512</v>
      </c>
      <c r="D115" s="11">
        <v>111</v>
      </c>
      <c r="E115" s="5" t="s">
        <v>4858</v>
      </c>
      <c r="F115" s="5" t="s">
        <v>4859</v>
      </c>
      <c r="G115" s="5" t="s">
        <v>813</v>
      </c>
      <c r="H115" s="5" t="s">
        <v>4720</v>
      </c>
      <c r="I115" s="5" t="s">
        <v>4832</v>
      </c>
      <c r="J115" s="5" t="s">
        <v>4860</v>
      </c>
      <c r="K115" s="5" t="s">
        <v>4861</v>
      </c>
      <c r="L115" s="11">
        <v>2</v>
      </c>
      <c r="M115" s="5" t="s">
        <v>4518</v>
      </c>
    </row>
    <row r="116" spans="2:13" ht="37.5" customHeight="1" x14ac:dyDescent="0.35">
      <c r="B116" s="12">
        <v>1</v>
      </c>
      <c r="C116" s="7" t="s">
        <v>4512</v>
      </c>
      <c r="D116" s="12">
        <v>112</v>
      </c>
      <c r="E116" s="7" t="s">
        <v>4862</v>
      </c>
      <c r="F116" s="7" t="s">
        <v>4863</v>
      </c>
      <c r="G116" s="7" t="s">
        <v>678</v>
      </c>
      <c r="H116" s="7" t="s">
        <v>4720</v>
      </c>
      <c r="I116" s="7" t="s">
        <v>4832</v>
      </c>
      <c r="J116" s="7" t="s">
        <v>4860</v>
      </c>
      <c r="K116" s="7" t="s">
        <v>4861</v>
      </c>
      <c r="L116" s="12">
        <v>2</v>
      </c>
      <c r="M116" s="7" t="s">
        <v>4518</v>
      </c>
    </row>
    <row r="117" spans="2:13" ht="21.75" customHeight="1" x14ac:dyDescent="0.35">
      <c r="B117" s="11">
        <v>1</v>
      </c>
      <c r="C117" s="5" t="s">
        <v>4512</v>
      </c>
      <c r="D117" s="11">
        <v>113</v>
      </c>
      <c r="E117" s="5" t="s">
        <v>4864</v>
      </c>
      <c r="F117" s="5" t="s">
        <v>4865</v>
      </c>
      <c r="G117" s="5" t="s">
        <v>973</v>
      </c>
      <c r="H117" s="5" t="s">
        <v>41</v>
      </c>
      <c r="I117" s="5" t="s">
        <v>49</v>
      </c>
      <c r="J117" s="5" t="s">
        <v>213</v>
      </c>
      <c r="K117" s="5" t="s">
        <v>214</v>
      </c>
      <c r="L117" s="11">
        <v>1</v>
      </c>
      <c r="M117" s="5" t="s">
        <v>4518</v>
      </c>
    </row>
    <row r="118" spans="2:13" ht="37.5" customHeight="1" x14ac:dyDescent="0.35">
      <c r="B118" s="12">
        <v>1</v>
      </c>
      <c r="C118" s="7" t="s">
        <v>4512</v>
      </c>
      <c r="D118" s="12">
        <v>114</v>
      </c>
      <c r="E118" s="7" t="s">
        <v>4866</v>
      </c>
      <c r="F118" s="7" t="s">
        <v>4867</v>
      </c>
      <c r="G118" s="7" t="s">
        <v>1161</v>
      </c>
      <c r="H118" s="7" t="s">
        <v>39</v>
      </c>
      <c r="I118" s="7" t="s">
        <v>482</v>
      </c>
      <c r="J118" s="7" t="s">
        <v>1903</v>
      </c>
      <c r="K118" s="7" t="s">
        <v>4829</v>
      </c>
      <c r="L118" s="12">
        <v>1</v>
      </c>
      <c r="M118" s="7" t="s">
        <v>4518</v>
      </c>
    </row>
    <row r="119" spans="2:13" ht="37.5" customHeight="1" x14ac:dyDescent="0.35">
      <c r="B119" s="11">
        <v>1</v>
      </c>
      <c r="C119" s="5" t="s">
        <v>4512</v>
      </c>
      <c r="D119" s="11">
        <v>115</v>
      </c>
      <c r="E119" s="5" t="s">
        <v>4868</v>
      </c>
      <c r="F119" s="5" t="s">
        <v>4869</v>
      </c>
      <c r="G119" s="5" t="s">
        <v>582</v>
      </c>
      <c r="H119" s="5" t="s">
        <v>39</v>
      </c>
      <c r="I119" s="5" t="s">
        <v>482</v>
      </c>
      <c r="J119" s="5" t="s">
        <v>1903</v>
      </c>
      <c r="K119" s="5" t="s">
        <v>4829</v>
      </c>
      <c r="L119" s="11">
        <v>1</v>
      </c>
      <c r="M119" s="5" t="s">
        <v>4518</v>
      </c>
    </row>
    <row r="120" spans="2:13" ht="21.75" customHeight="1" x14ac:dyDescent="0.35">
      <c r="B120" s="12">
        <v>1</v>
      </c>
      <c r="C120" s="7" t="s">
        <v>4512</v>
      </c>
      <c r="D120" s="12">
        <v>116</v>
      </c>
      <c r="E120" s="7" t="s">
        <v>4870</v>
      </c>
      <c r="F120" s="7" t="s">
        <v>4871</v>
      </c>
      <c r="G120" s="7" t="s">
        <v>924</v>
      </c>
      <c r="H120" s="7" t="s">
        <v>37</v>
      </c>
      <c r="I120" s="7" t="s">
        <v>170</v>
      </c>
      <c r="J120" s="7" t="s">
        <v>194</v>
      </c>
      <c r="K120" s="7" t="s">
        <v>286</v>
      </c>
      <c r="L120" s="12">
        <v>1</v>
      </c>
      <c r="M120" s="7" t="s">
        <v>4518</v>
      </c>
    </row>
    <row r="121" spans="2:13" ht="37.5" customHeight="1" x14ac:dyDescent="0.35">
      <c r="B121" s="11">
        <v>1</v>
      </c>
      <c r="C121" s="5" t="s">
        <v>4512</v>
      </c>
      <c r="D121" s="11">
        <v>117</v>
      </c>
      <c r="E121" s="5" t="s">
        <v>4872</v>
      </c>
      <c r="F121" s="5" t="s">
        <v>4873</v>
      </c>
      <c r="G121" s="5" t="s">
        <v>4874</v>
      </c>
      <c r="H121" s="5" t="s">
        <v>36</v>
      </c>
      <c r="I121" s="5" t="s">
        <v>48</v>
      </c>
      <c r="J121" s="5" t="s">
        <v>331</v>
      </c>
      <c r="K121" s="5" t="s">
        <v>4837</v>
      </c>
      <c r="L121" s="11">
        <v>1</v>
      </c>
      <c r="M121" s="5" t="s">
        <v>4518</v>
      </c>
    </row>
    <row r="122" spans="2:13" ht="37.5" customHeight="1" x14ac:dyDescent="0.35">
      <c r="B122" s="12">
        <v>1</v>
      </c>
      <c r="C122" s="7" t="s">
        <v>4512</v>
      </c>
      <c r="D122" s="12">
        <v>118</v>
      </c>
      <c r="E122" s="7" t="s">
        <v>4875</v>
      </c>
      <c r="F122" s="7" t="s">
        <v>4876</v>
      </c>
      <c r="G122" s="7" t="s">
        <v>752</v>
      </c>
      <c r="H122" s="7" t="s">
        <v>36</v>
      </c>
      <c r="I122" s="7" t="s">
        <v>48</v>
      </c>
      <c r="J122" s="7" t="s">
        <v>331</v>
      </c>
      <c r="K122" s="7" t="s">
        <v>4837</v>
      </c>
      <c r="L122" s="12">
        <v>1</v>
      </c>
      <c r="M122" s="7" t="s">
        <v>4518</v>
      </c>
    </row>
    <row r="123" spans="2:13" ht="21.75" customHeight="1" x14ac:dyDescent="0.35">
      <c r="B123" s="11">
        <v>1</v>
      </c>
      <c r="C123" s="5" t="s">
        <v>4512</v>
      </c>
      <c r="D123" s="11">
        <v>119</v>
      </c>
      <c r="E123" s="5" t="s">
        <v>4877</v>
      </c>
      <c r="F123" s="5" t="s">
        <v>4878</v>
      </c>
      <c r="G123" s="5" t="s">
        <v>4879</v>
      </c>
      <c r="H123" s="5" t="s">
        <v>36</v>
      </c>
      <c r="I123" s="5" t="s">
        <v>48</v>
      </c>
      <c r="J123" s="5" t="s">
        <v>331</v>
      </c>
      <c r="K123" s="5" t="s">
        <v>4837</v>
      </c>
      <c r="L123" s="11">
        <v>1</v>
      </c>
      <c r="M123" s="5" t="s">
        <v>4518</v>
      </c>
    </row>
    <row r="124" spans="2:13" ht="21.75" customHeight="1" x14ac:dyDescent="0.35">
      <c r="B124" s="12">
        <v>1</v>
      </c>
      <c r="C124" s="7" t="s">
        <v>4512</v>
      </c>
      <c r="D124" s="12">
        <v>120</v>
      </c>
      <c r="E124" s="7" t="s">
        <v>4880</v>
      </c>
      <c r="F124" s="7" t="s">
        <v>4881</v>
      </c>
      <c r="G124" s="7" t="s">
        <v>1290</v>
      </c>
      <c r="H124" s="7" t="s">
        <v>36</v>
      </c>
      <c r="I124" s="7" t="s">
        <v>48</v>
      </c>
      <c r="J124" s="7" t="s">
        <v>331</v>
      </c>
      <c r="K124" s="7" t="s">
        <v>4837</v>
      </c>
      <c r="L124" s="12">
        <v>1</v>
      </c>
      <c r="M124" s="7" t="s">
        <v>4518</v>
      </c>
    </row>
    <row r="125" spans="2:13" ht="21.75" customHeight="1" x14ac:dyDescent="0.35">
      <c r="B125" s="11">
        <v>1</v>
      </c>
      <c r="C125" s="5" t="s">
        <v>4512</v>
      </c>
      <c r="D125" s="11">
        <v>121</v>
      </c>
      <c r="E125" s="5" t="s">
        <v>4882</v>
      </c>
      <c r="F125" s="5" t="s">
        <v>4883</v>
      </c>
      <c r="G125" s="5" t="s">
        <v>4884</v>
      </c>
      <c r="H125" s="5" t="s">
        <v>36</v>
      </c>
      <c r="I125" s="5" t="s">
        <v>48</v>
      </c>
      <c r="J125" s="5" t="s">
        <v>331</v>
      </c>
      <c r="K125" s="5" t="s">
        <v>4837</v>
      </c>
      <c r="L125" s="11">
        <v>1</v>
      </c>
      <c r="M125" s="5" t="s">
        <v>4518</v>
      </c>
    </row>
    <row r="126" spans="2:13" ht="37.5" customHeight="1" x14ac:dyDescent="0.35">
      <c r="B126" s="12">
        <v>2</v>
      </c>
      <c r="C126" s="7" t="s">
        <v>4885</v>
      </c>
      <c r="D126" s="12">
        <v>1</v>
      </c>
      <c r="E126" s="7" t="s">
        <v>4886</v>
      </c>
      <c r="F126" s="7" t="s">
        <v>4887</v>
      </c>
      <c r="G126" s="7" t="s">
        <v>1680</v>
      </c>
      <c r="H126" s="7" t="s">
        <v>42</v>
      </c>
      <c r="I126" s="7" t="s">
        <v>4888</v>
      </c>
      <c r="J126" s="7" t="s">
        <v>207</v>
      </c>
      <c r="K126" s="7" t="s">
        <v>4889</v>
      </c>
      <c r="L126" s="12">
        <v>1</v>
      </c>
      <c r="M126" s="7" t="s">
        <v>4518</v>
      </c>
    </row>
    <row r="127" spans="2:13" ht="37.5" customHeight="1" x14ac:dyDescent="0.35">
      <c r="B127" s="11">
        <v>2</v>
      </c>
      <c r="C127" s="5" t="s">
        <v>4885</v>
      </c>
      <c r="D127" s="11">
        <v>2</v>
      </c>
      <c r="E127" s="5" t="s">
        <v>4890</v>
      </c>
      <c r="F127" s="5" t="s">
        <v>4891</v>
      </c>
      <c r="G127" s="5" t="s">
        <v>365</v>
      </c>
      <c r="H127" s="5" t="s">
        <v>37</v>
      </c>
      <c r="I127" s="5" t="s">
        <v>170</v>
      </c>
      <c r="J127" s="5" t="s">
        <v>2617</v>
      </c>
      <c r="K127" s="5" t="s">
        <v>4892</v>
      </c>
      <c r="L127" s="11">
        <v>1</v>
      </c>
      <c r="M127" s="5" t="s">
        <v>4518</v>
      </c>
    </row>
    <row r="128" spans="2:13" ht="37.5" customHeight="1" x14ac:dyDescent="0.35">
      <c r="B128" s="12">
        <v>2</v>
      </c>
      <c r="C128" s="7" t="s">
        <v>4885</v>
      </c>
      <c r="D128" s="12">
        <v>3</v>
      </c>
      <c r="E128" s="7" t="s">
        <v>4893</v>
      </c>
      <c r="F128" s="7" t="s">
        <v>4894</v>
      </c>
      <c r="G128" s="7" t="s">
        <v>862</v>
      </c>
      <c r="H128" s="7" t="s">
        <v>4895</v>
      </c>
      <c r="I128" s="7" t="s">
        <v>4896</v>
      </c>
      <c r="J128" s="7" t="s">
        <v>1099</v>
      </c>
      <c r="K128" s="7" t="s">
        <v>4897</v>
      </c>
      <c r="L128" s="12">
        <v>2</v>
      </c>
      <c r="M128" s="7" t="s">
        <v>4518</v>
      </c>
    </row>
    <row r="129" spans="2:13" ht="37.5" customHeight="1" x14ac:dyDescent="0.35">
      <c r="B129" s="11">
        <v>2</v>
      </c>
      <c r="C129" s="5" t="s">
        <v>4885</v>
      </c>
      <c r="D129" s="11">
        <v>4</v>
      </c>
      <c r="E129" s="5" t="s">
        <v>4898</v>
      </c>
      <c r="F129" s="5" t="s">
        <v>4899</v>
      </c>
      <c r="G129" s="5" t="s">
        <v>384</v>
      </c>
      <c r="H129" s="5" t="s">
        <v>36</v>
      </c>
      <c r="I129" s="5" t="s">
        <v>48</v>
      </c>
      <c r="J129" s="5" t="s">
        <v>177</v>
      </c>
      <c r="K129" s="5" t="s">
        <v>4570</v>
      </c>
      <c r="L129" s="11">
        <v>1</v>
      </c>
      <c r="M129" s="5" t="s">
        <v>4518</v>
      </c>
    </row>
    <row r="130" spans="2:13" ht="37.5" customHeight="1" x14ac:dyDescent="0.35">
      <c r="B130" s="12">
        <v>2</v>
      </c>
      <c r="C130" s="7" t="s">
        <v>4885</v>
      </c>
      <c r="D130" s="12">
        <v>5</v>
      </c>
      <c r="E130" s="7" t="s">
        <v>4900</v>
      </c>
      <c r="F130" s="7" t="s">
        <v>4901</v>
      </c>
      <c r="G130" s="7" t="s">
        <v>457</v>
      </c>
      <c r="H130" s="7" t="s">
        <v>37</v>
      </c>
      <c r="I130" s="7" t="s">
        <v>170</v>
      </c>
      <c r="J130" s="7" t="s">
        <v>194</v>
      </c>
      <c r="K130" s="7" t="s">
        <v>286</v>
      </c>
      <c r="L130" s="12">
        <v>1</v>
      </c>
      <c r="M130" s="7" t="s">
        <v>4518</v>
      </c>
    </row>
    <row r="131" spans="2:13" ht="37.5" customHeight="1" x14ac:dyDescent="0.35">
      <c r="B131" s="11">
        <v>2</v>
      </c>
      <c r="C131" s="5" t="s">
        <v>4885</v>
      </c>
      <c r="D131" s="11">
        <v>6</v>
      </c>
      <c r="E131" s="5" t="s">
        <v>4902</v>
      </c>
      <c r="F131" s="5" t="s">
        <v>4903</v>
      </c>
      <c r="G131" s="5" t="s">
        <v>749</v>
      </c>
      <c r="H131" s="5" t="s">
        <v>4676</v>
      </c>
      <c r="I131" s="5" t="s">
        <v>49</v>
      </c>
      <c r="J131" s="5" t="s">
        <v>4904</v>
      </c>
      <c r="K131" s="5" t="s">
        <v>4905</v>
      </c>
      <c r="L131" s="11">
        <v>1</v>
      </c>
      <c r="M131" s="5" t="s">
        <v>4518</v>
      </c>
    </row>
    <row r="132" spans="2:13" ht="37.5" customHeight="1" x14ac:dyDescent="0.35">
      <c r="B132" s="12">
        <v>2</v>
      </c>
      <c r="C132" s="7" t="s">
        <v>4885</v>
      </c>
      <c r="D132" s="12">
        <v>7</v>
      </c>
      <c r="E132" s="7" t="s">
        <v>4906</v>
      </c>
      <c r="F132" s="7" t="s">
        <v>4907</v>
      </c>
      <c r="G132" s="7" t="s">
        <v>4908</v>
      </c>
      <c r="H132" s="7" t="s">
        <v>36</v>
      </c>
      <c r="I132" s="7" t="s">
        <v>48</v>
      </c>
      <c r="J132" s="7" t="s">
        <v>177</v>
      </c>
      <c r="K132" s="7" t="s">
        <v>4570</v>
      </c>
      <c r="L132" s="12">
        <v>1</v>
      </c>
      <c r="M132" s="7" t="s">
        <v>4518</v>
      </c>
    </row>
    <row r="133" spans="2:13" ht="37.5" customHeight="1" x14ac:dyDescent="0.35">
      <c r="B133" s="11">
        <v>2</v>
      </c>
      <c r="C133" s="5" t="s">
        <v>4885</v>
      </c>
      <c r="D133" s="11">
        <v>8</v>
      </c>
      <c r="E133" s="5" t="s">
        <v>4909</v>
      </c>
      <c r="F133" s="5" t="s">
        <v>4910</v>
      </c>
      <c r="G133" s="5" t="s">
        <v>4911</v>
      </c>
      <c r="H133" s="5" t="s">
        <v>4676</v>
      </c>
      <c r="I133" s="5" t="s">
        <v>49</v>
      </c>
      <c r="J133" s="5" t="s">
        <v>233</v>
      </c>
      <c r="K133" s="5" t="s">
        <v>4912</v>
      </c>
      <c r="L133" s="11">
        <v>1</v>
      </c>
      <c r="M133" s="5" t="s">
        <v>4518</v>
      </c>
    </row>
    <row r="134" spans="2:13" ht="52.5" customHeight="1" x14ac:dyDescent="0.35">
      <c r="B134" s="12">
        <v>2</v>
      </c>
      <c r="C134" s="7" t="s">
        <v>4885</v>
      </c>
      <c r="D134" s="12">
        <v>9</v>
      </c>
      <c r="E134" s="7" t="s">
        <v>4913</v>
      </c>
      <c r="F134" s="7" t="s">
        <v>4914</v>
      </c>
      <c r="G134" s="7" t="s">
        <v>1196</v>
      </c>
      <c r="H134" s="7" t="s">
        <v>4915</v>
      </c>
      <c r="I134" s="7" t="s">
        <v>4916</v>
      </c>
      <c r="J134" s="7" t="s">
        <v>4917</v>
      </c>
      <c r="K134" s="7" t="s">
        <v>4918</v>
      </c>
      <c r="L134" s="12">
        <v>3</v>
      </c>
      <c r="M134" s="7" t="s">
        <v>4518</v>
      </c>
    </row>
    <row r="135" spans="2:13" ht="37.5" customHeight="1" x14ac:dyDescent="0.35">
      <c r="B135" s="11">
        <v>2</v>
      </c>
      <c r="C135" s="5" t="s">
        <v>4885</v>
      </c>
      <c r="D135" s="11">
        <v>10</v>
      </c>
      <c r="E135" s="5" t="s">
        <v>4919</v>
      </c>
      <c r="F135" s="5" t="s">
        <v>4920</v>
      </c>
      <c r="G135" s="5" t="s">
        <v>993</v>
      </c>
      <c r="H135" s="5" t="s">
        <v>36</v>
      </c>
      <c r="I135" s="5" t="s">
        <v>48</v>
      </c>
      <c r="J135" s="5" t="s">
        <v>331</v>
      </c>
      <c r="K135" s="5" t="s">
        <v>4837</v>
      </c>
      <c r="L135" s="11">
        <v>1</v>
      </c>
      <c r="M135" s="5" t="s">
        <v>4518</v>
      </c>
    </row>
    <row r="136" spans="2:13" ht="21.75" customHeight="1" x14ac:dyDescent="0.35">
      <c r="B136" s="12"/>
      <c r="C136" s="7" t="s">
        <v>4921</v>
      </c>
      <c r="D136" s="12">
        <v>11</v>
      </c>
      <c r="E136" s="7" t="s">
        <v>4922</v>
      </c>
      <c r="F136" s="7" t="s">
        <v>4923</v>
      </c>
      <c r="G136" s="7" t="s">
        <v>4260</v>
      </c>
      <c r="H136" s="7" t="s">
        <v>36</v>
      </c>
      <c r="I136" s="7" t="s">
        <v>48</v>
      </c>
      <c r="J136" s="7" t="s">
        <v>331</v>
      </c>
      <c r="K136" s="7" t="s">
        <v>4837</v>
      </c>
      <c r="L136" s="12">
        <v>1</v>
      </c>
      <c r="M136" s="7"/>
    </row>
    <row r="137" spans="2:13" ht="37.5" customHeight="1" x14ac:dyDescent="0.35">
      <c r="B137" s="11"/>
      <c r="C137" s="5" t="s">
        <v>4921</v>
      </c>
      <c r="D137" s="11">
        <v>12</v>
      </c>
      <c r="E137" s="5" t="s">
        <v>4924</v>
      </c>
      <c r="F137" s="5" t="s">
        <v>4925</v>
      </c>
      <c r="G137" s="5" t="s">
        <v>30</v>
      </c>
      <c r="H137" s="5" t="s">
        <v>294</v>
      </c>
      <c r="I137" s="5" t="s">
        <v>170</v>
      </c>
      <c r="J137" s="5" t="s">
        <v>220</v>
      </c>
      <c r="K137" s="5" t="s">
        <v>4926</v>
      </c>
      <c r="L137" s="11">
        <v>2</v>
      </c>
      <c r="M137" s="5"/>
    </row>
    <row r="138" spans="2:13" ht="37.5" customHeight="1" x14ac:dyDescent="0.35">
      <c r="B138" s="12"/>
      <c r="C138" s="7" t="s">
        <v>4921</v>
      </c>
      <c r="D138" s="12">
        <v>13</v>
      </c>
      <c r="E138" s="7" t="s">
        <v>4927</v>
      </c>
      <c r="F138" s="7" t="s">
        <v>4928</v>
      </c>
      <c r="G138" s="7" t="s">
        <v>1742</v>
      </c>
      <c r="H138" s="7" t="s">
        <v>36</v>
      </c>
      <c r="I138" s="7" t="s">
        <v>48</v>
      </c>
      <c r="J138" s="7" t="s">
        <v>331</v>
      </c>
      <c r="K138" s="7" t="s">
        <v>4837</v>
      </c>
      <c r="L138" s="12">
        <v>1</v>
      </c>
      <c r="M138" s="7"/>
    </row>
    <row r="139" spans="2:13" ht="37.5" customHeight="1" x14ac:dyDescent="0.35">
      <c r="B139" s="11"/>
      <c r="C139" s="5" t="s">
        <v>4921</v>
      </c>
      <c r="D139" s="11">
        <v>14</v>
      </c>
      <c r="E139" s="5" t="s">
        <v>4929</v>
      </c>
      <c r="F139" s="5" t="s">
        <v>4930</v>
      </c>
      <c r="G139" s="5" t="s">
        <v>1127</v>
      </c>
      <c r="H139" s="5" t="s">
        <v>36</v>
      </c>
      <c r="I139" s="5" t="s">
        <v>48</v>
      </c>
      <c r="J139" s="5" t="s">
        <v>331</v>
      </c>
      <c r="K139" s="5" t="s">
        <v>4837</v>
      </c>
      <c r="L139" s="11">
        <v>1</v>
      </c>
      <c r="M139" s="5"/>
    </row>
    <row r="140" spans="2:13" ht="37.5" customHeight="1" x14ac:dyDescent="0.35">
      <c r="B140" s="12"/>
      <c r="C140" s="7" t="s">
        <v>4921</v>
      </c>
      <c r="D140" s="12">
        <v>15</v>
      </c>
      <c r="E140" s="7" t="s">
        <v>4931</v>
      </c>
      <c r="F140" s="7" t="s">
        <v>4932</v>
      </c>
      <c r="G140" s="7" t="s">
        <v>1269</v>
      </c>
      <c r="H140" s="7" t="s">
        <v>37</v>
      </c>
      <c r="I140" s="7" t="s">
        <v>170</v>
      </c>
      <c r="J140" s="7" t="s">
        <v>4933</v>
      </c>
      <c r="K140" s="7" t="s">
        <v>4934</v>
      </c>
      <c r="L140" s="12">
        <v>1</v>
      </c>
      <c r="M140" s="7"/>
    </row>
    <row r="141" spans="2:13" ht="21.75" customHeight="1" x14ac:dyDescent="0.35">
      <c r="B141" s="11"/>
      <c r="C141" s="5" t="s">
        <v>4921</v>
      </c>
      <c r="D141" s="11">
        <v>16</v>
      </c>
      <c r="E141" s="5" t="s">
        <v>4935</v>
      </c>
      <c r="F141" s="5" t="s">
        <v>4936</v>
      </c>
      <c r="G141" s="5" t="s">
        <v>828</v>
      </c>
      <c r="H141" s="5" t="s">
        <v>41</v>
      </c>
      <c r="I141" s="5" t="s">
        <v>49</v>
      </c>
      <c r="J141" s="5" t="s">
        <v>4937</v>
      </c>
      <c r="K141" s="5" t="s">
        <v>4938</v>
      </c>
      <c r="L141" s="11">
        <v>1</v>
      </c>
      <c r="M141" s="5"/>
    </row>
    <row r="142" spans="2:13" ht="21.75" customHeight="1" x14ac:dyDescent="0.35">
      <c r="B142" s="12"/>
      <c r="C142" s="7" t="s">
        <v>4921</v>
      </c>
      <c r="D142" s="12">
        <v>17</v>
      </c>
      <c r="E142" s="7" t="s">
        <v>4939</v>
      </c>
      <c r="F142" s="7" t="s">
        <v>4940</v>
      </c>
      <c r="G142" s="7" t="s">
        <v>1180</v>
      </c>
      <c r="H142" s="7" t="s">
        <v>36</v>
      </c>
      <c r="I142" s="7" t="s">
        <v>48</v>
      </c>
      <c r="J142" s="7" t="s">
        <v>331</v>
      </c>
      <c r="K142" s="7" t="s">
        <v>4837</v>
      </c>
      <c r="L142" s="12">
        <v>1</v>
      </c>
      <c r="M142" s="7"/>
    </row>
    <row r="143" spans="2:13" ht="37.5" customHeight="1" x14ac:dyDescent="0.35">
      <c r="B143" s="11">
        <v>3</v>
      </c>
      <c r="C143" s="5" t="s">
        <v>4941</v>
      </c>
      <c r="D143" s="11">
        <v>1</v>
      </c>
      <c r="E143" s="5" t="s">
        <v>4942</v>
      </c>
      <c r="F143" s="5" t="s">
        <v>4943</v>
      </c>
      <c r="G143" s="5" t="s">
        <v>206</v>
      </c>
      <c r="H143" s="5" t="s">
        <v>37</v>
      </c>
      <c r="I143" s="5" t="s">
        <v>51</v>
      </c>
      <c r="J143" s="5" t="s">
        <v>4944</v>
      </c>
      <c r="K143" s="5" t="s">
        <v>4945</v>
      </c>
      <c r="L143" s="11">
        <v>1</v>
      </c>
      <c r="M143" s="5" t="s">
        <v>4518</v>
      </c>
    </row>
    <row r="144" spans="2:13" ht="37.5" customHeight="1" x14ac:dyDescent="0.35">
      <c r="B144" s="12">
        <v>3</v>
      </c>
      <c r="C144" s="7" t="s">
        <v>4941</v>
      </c>
      <c r="D144" s="12">
        <v>2</v>
      </c>
      <c r="E144" s="7" t="s">
        <v>4946</v>
      </c>
      <c r="F144" s="7" t="s">
        <v>4947</v>
      </c>
      <c r="G144" s="7" t="s">
        <v>805</v>
      </c>
      <c r="H144" s="7" t="s">
        <v>42</v>
      </c>
      <c r="I144" s="7" t="s">
        <v>4657</v>
      </c>
      <c r="J144" s="7" t="s">
        <v>4948</v>
      </c>
      <c r="K144" s="7" t="s">
        <v>4949</v>
      </c>
      <c r="L144" s="12">
        <v>1</v>
      </c>
      <c r="M144" s="7" t="s">
        <v>4518</v>
      </c>
    </row>
    <row r="145" spans="2:13" ht="37.5" customHeight="1" x14ac:dyDescent="0.35">
      <c r="B145" s="11">
        <v>3</v>
      </c>
      <c r="C145" s="5" t="s">
        <v>4941</v>
      </c>
      <c r="D145" s="11">
        <v>3</v>
      </c>
      <c r="E145" s="5" t="s">
        <v>4950</v>
      </c>
      <c r="F145" s="5" t="s">
        <v>4951</v>
      </c>
      <c r="G145" s="5" t="s">
        <v>212</v>
      </c>
      <c r="H145" s="5" t="s">
        <v>42</v>
      </c>
      <c r="I145" s="5" t="s">
        <v>4657</v>
      </c>
      <c r="J145" s="5" t="s">
        <v>4948</v>
      </c>
      <c r="K145" s="5" t="s">
        <v>4949</v>
      </c>
      <c r="L145" s="11">
        <v>1</v>
      </c>
      <c r="M145" s="5" t="s">
        <v>4518</v>
      </c>
    </row>
    <row r="146" spans="2:13" ht="37.5" customHeight="1" x14ac:dyDescent="0.35">
      <c r="B146" s="12">
        <v>3</v>
      </c>
      <c r="C146" s="7" t="s">
        <v>4941</v>
      </c>
      <c r="D146" s="12">
        <v>4</v>
      </c>
      <c r="E146" s="7" t="s">
        <v>4952</v>
      </c>
      <c r="F146" s="7" t="s">
        <v>4953</v>
      </c>
      <c r="G146" s="7" t="s">
        <v>905</v>
      </c>
      <c r="H146" s="7" t="s">
        <v>4676</v>
      </c>
      <c r="I146" s="7" t="s">
        <v>49</v>
      </c>
      <c r="J146" s="7" t="s">
        <v>4944</v>
      </c>
      <c r="K146" s="7" t="s">
        <v>4954</v>
      </c>
      <c r="L146" s="12">
        <v>1</v>
      </c>
      <c r="M146" s="7" t="s">
        <v>4518</v>
      </c>
    </row>
    <row r="147" spans="2:13" ht="37.5" customHeight="1" x14ac:dyDescent="0.35">
      <c r="B147" s="11">
        <v>3</v>
      </c>
      <c r="C147" s="5" t="s">
        <v>4941</v>
      </c>
      <c r="D147" s="11">
        <v>5</v>
      </c>
      <c r="E147" s="5" t="s">
        <v>4955</v>
      </c>
      <c r="F147" s="5" t="s">
        <v>4956</v>
      </c>
      <c r="G147" s="5" t="s">
        <v>1269</v>
      </c>
      <c r="H147" s="5" t="s">
        <v>37</v>
      </c>
      <c r="I147" s="5" t="s">
        <v>49</v>
      </c>
      <c r="J147" s="5" t="s">
        <v>1579</v>
      </c>
      <c r="K147" s="5" t="s">
        <v>4957</v>
      </c>
      <c r="L147" s="11">
        <v>1</v>
      </c>
      <c r="M147" s="5" t="s">
        <v>4518</v>
      </c>
    </row>
    <row r="148" spans="2:13" ht="37.5" customHeight="1" x14ac:dyDescent="0.35">
      <c r="B148" s="12">
        <v>3</v>
      </c>
      <c r="C148" s="7" t="s">
        <v>4941</v>
      </c>
      <c r="D148" s="12">
        <v>6</v>
      </c>
      <c r="E148" s="7" t="s">
        <v>4958</v>
      </c>
      <c r="F148" s="7" t="s">
        <v>4959</v>
      </c>
      <c r="G148" s="7" t="s">
        <v>837</v>
      </c>
      <c r="H148" s="7" t="s">
        <v>4895</v>
      </c>
      <c r="I148" s="7" t="s">
        <v>4896</v>
      </c>
      <c r="J148" s="7" t="s">
        <v>4960</v>
      </c>
      <c r="K148" s="7" t="s">
        <v>4961</v>
      </c>
      <c r="L148" s="12">
        <v>2</v>
      </c>
      <c r="M148" s="7" t="s">
        <v>4518</v>
      </c>
    </row>
    <row r="149" spans="2:13" ht="37.5" customHeight="1" x14ac:dyDescent="0.35">
      <c r="B149" s="11">
        <v>3</v>
      </c>
      <c r="C149" s="5" t="s">
        <v>4941</v>
      </c>
      <c r="D149" s="11">
        <v>7</v>
      </c>
      <c r="E149" s="5" t="s">
        <v>4962</v>
      </c>
      <c r="F149" s="5" t="s">
        <v>4963</v>
      </c>
      <c r="G149" s="5" t="s">
        <v>678</v>
      </c>
      <c r="H149" s="5" t="s">
        <v>4676</v>
      </c>
      <c r="I149" s="5" t="s">
        <v>49</v>
      </c>
      <c r="J149" s="5" t="s">
        <v>4944</v>
      </c>
      <c r="K149" s="5" t="s">
        <v>4954</v>
      </c>
      <c r="L149" s="11">
        <v>1</v>
      </c>
      <c r="M149" s="5" t="s">
        <v>4518</v>
      </c>
    </row>
    <row r="150" spans="2:13" ht="37.5" customHeight="1" x14ac:dyDescent="0.35">
      <c r="B150" s="12">
        <v>3</v>
      </c>
      <c r="C150" s="7" t="s">
        <v>4941</v>
      </c>
      <c r="D150" s="12">
        <v>8</v>
      </c>
      <c r="E150" s="7" t="s">
        <v>4964</v>
      </c>
      <c r="F150" s="7" t="s">
        <v>4965</v>
      </c>
      <c r="G150" s="7" t="s">
        <v>3946</v>
      </c>
      <c r="H150" s="7" t="s">
        <v>4676</v>
      </c>
      <c r="I150" s="7" t="s">
        <v>49</v>
      </c>
      <c r="J150" s="7" t="s">
        <v>4944</v>
      </c>
      <c r="K150" s="7" t="s">
        <v>4954</v>
      </c>
      <c r="L150" s="12">
        <v>1</v>
      </c>
      <c r="M150" s="7" t="s">
        <v>4518</v>
      </c>
    </row>
    <row r="151" spans="2:13" ht="37.5" customHeight="1" x14ac:dyDescent="0.35">
      <c r="B151" s="11">
        <v>3</v>
      </c>
      <c r="C151" s="5" t="s">
        <v>4941</v>
      </c>
      <c r="D151" s="11">
        <v>9</v>
      </c>
      <c r="E151" s="5" t="s">
        <v>4966</v>
      </c>
      <c r="F151" s="5" t="s">
        <v>4967</v>
      </c>
      <c r="G151" s="5" t="s">
        <v>742</v>
      </c>
      <c r="H151" s="5" t="s">
        <v>37</v>
      </c>
      <c r="I151" s="5" t="s">
        <v>51</v>
      </c>
      <c r="J151" s="5" t="s">
        <v>1890</v>
      </c>
      <c r="K151" s="5" t="s">
        <v>4968</v>
      </c>
      <c r="L151" s="11">
        <v>1</v>
      </c>
      <c r="M151" s="5" t="s">
        <v>4518</v>
      </c>
    </row>
    <row r="152" spans="2:13" ht="37.5" customHeight="1" x14ac:dyDescent="0.35">
      <c r="B152" s="12">
        <v>3</v>
      </c>
      <c r="C152" s="7" t="s">
        <v>4941</v>
      </c>
      <c r="D152" s="12">
        <v>10</v>
      </c>
      <c r="E152" s="7" t="s">
        <v>4969</v>
      </c>
      <c r="F152" s="7" t="s">
        <v>4970</v>
      </c>
      <c r="G152" s="7" t="s">
        <v>279</v>
      </c>
      <c r="H152" s="7" t="s">
        <v>1995</v>
      </c>
      <c r="I152" s="7" t="s">
        <v>4971</v>
      </c>
      <c r="J152" s="7" t="s">
        <v>4972</v>
      </c>
      <c r="K152" s="7" t="s">
        <v>4973</v>
      </c>
      <c r="L152" s="12">
        <v>2</v>
      </c>
      <c r="M152" s="7" t="s">
        <v>4518</v>
      </c>
    </row>
    <row r="153" spans="2:13" ht="37.5" customHeight="1" x14ac:dyDescent="0.35">
      <c r="B153" s="11">
        <v>3</v>
      </c>
      <c r="C153" s="5" t="s">
        <v>4941</v>
      </c>
      <c r="D153" s="11">
        <v>11</v>
      </c>
      <c r="E153" s="5" t="s">
        <v>4974</v>
      </c>
      <c r="F153" s="5" t="s">
        <v>4975</v>
      </c>
      <c r="G153" s="5" t="s">
        <v>1953</v>
      </c>
      <c r="H153" s="5" t="s">
        <v>37</v>
      </c>
      <c r="I153" s="5" t="s">
        <v>51</v>
      </c>
      <c r="J153" s="5" t="s">
        <v>1890</v>
      </c>
      <c r="K153" s="5" t="s">
        <v>4968</v>
      </c>
      <c r="L153" s="11">
        <v>1</v>
      </c>
      <c r="M153" s="5" t="s">
        <v>4518</v>
      </c>
    </row>
    <row r="154" spans="2:13" ht="37.5" customHeight="1" x14ac:dyDescent="0.35">
      <c r="B154" s="12">
        <v>3</v>
      </c>
      <c r="C154" s="7" t="s">
        <v>4941</v>
      </c>
      <c r="D154" s="12">
        <v>12</v>
      </c>
      <c r="E154" s="7" t="s">
        <v>4976</v>
      </c>
      <c r="F154" s="7" t="s">
        <v>4977</v>
      </c>
      <c r="G154" s="7" t="s">
        <v>249</v>
      </c>
      <c r="H154" s="7" t="s">
        <v>294</v>
      </c>
      <c r="I154" s="7" t="s">
        <v>49</v>
      </c>
      <c r="J154" s="7" t="s">
        <v>4978</v>
      </c>
      <c r="K154" s="7" t="s">
        <v>4979</v>
      </c>
      <c r="L154" s="12">
        <v>2</v>
      </c>
      <c r="M154" s="7" t="s">
        <v>4518</v>
      </c>
    </row>
    <row r="155" spans="2:13" ht="37.5" customHeight="1" x14ac:dyDescent="0.35">
      <c r="B155" s="11">
        <v>3</v>
      </c>
      <c r="C155" s="5" t="s">
        <v>4941</v>
      </c>
      <c r="D155" s="11">
        <v>13</v>
      </c>
      <c r="E155" s="5" t="s">
        <v>4980</v>
      </c>
      <c r="F155" s="5" t="s">
        <v>4981</v>
      </c>
      <c r="G155" s="5" t="s">
        <v>698</v>
      </c>
      <c r="H155" s="5" t="s">
        <v>294</v>
      </c>
      <c r="I155" s="5" t="s">
        <v>49</v>
      </c>
      <c r="J155" s="5" t="s">
        <v>4978</v>
      </c>
      <c r="K155" s="5" t="s">
        <v>4979</v>
      </c>
      <c r="L155" s="11">
        <v>2</v>
      </c>
      <c r="M155" s="5" t="s">
        <v>4518</v>
      </c>
    </row>
    <row r="156" spans="2:13" ht="52.5" customHeight="1" x14ac:dyDescent="0.35">
      <c r="B156" s="12">
        <v>3</v>
      </c>
      <c r="C156" s="7" t="s">
        <v>4941</v>
      </c>
      <c r="D156" s="12">
        <v>14</v>
      </c>
      <c r="E156" s="7" t="s">
        <v>4982</v>
      </c>
      <c r="F156" s="7" t="s">
        <v>4983</v>
      </c>
      <c r="G156" s="7" t="s">
        <v>1622</v>
      </c>
      <c r="H156" s="7" t="s">
        <v>4984</v>
      </c>
      <c r="I156" s="7" t="s">
        <v>4985</v>
      </c>
      <c r="J156" s="7" t="s">
        <v>4986</v>
      </c>
      <c r="K156" s="7" t="s">
        <v>4987</v>
      </c>
      <c r="L156" s="12">
        <v>2</v>
      </c>
      <c r="M156" s="7" t="s">
        <v>4518</v>
      </c>
    </row>
    <row r="157" spans="2:13" ht="37.5" customHeight="1" x14ac:dyDescent="0.35">
      <c r="B157" s="11">
        <v>3</v>
      </c>
      <c r="C157" s="5" t="s">
        <v>4941</v>
      </c>
      <c r="D157" s="11">
        <v>15</v>
      </c>
      <c r="E157" s="5" t="s">
        <v>4988</v>
      </c>
      <c r="F157" s="5" t="s">
        <v>4989</v>
      </c>
      <c r="G157" s="5" t="s">
        <v>927</v>
      </c>
      <c r="H157" s="5" t="s">
        <v>37</v>
      </c>
      <c r="I157" s="5" t="s">
        <v>193</v>
      </c>
      <c r="J157" s="5" t="s">
        <v>1890</v>
      </c>
      <c r="K157" s="5" t="s">
        <v>4990</v>
      </c>
      <c r="L157" s="11">
        <v>1</v>
      </c>
      <c r="M157" s="5" t="s">
        <v>4518</v>
      </c>
    </row>
    <row r="158" spans="2:13" ht="37.5" customHeight="1" x14ac:dyDescent="0.35">
      <c r="B158" s="12">
        <v>3</v>
      </c>
      <c r="C158" s="7" t="s">
        <v>4941</v>
      </c>
      <c r="D158" s="12">
        <v>16</v>
      </c>
      <c r="E158" s="7" t="s">
        <v>4991</v>
      </c>
      <c r="F158" s="7" t="s">
        <v>4992</v>
      </c>
      <c r="G158" s="7" t="s">
        <v>428</v>
      </c>
      <c r="H158" s="7" t="s">
        <v>43</v>
      </c>
      <c r="I158" s="7" t="s">
        <v>49</v>
      </c>
      <c r="J158" s="7" t="s">
        <v>4098</v>
      </c>
      <c r="K158" s="7" t="s">
        <v>4993</v>
      </c>
      <c r="L158" s="12">
        <v>1</v>
      </c>
      <c r="M158" s="7" t="s">
        <v>4518</v>
      </c>
    </row>
    <row r="159" spans="2:13" ht="37.5" customHeight="1" x14ac:dyDescent="0.35">
      <c r="B159" s="11">
        <v>3</v>
      </c>
      <c r="C159" s="5" t="s">
        <v>4941</v>
      </c>
      <c r="D159" s="11">
        <v>17</v>
      </c>
      <c r="E159" s="5" t="s">
        <v>4994</v>
      </c>
      <c r="F159" s="5" t="s">
        <v>4995</v>
      </c>
      <c r="G159" s="5" t="s">
        <v>625</v>
      </c>
      <c r="H159" s="5" t="s">
        <v>4996</v>
      </c>
      <c r="I159" s="5" t="s">
        <v>4971</v>
      </c>
      <c r="J159" s="5" t="s">
        <v>4997</v>
      </c>
      <c r="K159" s="5" t="s">
        <v>4998</v>
      </c>
      <c r="L159" s="11">
        <v>2</v>
      </c>
      <c r="M159" s="5" t="s">
        <v>4518</v>
      </c>
    </row>
    <row r="160" spans="2:13" ht="37.5" customHeight="1" x14ac:dyDescent="0.35">
      <c r="B160" s="12">
        <v>3</v>
      </c>
      <c r="C160" s="7" t="s">
        <v>4941</v>
      </c>
      <c r="D160" s="12">
        <v>18</v>
      </c>
      <c r="E160" s="7" t="s">
        <v>4999</v>
      </c>
      <c r="F160" s="7" t="s">
        <v>5000</v>
      </c>
      <c r="G160" s="7" t="s">
        <v>1045</v>
      </c>
      <c r="H160" s="7" t="s">
        <v>37</v>
      </c>
      <c r="I160" s="7" t="s">
        <v>51</v>
      </c>
      <c r="J160" s="7" t="s">
        <v>1890</v>
      </c>
      <c r="K160" s="7" t="s">
        <v>4968</v>
      </c>
      <c r="L160" s="12">
        <v>1</v>
      </c>
      <c r="M160" s="7" t="s">
        <v>4518</v>
      </c>
    </row>
    <row r="161" spans="2:13" ht="37.5" customHeight="1" x14ac:dyDescent="0.35">
      <c r="B161" s="11">
        <v>3</v>
      </c>
      <c r="C161" s="5" t="s">
        <v>4941</v>
      </c>
      <c r="D161" s="11">
        <v>19</v>
      </c>
      <c r="E161" s="5" t="s">
        <v>5001</v>
      </c>
      <c r="F161" s="5" t="s">
        <v>5002</v>
      </c>
      <c r="G161" s="5" t="s">
        <v>970</v>
      </c>
      <c r="H161" s="5" t="s">
        <v>37</v>
      </c>
      <c r="I161" s="5" t="s">
        <v>51</v>
      </c>
      <c r="J161" s="5" t="s">
        <v>1890</v>
      </c>
      <c r="K161" s="5" t="s">
        <v>4968</v>
      </c>
      <c r="L161" s="11">
        <v>1</v>
      </c>
      <c r="M161" s="5" t="s">
        <v>4518</v>
      </c>
    </row>
    <row r="162" spans="2:13" ht="37.5" customHeight="1" x14ac:dyDescent="0.35">
      <c r="B162" s="12">
        <v>3</v>
      </c>
      <c r="C162" s="7" t="s">
        <v>4941</v>
      </c>
      <c r="D162" s="12">
        <v>20</v>
      </c>
      <c r="E162" s="7" t="s">
        <v>5003</v>
      </c>
      <c r="F162" s="7" t="s">
        <v>5004</v>
      </c>
      <c r="G162" s="7" t="s">
        <v>891</v>
      </c>
      <c r="H162" s="7" t="s">
        <v>37</v>
      </c>
      <c r="I162" s="7" t="s">
        <v>193</v>
      </c>
      <c r="J162" s="7" t="s">
        <v>1890</v>
      </c>
      <c r="K162" s="7" t="s">
        <v>4990</v>
      </c>
      <c r="L162" s="12">
        <v>1</v>
      </c>
      <c r="M162" s="7" t="s">
        <v>4518</v>
      </c>
    </row>
    <row r="163" spans="2:13" ht="37.5" customHeight="1" x14ac:dyDescent="0.35">
      <c r="B163" s="11">
        <v>3</v>
      </c>
      <c r="C163" s="5" t="s">
        <v>4941</v>
      </c>
      <c r="D163" s="11">
        <v>21</v>
      </c>
      <c r="E163" s="5" t="s">
        <v>5005</v>
      </c>
      <c r="F163" s="5" t="s">
        <v>5006</v>
      </c>
      <c r="G163" s="5" t="s">
        <v>395</v>
      </c>
      <c r="H163" s="5" t="s">
        <v>37</v>
      </c>
      <c r="I163" s="5" t="s">
        <v>193</v>
      </c>
      <c r="J163" s="5" t="s">
        <v>1890</v>
      </c>
      <c r="K163" s="5" t="s">
        <v>4990</v>
      </c>
      <c r="L163" s="11">
        <v>1</v>
      </c>
      <c r="M163" s="5" t="s">
        <v>4518</v>
      </c>
    </row>
    <row r="164" spans="2:13" ht="37.5" customHeight="1" x14ac:dyDescent="0.35">
      <c r="B164" s="12">
        <v>3</v>
      </c>
      <c r="C164" s="7" t="s">
        <v>4941</v>
      </c>
      <c r="D164" s="12">
        <v>22</v>
      </c>
      <c r="E164" s="7" t="s">
        <v>5007</v>
      </c>
      <c r="F164" s="7" t="s">
        <v>5008</v>
      </c>
      <c r="G164" s="7" t="s">
        <v>244</v>
      </c>
      <c r="H164" s="7" t="s">
        <v>37</v>
      </c>
      <c r="I164" s="7" t="s">
        <v>193</v>
      </c>
      <c r="J164" s="7" t="s">
        <v>1890</v>
      </c>
      <c r="K164" s="7" t="s">
        <v>4990</v>
      </c>
      <c r="L164" s="12">
        <v>1</v>
      </c>
      <c r="M164" s="7" t="s">
        <v>4518</v>
      </c>
    </row>
    <row r="165" spans="2:13" ht="37.5" customHeight="1" x14ac:dyDescent="0.35">
      <c r="B165" s="11">
        <v>3</v>
      </c>
      <c r="C165" s="5" t="s">
        <v>4941</v>
      </c>
      <c r="D165" s="11">
        <v>23</v>
      </c>
      <c r="E165" s="5" t="s">
        <v>5009</v>
      </c>
      <c r="F165" s="5" t="s">
        <v>5010</v>
      </c>
      <c r="G165" s="5" t="s">
        <v>813</v>
      </c>
      <c r="H165" s="5" t="s">
        <v>37</v>
      </c>
      <c r="I165" s="5" t="s">
        <v>193</v>
      </c>
      <c r="J165" s="5" t="s">
        <v>1890</v>
      </c>
      <c r="K165" s="5" t="s">
        <v>4990</v>
      </c>
      <c r="L165" s="11">
        <v>1</v>
      </c>
      <c r="M165" s="5" t="s">
        <v>4518</v>
      </c>
    </row>
    <row r="166" spans="2:13" ht="37.5" customHeight="1" x14ac:dyDescent="0.35">
      <c r="B166" s="12">
        <v>3</v>
      </c>
      <c r="C166" s="7" t="s">
        <v>4941</v>
      </c>
      <c r="D166" s="12">
        <v>24</v>
      </c>
      <c r="E166" s="7" t="s">
        <v>5011</v>
      </c>
      <c r="F166" s="7" t="s">
        <v>5012</v>
      </c>
      <c r="G166" s="7" t="s">
        <v>5013</v>
      </c>
      <c r="H166" s="7" t="s">
        <v>42</v>
      </c>
      <c r="I166" s="7" t="s">
        <v>4657</v>
      </c>
      <c r="J166" s="7" t="s">
        <v>4365</v>
      </c>
      <c r="K166" s="7" t="s">
        <v>5014</v>
      </c>
      <c r="L166" s="12">
        <v>1</v>
      </c>
      <c r="M166" s="7" t="s">
        <v>4518</v>
      </c>
    </row>
    <row r="167" spans="2:13" ht="37.5" customHeight="1" x14ac:dyDescent="0.35">
      <c r="B167" s="11">
        <v>3</v>
      </c>
      <c r="C167" s="5" t="s">
        <v>4941</v>
      </c>
      <c r="D167" s="11">
        <v>25</v>
      </c>
      <c r="E167" s="5" t="s">
        <v>5015</v>
      </c>
      <c r="F167" s="5" t="s">
        <v>5016</v>
      </c>
      <c r="G167" s="5" t="s">
        <v>29</v>
      </c>
      <c r="H167" s="5" t="s">
        <v>5017</v>
      </c>
      <c r="I167" s="5" t="s">
        <v>5018</v>
      </c>
      <c r="J167" s="5" t="s">
        <v>5019</v>
      </c>
      <c r="K167" s="5" t="s">
        <v>5020</v>
      </c>
      <c r="L167" s="11">
        <v>2</v>
      </c>
      <c r="M167" s="5" t="s">
        <v>4518</v>
      </c>
    </row>
    <row r="168" spans="2:13" ht="37.5" customHeight="1" x14ac:dyDescent="0.35">
      <c r="B168" s="12">
        <v>3</v>
      </c>
      <c r="C168" s="7" t="s">
        <v>4941</v>
      </c>
      <c r="D168" s="12">
        <v>26</v>
      </c>
      <c r="E168" s="7" t="s">
        <v>5021</v>
      </c>
      <c r="F168" s="7" t="s">
        <v>5022</v>
      </c>
      <c r="G168" s="7" t="s">
        <v>26</v>
      </c>
      <c r="H168" s="7" t="s">
        <v>42</v>
      </c>
      <c r="I168" s="7" t="s">
        <v>5023</v>
      </c>
      <c r="J168" s="7" t="s">
        <v>4365</v>
      </c>
      <c r="K168" s="7" t="s">
        <v>5024</v>
      </c>
      <c r="L168" s="12">
        <v>1</v>
      </c>
      <c r="M168" s="7" t="s">
        <v>4518</v>
      </c>
    </row>
    <row r="169" spans="2:13" ht="37.5" customHeight="1" x14ac:dyDescent="0.35">
      <c r="B169" s="11">
        <v>3</v>
      </c>
      <c r="C169" s="5" t="s">
        <v>4941</v>
      </c>
      <c r="D169" s="11">
        <v>27</v>
      </c>
      <c r="E169" s="5" t="s">
        <v>5025</v>
      </c>
      <c r="F169" s="5" t="s">
        <v>5026</v>
      </c>
      <c r="G169" s="5" t="s">
        <v>557</v>
      </c>
      <c r="H169" s="5" t="s">
        <v>37</v>
      </c>
      <c r="I169" s="5" t="s">
        <v>51</v>
      </c>
      <c r="J169" s="5" t="s">
        <v>1890</v>
      </c>
      <c r="K169" s="5" t="s">
        <v>4968</v>
      </c>
      <c r="L169" s="11">
        <v>1</v>
      </c>
      <c r="M169" s="5" t="s">
        <v>4518</v>
      </c>
    </row>
    <row r="170" spans="2:13" ht="37.5" customHeight="1" x14ac:dyDescent="0.35">
      <c r="B170" s="12">
        <v>3</v>
      </c>
      <c r="C170" s="7" t="s">
        <v>4941</v>
      </c>
      <c r="D170" s="12">
        <v>28</v>
      </c>
      <c r="E170" s="7" t="s">
        <v>5027</v>
      </c>
      <c r="F170" s="7" t="s">
        <v>5028</v>
      </c>
      <c r="G170" s="7" t="s">
        <v>1628</v>
      </c>
      <c r="H170" s="7" t="s">
        <v>37</v>
      </c>
      <c r="I170" s="7" t="s">
        <v>51</v>
      </c>
      <c r="J170" s="7" t="s">
        <v>1890</v>
      </c>
      <c r="K170" s="7" t="s">
        <v>4968</v>
      </c>
      <c r="L170" s="12">
        <v>1</v>
      </c>
      <c r="M170" s="7" t="s">
        <v>4518</v>
      </c>
    </row>
    <row r="171" spans="2:13" ht="37.5" customHeight="1" x14ac:dyDescent="0.35">
      <c r="B171" s="11">
        <v>3</v>
      </c>
      <c r="C171" s="5" t="s">
        <v>4941</v>
      </c>
      <c r="D171" s="11">
        <v>29</v>
      </c>
      <c r="E171" s="5" t="s">
        <v>5029</v>
      </c>
      <c r="F171" s="5" t="s">
        <v>5030</v>
      </c>
      <c r="G171" s="5" t="s">
        <v>973</v>
      </c>
      <c r="H171" s="5" t="s">
        <v>37</v>
      </c>
      <c r="I171" s="5" t="s">
        <v>49</v>
      </c>
      <c r="J171" s="5" t="s">
        <v>1579</v>
      </c>
      <c r="K171" s="5" t="s">
        <v>4957</v>
      </c>
      <c r="L171" s="11">
        <v>1</v>
      </c>
      <c r="M171" s="5" t="s">
        <v>4518</v>
      </c>
    </row>
    <row r="172" spans="2:13" ht="37.5" customHeight="1" x14ac:dyDescent="0.35">
      <c r="B172" s="12"/>
      <c r="C172" s="7" t="s">
        <v>5031</v>
      </c>
      <c r="D172" s="12">
        <v>30</v>
      </c>
      <c r="E172" s="7" t="s">
        <v>5032</v>
      </c>
      <c r="F172" s="7" t="s">
        <v>5033</v>
      </c>
      <c r="G172" s="7" t="s">
        <v>541</v>
      </c>
      <c r="H172" s="7" t="s">
        <v>4996</v>
      </c>
      <c r="I172" s="7" t="s">
        <v>4971</v>
      </c>
      <c r="J172" s="7" t="s">
        <v>4997</v>
      </c>
      <c r="K172" s="7" t="s">
        <v>4998</v>
      </c>
      <c r="L172" s="12">
        <v>2</v>
      </c>
      <c r="M172" s="7"/>
    </row>
    <row r="173" spans="2:13" ht="37.5" customHeight="1" x14ac:dyDescent="0.35">
      <c r="B173" s="11"/>
      <c r="C173" s="5" t="s">
        <v>5031</v>
      </c>
      <c r="D173" s="11">
        <v>31</v>
      </c>
      <c r="E173" s="5" t="s">
        <v>5034</v>
      </c>
      <c r="F173" s="5" t="s">
        <v>5035</v>
      </c>
      <c r="G173" s="5" t="s">
        <v>686</v>
      </c>
      <c r="H173" s="5" t="s">
        <v>218</v>
      </c>
      <c r="I173" s="5" t="s">
        <v>5036</v>
      </c>
      <c r="J173" s="5" t="s">
        <v>4997</v>
      </c>
      <c r="K173" s="5" t="s">
        <v>5037</v>
      </c>
      <c r="L173" s="11">
        <v>2</v>
      </c>
      <c r="M173" s="5"/>
    </row>
    <row r="174" spans="2:13" ht="37.5" customHeight="1" x14ac:dyDescent="0.35">
      <c r="B174" s="12"/>
      <c r="C174" s="7" t="s">
        <v>5031</v>
      </c>
      <c r="D174" s="12">
        <v>32</v>
      </c>
      <c r="E174" s="7" t="s">
        <v>5038</v>
      </c>
      <c r="F174" s="7" t="s">
        <v>5039</v>
      </c>
      <c r="G174" s="7" t="s">
        <v>31</v>
      </c>
      <c r="H174" s="7" t="s">
        <v>37</v>
      </c>
      <c r="I174" s="7" t="s">
        <v>49</v>
      </c>
      <c r="J174" s="7" t="s">
        <v>1579</v>
      </c>
      <c r="K174" s="7" t="s">
        <v>4957</v>
      </c>
      <c r="L174" s="12">
        <v>1</v>
      </c>
      <c r="M174" s="7"/>
    </row>
    <row r="175" spans="2:13" ht="37.5" customHeight="1" x14ac:dyDescent="0.35">
      <c r="B175" s="11"/>
      <c r="C175" s="5" t="s">
        <v>5031</v>
      </c>
      <c r="D175" s="11">
        <v>33</v>
      </c>
      <c r="E175" s="5" t="s">
        <v>5040</v>
      </c>
      <c r="F175" s="5" t="s">
        <v>5041</v>
      </c>
      <c r="G175" s="5" t="s">
        <v>752</v>
      </c>
      <c r="H175" s="5" t="s">
        <v>44</v>
      </c>
      <c r="I175" s="5" t="s">
        <v>49</v>
      </c>
      <c r="J175" s="5" t="s">
        <v>4944</v>
      </c>
      <c r="K175" s="5" t="s">
        <v>5042</v>
      </c>
      <c r="L175" s="11">
        <v>1</v>
      </c>
      <c r="M175" s="5"/>
    </row>
    <row r="176" spans="2:13" ht="21.75" customHeight="1" x14ac:dyDescent="0.35">
      <c r="B176" s="12"/>
      <c r="C176" s="7" t="s">
        <v>5031</v>
      </c>
      <c r="D176" s="12">
        <v>34</v>
      </c>
      <c r="E176" s="7" t="s">
        <v>5043</v>
      </c>
      <c r="F176" s="7" t="s">
        <v>5044</v>
      </c>
      <c r="G176" s="7" t="s">
        <v>900</v>
      </c>
      <c r="H176" s="7" t="s">
        <v>37</v>
      </c>
      <c r="I176" s="7" t="s">
        <v>170</v>
      </c>
      <c r="J176" s="7" t="s">
        <v>1579</v>
      </c>
      <c r="K176" s="7" t="s">
        <v>5045</v>
      </c>
      <c r="L176" s="12">
        <v>1</v>
      </c>
      <c r="M176" s="7"/>
    </row>
    <row r="177" spans="2:13" ht="37.5" customHeight="1" x14ac:dyDescent="0.35">
      <c r="B177" s="11"/>
      <c r="C177" s="5" t="s">
        <v>5031</v>
      </c>
      <c r="D177" s="11">
        <v>35</v>
      </c>
      <c r="E177" s="5" t="s">
        <v>5046</v>
      </c>
      <c r="F177" s="5" t="s">
        <v>5047</v>
      </c>
      <c r="G177" s="5" t="s">
        <v>24</v>
      </c>
      <c r="H177" s="5" t="s">
        <v>37</v>
      </c>
      <c r="I177" s="5" t="s">
        <v>51</v>
      </c>
      <c r="J177" s="5" t="s">
        <v>1890</v>
      </c>
      <c r="K177" s="5" t="s">
        <v>4968</v>
      </c>
      <c r="L177" s="11">
        <v>1</v>
      </c>
      <c r="M177" s="5"/>
    </row>
    <row r="178" spans="2:13" ht="21.75" customHeight="1" x14ac:dyDescent="0.35">
      <c r="B178" s="12"/>
      <c r="C178" s="7" t="s">
        <v>5031</v>
      </c>
      <c r="D178" s="12">
        <v>36</v>
      </c>
      <c r="E178" s="7" t="s">
        <v>5048</v>
      </c>
      <c r="F178" s="7" t="s">
        <v>5049</v>
      </c>
      <c r="G178" s="7" t="s">
        <v>285</v>
      </c>
      <c r="H178" s="7" t="s">
        <v>37</v>
      </c>
      <c r="I178" s="7" t="s">
        <v>49</v>
      </c>
      <c r="J178" s="7" t="s">
        <v>1579</v>
      </c>
      <c r="K178" s="7" t="s">
        <v>4957</v>
      </c>
      <c r="L178" s="12">
        <v>1</v>
      </c>
      <c r="M178" s="7"/>
    </row>
    <row r="179" spans="2:13" ht="37.5" customHeight="1" x14ac:dyDescent="0.35">
      <c r="B179" s="11"/>
      <c r="C179" s="5" t="s">
        <v>5031</v>
      </c>
      <c r="D179" s="11">
        <v>37</v>
      </c>
      <c r="E179" s="5" t="s">
        <v>5050</v>
      </c>
      <c r="F179" s="5" t="s">
        <v>5051</v>
      </c>
      <c r="G179" s="5" t="s">
        <v>30</v>
      </c>
      <c r="H179" s="5" t="s">
        <v>37</v>
      </c>
      <c r="I179" s="5" t="s">
        <v>170</v>
      </c>
      <c r="J179" s="5" t="s">
        <v>194</v>
      </c>
      <c r="K179" s="5" t="s">
        <v>286</v>
      </c>
      <c r="L179" s="11">
        <v>1</v>
      </c>
      <c r="M179" s="5"/>
    </row>
    <row r="180" spans="2:13" ht="21.75" customHeight="1" x14ac:dyDescent="0.35">
      <c r="B180" s="12"/>
      <c r="C180" s="7" t="s">
        <v>5031</v>
      </c>
      <c r="D180" s="12">
        <v>38</v>
      </c>
      <c r="E180" s="7" t="s">
        <v>5052</v>
      </c>
      <c r="F180" s="7" t="s">
        <v>5053</v>
      </c>
      <c r="G180" s="7" t="s">
        <v>32</v>
      </c>
      <c r="H180" s="7" t="s">
        <v>37</v>
      </c>
      <c r="I180" s="7" t="s">
        <v>49</v>
      </c>
      <c r="J180" s="7" t="s">
        <v>1579</v>
      </c>
      <c r="K180" s="7" t="s">
        <v>4957</v>
      </c>
      <c r="L180" s="12">
        <v>1</v>
      </c>
      <c r="M180" s="7"/>
    </row>
    <row r="181" spans="2:13" ht="37.5" customHeight="1" x14ac:dyDescent="0.35">
      <c r="B181" s="11"/>
      <c r="C181" s="5" t="s">
        <v>5031</v>
      </c>
      <c r="D181" s="11">
        <v>39</v>
      </c>
      <c r="E181" s="5" t="s">
        <v>5054</v>
      </c>
      <c r="F181" s="5" t="s">
        <v>5055</v>
      </c>
      <c r="G181" s="5" t="s">
        <v>1161</v>
      </c>
      <c r="H181" s="5" t="s">
        <v>39</v>
      </c>
      <c r="I181" s="5" t="s">
        <v>227</v>
      </c>
      <c r="J181" s="5" t="s">
        <v>5056</v>
      </c>
      <c r="K181" s="5" t="s">
        <v>5057</v>
      </c>
      <c r="L181" s="11">
        <v>1</v>
      </c>
      <c r="M181" s="5"/>
    </row>
    <row r="182" spans="2:13" ht="37.5" customHeight="1" x14ac:dyDescent="0.35">
      <c r="B182" s="12"/>
      <c r="C182" s="7" t="s">
        <v>5031</v>
      </c>
      <c r="D182" s="12">
        <v>40</v>
      </c>
      <c r="E182" s="7" t="s">
        <v>5058</v>
      </c>
      <c r="F182" s="7" t="s">
        <v>5059</v>
      </c>
      <c r="G182" s="7" t="s">
        <v>993</v>
      </c>
      <c r="H182" s="7" t="s">
        <v>42</v>
      </c>
      <c r="I182" s="7" t="s">
        <v>4657</v>
      </c>
      <c r="J182" s="7" t="s">
        <v>194</v>
      </c>
      <c r="K182" s="7" t="s">
        <v>5060</v>
      </c>
      <c r="L182" s="12">
        <v>1</v>
      </c>
      <c r="M182" s="7"/>
    </row>
    <row r="183" spans="2:13" ht="37.5" customHeight="1" x14ac:dyDescent="0.35">
      <c r="B183" s="11"/>
      <c r="C183" s="5" t="s">
        <v>5031</v>
      </c>
      <c r="D183" s="11">
        <v>41</v>
      </c>
      <c r="E183" s="5" t="s">
        <v>5061</v>
      </c>
      <c r="F183" s="5" t="s">
        <v>5062</v>
      </c>
      <c r="G183" s="5" t="s">
        <v>1211</v>
      </c>
      <c r="H183" s="5" t="s">
        <v>37</v>
      </c>
      <c r="I183" s="5" t="s">
        <v>49</v>
      </c>
      <c r="J183" s="5" t="s">
        <v>5056</v>
      </c>
      <c r="K183" s="5" t="s">
        <v>5063</v>
      </c>
      <c r="L183" s="11">
        <v>1</v>
      </c>
      <c r="M183" s="5"/>
    </row>
    <row r="184" spans="2:13" ht="37.5" customHeight="1" x14ac:dyDescent="0.35">
      <c r="B184" s="12"/>
      <c r="C184" s="7" t="s">
        <v>5031</v>
      </c>
      <c r="D184" s="12">
        <v>42</v>
      </c>
      <c r="E184" s="7" t="s">
        <v>5064</v>
      </c>
      <c r="F184" s="7" t="s">
        <v>5065</v>
      </c>
      <c r="G184" s="7" t="s">
        <v>816</v>
      </c>
      <c r="H184" s="7" t="s">
        <v>40</v>
      </c>
      <c r="I184" s="7" t="s">
        <v>54</v>
      </c>
      <c r="J184" s="7" t="s">
        <v>4944</v>
      </c>
      <c r="K184" s="7" t="s">
        <v>5066</v>
      </c>
      <c r="L184" s="12">
        <v>1</v>
      </c>
      <c r="M184" s="7"/>
    </row>
    <row r="185" spans="2:13" ht="21.75" customHeight="1" x14ac:dyDescent="0.35">
      <c r="B185" s="11"/>
      <c r="C185" s="5" t="s">
        <v>5031</v>
      </c>
      <c r="D185" s="11">
        <v>43</v>
      </c>
      <c r="E185" s="5" t="s">
        <v>5067</v>
      </c>
      <c r="F185" s="5" t="s">
        <v>5068</v>
      </c>
      <c r="G185" s="5" t="s">
        <v>5069</v>
      </c>
      <c r="H185" s="5" t="s">
        <v>38</v>
      </c>
      <c r="I185" s="5" t="s">
        <v>49</v>
      </c>
      <c r="J185" s="5" t="s">
        <v>1004</v>
      </c>
      <c r="K185" s="5" t="s">
        <v>5070</v>
      </c>
      <c r="L185" s="11">
        <v>1</v>
      </c>
      <c r="M185" s="5"/>
    </row>
    <row r="186" spans="2:13" ht="21.75" customHeight="1" x14ac:dyDescent="0.35">
      <c r="B186" s="12"/>
      <c r="C186" s="7" t="s">
        <v>5031</v>
      </c>
      <c r="D186" s="12">
        <v>44</v>
      </c>
      <c r="E186" s="7" t="s">
        <v>5071</v>
      </c>
      <c r="F186" s="7" t="s">
        <v>5072</v>
      </c>
      <c r="G186" s="7" t="s">
        <v>1290</v>
      </c>
      <c r="H186" s="7" t="s">
        <v>41</v>
      </c>
      <c r="I186" s="7" t="s">
        <v>49</v>
      </c>
      <c r="J186" s="7" t="s">
        <v>1004</v>
      </c>
      <c r="K186" s="7" t="s">
        <v>5073</v>
      </c>
      <c r="L186" s="12">
        <v>1</v>
      </c>
      <c r="M186" s="7"/>
    </row>
    <row r="187" spans="2:13" ht="37.5" customHeight="1" x14ac:dyDescent="0.35">
      <c r="B187" s="11"/>
      <c r="C187" s="5" t="s">
        <v>5031</v>
      </c>
      <c r="D187" s="11">
        <v>45</v>
      </c>
      <c r="E187" s="5" t="s">
        <v>5074</v>
      </c>
      <c r="F187" s="5" t="s">
        <v>5075</v>
      </c>
      <c r="G187" s="5" t="s">
        <v>319</v>
      </c>
      <c r="H187" s="5" t="s">
        <v>41</v>
      </c>
      <c r="I187" s="5" t="s">
        <v>49</v>
      </c>
      <c r="J187" s="5" t="s">
        <v>4944</v>
      </c>
      <c r="K187" s="5" t="s">
        <v>5076</v>
      </c>
      <c r="L187" s="11">
        <v>1</v>
      </c>
      <c r="M187" s="5"/>
    </row>
    <row r="188" spans="2:13" ht="21.75" customHeight="1" x14ac:dyDescent="0.35">
      <c r="B188" s="12"/>
      <c r="C188" s="7" t="s">
        <v>5031</v>
      </c>
      <c r="D188" s="12">
        <v>46</v>
      </c>
      <c r="E188" s="7" t="s">
        <v>5077</v>
      </c>
      <c r="F188" s="7" t="s">
        <v>5078</v>
      </c>
      <c r="G188" s="7" t="s">
        <v>3065</v>
      </c>
      <c r="H188" s="7" t="s">
        <v>39</v>
      </c>
      <c r="I188" s="7" t="s">
        <v>227</v>
      </c>
      <c r="J188" s="7" t="s">
        <v>5056</v>
      </c>
      <c r="K188" s="7" t="s">
        <v>5057</v>
      </c>
      <c r="L188" s="12">
        <v>1</v>
      </c>
      <c r="M188" s="7"/>
    </row>
    <row r="189" spans="2:13" ht="37.5" customHeight="1" x14ac:dyDescent="0.35">
      <c r="B189" s="11"/>
      <c r="C189" s="5" t="s">
        <v>5031</v>
      </c>
      <c r="D189" s="11">
        <v>47</v>
      </c>
      <c r="E189" s="5" t="s">
        <v>5079</v>
      </c>
      <c r="F189" s="5" t="s">
        <v>5080</v>
      </c>
      <c r="G189" s="5" t="s">
        <v>4857</v>
      </c>
      <c r="H189" s="5" t="s">
        <v>40</v>
      </c>
      <c r="I189" s="5" t="s">
        <v>54</v>
      </c>
      <c r="J189" s="5" t="s">
        <v>1063</v>
      </c>
      <c r="K189" s="5" t="s">
        <v>5081</v>
      </c>
      <c r="L189" s="11">
        <v>1</v>
      </c>
      <c r="M189" s="5"/>
    </row>
    <row r="190" spans="2:13" ht="21.75" customHeight="1" x14ac:dyDescent="0.35">
      <c r="B190" s="12"/>
      <c r="C190" s="7" t="s">
        <v>5031</v>
      </c>
      <c r="D190" s="12">
        <v>48</v>
      </c>
      <c r="E190" s="7" t="s">
        <v>5082</v>
      </c>
      <c r="F190" s="7" t="s">
        <v>5083</v>
      </c>
      <c r="G190" s="7" t="s">
        <v>3323</v>
      </c>
      <c r="H190" s="7" t="s">
        <v>40</v>
      </c>
      <c r="I190" s="7" t="s">
        <v>54</v>
      </c>
      <c r="J190" s="7" t="s">
        <v>1063</v>
      </c>
      <c r="K190" s="7" t="s">
        <v>5081</v>
      </c>
      <c r="L190" s="12">
        <v>1</v>
      </c>
      <c r="M190" s="7"/>
    </row>
    <row r="191" spans="2:13" ht="21.75" customHeight="1" x14ac:dyDescent="0.35">
      <c r="B191" s="11"/>
      <c r="C191" s="5" t="s">
        <v>5031</v>
      </c>
      <c r="D191" s="11">
        <v>49</v>
      </c>
      <c r="E191" s="5" t="s">
        <v>5084</v>
      </c>
      <c r="F191" s="5" t="s">
        <v>5085</v>
      </c>
      <c r="G191" s="5" t="s">
        <v>3492</v>
      </c>
      <c r="H191" s="5" t="s">
        <v>42</v>
      </c>
      <c r="I191" s="5" t="s">
        <v>245</v>
      </c>
      <c r="J191" s="5" t="s">
        <v>404</v>
      </c>
      <c r="K191" s="5" t="s">
        <v>5086</v>
      </c>
      <c r="L191" s="11">
        <v>1</v>
      </c>
      <c r="M191" s="5"/>
    </row>
    <row r="192" spans="2:13" ht="21.75" customHeight="1" x14ac:dyDescent="0.35">
      <c r="B192" s="12"/>
      <c r="C192" s="7" t="s">
        <v>5031</v>
      </c>
      <c r="D192" s="12">
        <v>50</v>
      </c>
      <c r="E192" s="7" t="s">
        <v>5087</v>
      </c>
      <c r="F192" s="7" t="s">
        <v>5088</v>
      </c>
      <c r="G192" s="7" t="s">
        <v>828</v>
      </c>
      <c r="H192" s="7" t="s">
        <v>37</v>
      </c>
      <c r="I192" s="7" t="s">
        <v>5089</v>
      </c>
      <c r="J192" s="7" t="s">
        <v>1890</v>
      </c>
      <c r="K192" s="7" t="s">
        <v>5090</v>
      </c>
      <c r="L192" s="12">
        <v>1</v>
      </c>
      <c r="M192" s="7"/>
    </row>
    <row r="193" spans="2:13" ht="21.75" customHeight="1" x14ac:dyDescent="0.35">
      <c r="B193" s="11"/>
      <c r="C193" s="5" t="s">
        <v>5031</v>
      </c>
      <c r="D193" s="11">
        <v>51</v>
      </c>
      <c r="E193" s="5" t="s">
        <v>5091</v>
      </c>
      <c r="F193" s="5" t="s">
        <v>5092</v>
      </c>
      <c r="G193" s="5" t="s">
        <v>5093</v>
      </c>
      <c r="H193" s="5" t="s">
        <v>37</v>
      </c>
      <c r="I193" s="5" t="s">
        <v>5089</v>
      </c>
      <c r="J193" s="5" t="s">
        <v>1890</v>
      </c>
      <c r="K193" s="5" t="s">
        <v>5090</v>
      </c>
      <c r="L193" s="11">
        <v>1</v>
      </c>
      <c r="M193" s="5"/>
    </row>
    <row r="194" spans="2:13" ht="21.75" customHeight="1" x14ac:dyDescent="0.35">
      <c r="B194" s="12"/>
      <c r="C194" s="7" t="s">
        <v>5031</v>
      </c>
      <c r="D194" s="12">
        <v>52</v>
      </c>
      <c r="E194" s="7" t="s">
        <v>5094</v>
      </c>
      <c r="F194" s="7" t="s">
        <v>5095</v>
      </c>
      <c r="G194" s="7" t="s">
        <v>868</v>
      </c>
      <c r="H194" s="7" t="s">
        <v>37</v>
      </c>
      <c r="I194" s="7" t="s">
        <v>5089</v>
      </c>
      <c r="J194" s="7" t="s">
        <v>1890</v>
      </c>
      <c r="K194" s="7" t="s">
        <v>5090</v>
      </c>
      <c r="L194" s="12">
        <v>1</v>
      </c>
      <c r="M194" s="7"/>
    </row>
    <row r="195" spans="2:13" ht="37.5" customHeight="1" x14ac:dyDescent="0.35">
      <c r="B195" s="11">
        <v>4</v>
      </c>
      <c r="C195" s="5" t="s">
        <v>5096</v>
      </c>
      <c r="D195" s="11">
        <v>1</v>
      </c>
      <c r="E195" s="5" t="s">
        <v>5097</v>
      </c>
      <c r="F195" s="5" t="s">
        <v>5098</v>
      </c>
      <c r="G195" s="5" t="s">
        <v>28</v>
      </c>
      <c r="H195" s="5" t="s">
        <v>42</v>
      </c>
      <c r="I195" s="5" t="s">
        <v>5099</v>
      </c>
      <c r="J195" s="5" t="s">
        <v>1903</v>
      </c>
      <c r="K195" s="5" t="s">
        <v>5100</v>
      </c>
      <c r="L195" s="11">
        <v>1</v>
      </c>
      <c r="M195" s="5" t="s">
        <v>4518</v>
      </c>
    </row>
    <row r="196" spans="2:13" ht="37.5" customHeight="1" x14ac:dyDescent="0.35">
      <c r="B196" s="12">
        <v>5</v>
      </c>
      <c r="C196" s="7" t="s">
        <v>5101</v>
      </c>
      <c r="D196" s="12">
        <v>1</v>
      </c>
      <c r="E196" s="7" t="s">
        <v>5102</v>
      </c>
      <c r="F196" s="7" t="s">
        <v>5103</v>
      </c>
      <c r="G196" s="7" t="s">
        <v>560</v>
      </c>
      <c r="H196" s="7" t="s">
        <v>37</v>
      </c>
      <c r="I196" s="7" t="s">
        <v>170</v>
      </c>
      <c r="J196" s="7" t="s">
        <v>331</v>
      </c>
      <c r="K196" s="7" t="s">
        <v>5104</v>
      </c>
      <c r="L196" s="12">
        <v>1</v>
      </c>
      <c r="M196" s="7" t="s">
        <v>4518</v>
      </c>
    </row>
    <row r="197" spans="2:13" ht="37.5" customHeight="1" x14ac:dyDescent="0.35">
      <c r="B197" s="11">
        <v>5</v>
      </c>
      <c r="C197" s="5" t="s">
        <v>5101</v>
      </c>
      <c r="D197" s="11">
        <v>2</v>
      </c>
      <c r="E197" s="5" t="s">
        <v>5105</v>
      </c>
      <c r="F197" s="5" t="s">
        <v>5106</v>
      </c>
      <c r="G197" s="5" t="s">
        <v>541</v>
      </c>
      <c r="H197" s="5" t="s">
        <v>36</v>
      </c>
      <c r="I197" s="5" t="s">
        <v>48</v>
      </c>
      <c r="J197" s="5" t="s">
        <v>331</v>
      </c>
      <c r="K197" s="5" t="s">
        <v>4837</v>
      </c>
      <c r="L197" s="11">
        <v>1</v>
      </c>
      <c r="M197" s="5" t="s">
        <v>4518</v>
      </c>
    </row>
    <row r="198" spans="2:13" ht="37.5" customHeight="1" x14ac:dyDescent="0.35">
      <c r="B198" s="12">
        <v>5</v>
      </c>
      <c r="C198" s="7" t="s">
        <v>5101</v>
      </c>
      <c r="D198" s="12">
        <v>3</v>
      </c>
      <c r="E198" s="7" t="s">
        <v>5107</v>
      </c>
      <c r="F198" s="7" t="s">
        <v>5108</v>
      </c>
      <c r="G198" s="7" t="s">
        <v>742</v>
      </c>
      <c r="H198" s="7" t="s">
        <v>306</v>
      </c>
      <c r="I198" s="7" t="s">
        <v>307</v>
      </c>
      <c r="J198" s="7" t="s">
        <v>331</v>
      </c>
      <c r="K198" s="7" t="s">
        <v>5109</v>
      </c>
      <c r="L198" s="12">
        <v>2</v>
      </c>
      <c r="M198" s="7" t="s">
        <v>4518</v>
      </c>
    </row>
    <row r="199" spans="2:13" ht="37.5" customHeight="1" x14ac:dyDescent="0.35">
      <c r="B199" s="11">
        <v>5</v>
      </c>
      <c r="C199" s="5" t="s">
        <v>5101</v>
      </c>
      <c r="D199" s="11">
        <v>4</v>
      </c>
      <c r="E199" s="5" t="s">
        <v>5110</v>
      </c>
      <c r="F199" s="5" t="s">
        <v>5111</v>
      </c>
      <c r="G199" s="5" t="s">
        <v>3703</v>
      </c>
      <c r="H199" s="5" t="s">
        <v>39</v>
      </c>
      <c r="I199" s="5" t="s">
        <v>482</v>
      </c>
      <c r="J199" s="5" t="s">
        <v>5112</v>
      </c>
      <c r="K199" s="5" t="s">
        <v>5113</v>
      </c>
      <c r="L199" s="11">
        <v>1</v>
      </c>
      <c r="M199" s="5" t="s">
        <v>4518</v>
      </c>
    </row>
    <row r="200" spans="2:13" ht="52.5" customHeight="1" x14ac:dyDescent="0.35">
      <c r="B200" s="12">
        <v>6</v>
      </c>
      <c r="C200" s="7" t="s">
        <v>5114</v>
      </c>
      <c r="D200" s="12">
        <v>1</v>
      </c>
      <c r="E200" s="7" t="s">
        <v>5115</v>
      </c>
      <c r="F200" s="7" t="s">
        <v>5116</v>
      </c>
      <c r="G200" s="7" t="s">
        <v>27</v>
      </c>
      <c r="H200" s="7" t="s">
        <v>5117</v>
      </c>
      <c r="I200" s="7" t="s">
        <v>5118</v>
      </c>
      <c r="J200" s="7" t="s">
        <v>5119</v>
      </c>
      <c r="K200" s="7" t="s">
        <v>5120</v>
      </c>
      <c r="L200" s="12">
        <v>3</v>
      </c>
      <c r="M200" s="7" t="s">
        <v>4518</v>
      </c>
    </row>
    <row r="201" spans="2:13" ht="52.5" customHeight="1" x14ac:dyDescent="0.35">
      <c r="B201" s="11">
        <v>6</v>
      </c>
      <c r="C201" s="5" t="s">
        <v>5114</v>
      </c>
      <c r="D201" s="11">
        <v>2</v>
      </c>
      <c r="E201" s="5" t="s">
        <v>5121</v>
      </c>
      <c r="F201" s="5" t="s">
        <v>5122</v>
      </c>
      <c r="G201" s="5" t="s">
        <v>701</v>
      </c>
      <c r="H201" s="5" t="s">
        <v>5123</v>
      </c>
      <c r="I201" s="5" t="s">
        <v>4643</v>
      </c>
      <c r="J201" s="5" t="s">
        <v>194</v>
      </c>
      <c r="K201" s="5" t="s">
        <v>5124</v>
      </c>
      <c r="L201" s="11">
        <v>2</v>
      </c>
      <c r="M201" s="5" t="s">
        <v>4518</v>
      </c>
    </row>
    <row r="202" spans="2:13" ht="52.5" customHeight="1" x14ac:dyDescent="0.35">
      <c r="B202" s="12">
        <v>6</v>
      </c>
      <c r="C202" s="7" t="s">
        <v>5114</v>
      </c>
      <c r="D202" s="12">
        <v>3</v>
      </c>
      <c r="E202" s="7" t="s">
        <v>5125</v>
      </c>
      <c r="F202" s="7" t="s">
        <v>5126</v>
      </c>
      <c r="G202" s="7" t="s">
        <v>160</v>
      </c>
      <c r="H202" s="7" t="s">
        <v>152</v>
      </c>
      <c r="I202" s="7" t="s">
        <v>5127</v>
      </c>
      <c r="J202" s="7" t="s">
        <v>5128</v>
      </c>
      <c r="K202" s="7" t="s">
        <v>5129</v>
      </c>
      <c r="L202" s="12">
        <v>1</v>
      </c>
      <c r="M202" s="7" t="s">
        <v>4518</v>
      </c>
    </row>
    <row r="203" spans="2:13" ht="52.5" customHeight="1" x14ac:dyDescent="0.35">
      <c r="B203" s="11">
        <v>6</v>
      </c>
      <c r="C203" s="5" t="s">
        <v>5114</v>
      </c>
      <c r="D203" s="11">
        <v>4</v>
      </c>
      <c r="E203" s="5" t="s">
        <v>5130</v>
      </c>
      <c r="F203" s="5" t="s">
        <v>5131</v>
      </c>
      <c r="G203" s="5" t="s">
        <v>262</v>
      </c>
      <c r="H203" s="5" t="s">
        <v>4752</v>
      </c>
      <c r="I203" s="5" t="s">
        <v>5132</v>
      </c>
      <c r="J203" s="5" t="s">
        <v>5133</v>
      </c>
      <c r="K203" s="5" t="s">
        <v>5134</v>
      </c>
      <c r="L203" s="11">
        <v>2</v>
      </c>
      <c r="M203" s="5" t="s">
        <v>4518</v>
      </c>
    </row>
    <row r="204" spans="2:13" ht="67.5" customHeight="1" x14ac:dyDescent="0.35">
      <c r="B204" s="12">
        <v>6</v>
      </c>
      <c r="C204" s="7" t="s">
        <v>5114</v>
      </c>
      <c r="D204" s="12">
        <v>5</v>
      </c>
      <c r="E204" s="7" t="s">
        <v>5135</v>
      </c>
      <c r="F204" s="7" t="s">
        <v>5136</v>
      </c>
      <c r="G204" s="7" t="s">
        <v>30</v>
      </c>
      <c r="H204" s="7" t="s">
        <v>4521</v>
      </c>
      <c r="I204" s="7" t="s">
        <v>5137</v>
      </c>
      <c r="J204" s="7" t="s">
        <v>5138</v>
      </c>
      <c r="K204" s="7" t="s">
        <v>5139</v>
      </c>
      <c r="L204" s="12">
        <v>3</v>
      </c>
      <c r="M204" s="7" t="s">
        <v>4518</v>
      </c>
    </row>
    <row r="205" spans="2:13" ht="52.5" customHeight="1" x14ac:dyDescent="0.35">
      <c r="B205" s="11">
        <v>6</v>
      </c>
      <c r="C205" s="5" t="s">
        <v>5114</v>
      </c>
      <c r="D205" s="11">
        <v>6</v>
      </c>
      <c r="E205" s="5" t="s">
        <v>5140</v>
      </c>
      <c r="F205" s="5" t="s">
        <v>5141</v>
      </c>
      <c r="G205" s="5" t="s">
        <v>541</v>
      </c>
      <c r="H205" s="5" t="s">
        <v>5142</v>
      </c>
      <c r="I205" s="5" t="s">
        <v>5143</v>
      </c>
      <c r="J205" s="5" t="s">
        <v>5144</v>
      </c>
      <c r="K205" s="5" t="s">
        <v>5145</v>
      </c>
      <c r="L205" s="11">
        <v>2</v>
      </c>
      <c r="M205" s="5" t="s">
        <v>4518</v>
      </c>
    </row>
    <row r="206" spans="2:13" ht="52.5" customHeight="1" x14ac:dyDescent="0.35">
      <c r="B206" s="12">
        <v>6</v>
      </c>
      <c r="C206" s="7" t="s">
        <v>5114</v>
      </c>
      <c r="D206" s="12">
        <v>7</v>
      </c>
      <c r="E206" s="7" t="s">
        <v>5146</v>
      </c>
      <c r="F206" s="7" t="s">
        <v>5147</v>
      </c>
      <c r="G206" s="7" t="s">
        <v>880</v>
      </c>
      <c r="H206" s="7" t="s">
        <v>41</v>
      </c>
      <c r="I206" s="7" t="s">
        <v>181</v>
      </c>
      <c r="J206" s="7" t="s">
        <v>233</v>
      </c>
      <c r="K206" s="7" t="s">
        <v>5148</v>
      </c>
      <c r="L206" s="12">
        <v>1</v>
      </c>
      <c r="M206" s="7" t="s">
        <v>4518</v>
      </c>
    </row>
    <row r="207" spans="2:13" ht="37.5" customHeight="1" x14ac:dyDescent="0.35">
      <c r="B207" s="11">
        <v>7</v>
      </c>
      <c r="C207" s="5" t="s">
        <v>5149</v>
      </c>
      <c r="D207" s="11">
        <v>1</v>
      </c>
      <c r="E207" s="5" t="s">
        <v>5150</v>
      </c>
      <c r="F207" s="5" t="s">
        <v>5151</v>
      </c>
      <c r="G207" s="5" t="s">
        <v>993</v>
      </c>
      <c r="H207" s="5" t="s">
        <v>4662</v>
      </c>
      <c r="I207" s="5" t="s">
        <v>5152</v>
      </c>
      <c r="J207" s="5" t="s">
        <v>5153</v>
      </c>
      <c r="K207" s="5" t="s">
        <v>5154</v>
      </c>
      <c r="L207" s="11">
        <v>2</v>
      </c>
      <c r="M207" s="5" t="s">
        <v>4518</v>
      </c>
    </row>
    <row r="208" spans="2:13" ht="37.5" customHeight="1" x14ac:dyDescent="0.35">
      <c r="B208" s="12">
        <v>8</v>
      </c>
      <c r="C208" s="7" t="s">
        <v>5155</v>
      </c>
      <c r="D208" s="12">
        <v>1</v>
      </c>
      <c r="E208" s="7" t="s">
        <v>5156</v>
      </c>
      <c r="F208" s="7" t="s">
        <v>5157</v>
      </c>
      <c r="G208" s="7" t="s">
        <v>1269</v>
      </c>
      <c r="H208" s="7" t="s">
        <v>37</v>
      </c>
      <c r="I208" s="7" t="s">
        <v>49</v>
      </c>
      <c r="J208" s="7" t="s">
        <v>2617</v>
      </c>
      <c r="K208" s="7" t="s">
        <v>5158</v>
      </c>
      <c r="L208" s="12">
        <v>1</v>
      </c>
      <c r="M208" s="7" t="s">
        <v>4518</v>
      </c>
    </row>
    <row r="209" spans="2:13" ht="37.5" customHeight="1" x14ac:dyDescent="0.35">
      <c r="B209" s="11">
        <v>9</v>
      </c>
      <c r="C209" s="5" t="s">
        <v>5159</v>
      </c>
      <c r="D209" s="11">
        <v>1</v>
      </c>
      <c r="E209" s="5" t="s">
        <v>5160</v>
      </c>
      <c r="F209" s="5" t="s">
        <v>5161</v>
      </c>
      <c r="G209" s="5" t="s">
        <v>5162</v>
      </c>
      <c r="H209" s="5" t="s">
        <v>36</v>
      </c>
      <c r="I209" s="5" t="s">
        <v>48</v>
      </c>
      <c r="J209" s="5" t="s">
        <v>331</v>
      </c>
      <c r="K209" s="5" t="s">
        <v>4837</v>
      </c>
      <c r="L209" s="11">
        <v>1</v>
      </c>
      <c r="M209" s="5" t="s">
        <v>4518</v>
      </c>
    </row>
    <row r="210" spans="2:13" ht="37.5" customHeight="1" x14ac:dyDescent="0.35">
      <c r="B210" s="12">
        <v>10</v>
      </c>
      <c r="C210" s="7" t="s">
        <v>5163</v>
      </c>
      <c r="D210" s="12">
        <v>1</v>
      </c>
      <c r="E210" s="7" t="s">
        <v>5164</v>
      </c>
      <c r="F210" s="7" t="s">
        <v>5165</v>
      </c>
      <c r="G210" s="7" t="s">
        <v>300</v>
      </c>
      <c r="H210" s="7" t="s">
        <v>36</v>
      </c>
      <c r="I210" s="7" t="s">
        <v>48</v>
      </c>
      <c r="J210" s="7" t="s">
        <v>177</v>
      </c>
      <c r="K210" s="7" t="s">
        <v>4570</v>
      </c>
      <c r="L210" s="12">
        <v>1</v>
      </c>
      <c r="M210" s="7" t="s">
        <v>4518</v>
      </c>
    </row>
    <row r="211" spans="2:13" ht="52.5" customHeight="1" x14ac:dyDescent="0.35">
      <c r="B211" s="11">
        <v>11</v>
      </c>
      <c r="C211" s="5" t="s">
        <v>5166</v>
      </c>
      <c r="D211" s="11">
        <v>1</v>
      </c>
      <c r="E211" s="5" t="s">
        <v>5167</v>
      </c>
      <c r="F211" s="5" t="s">
        <v>5168</v>
      </c>
      <c r="G211" s="5" t="s">
        <v>2919</v>
      </c>
      <c r="H211" s="5" t="s">
        <v>37</v>
      </c>
      <c r="I211" s="5" t="s">
        <v>51</v>
      </c>
      <c r="J211" s="5" t="s">
        <v>194</v>
      </c>
      <c r="K211" s="5" t="s">
        <v>5169</v>
      </c>
      <c r="L211" s="11">
        <v>1</v>
      </c>
      <c r="M211" s="5" t="s">
        <v>173</v>
      </c>
    </row>
    <row r="212" spans="2:13" ht="52.5" customHeight="1" x14ac:dyDescent="0.35">
      <c r="B212" s="12">
        <v>11</v>
      </c>
      <c r="C212" s="7" t="s">
        <v>5166</v>
      </c>
      <c r="D212" s="12">
        <v>2</v>
      </c>
      <c r="E212" s="7" t="s">
        <v>5170</v>
      </c>
      <c r="F212" s="7" t="s">
        <v>5171</v>
      </c>
      <c r="G212" s="7" t="s">
        <v>30</v>
      </c>
      <c r="H212" s="7" t="s">
        <v>41</v>
      </c>
      <c r="I212" s="7" t="s">
        <v>49</v>
      </c>
      <c r="J212" s="7" t="s">
        <v>233</v>
      </c>
      <c r="K212" s="7" t="s">
        <v>5172</v>
      </c>
      <c r="L212" s="12">
        <v>1</v>
      </c>
      <c r="M212" s="7" t="s">
        <v>173</v>
      </c>
    </row>
    <row r="213" spans="2:13" ht="37.5" customHeight="1" x14ac:dyDescent="0.35">
      <c r="B213" s="11">
        <v>12</v>
      </c>
      <c r="C213" s="5" t="s">
        <v>5173</v>
      </c>
      <c r="D213" s="11">
        <v>1</v>
      </c>
      <c r="E213" s="5" t="s">
        <v>5174</v>
      </c>
      <c r="F213" s="5" t="s">
        <v>5175</v>
      </c>
      <c r="G213" s="5" t="s">
        <v>1720</v>
      </c>
      <c r="H213" s="5" t="s">
        <v>36</v>
      </c>
      <c r="I213" s="5" t="s">
        <v>48</v>
      </c>
      <c r="J213" s="5" t="s">
        <v>5176</v>
      </c>
      <c r="K213" s="5" t="s">
        <v>5177</v>
      </c>
      <c r="L213" s="11">
        <v>1</v>
      </c>
      <c r="M213" s="5" t="s">
        <v>4518</v>
      </c>
    </row>
    <row r="214" spans="2:13" ht="37.5" customHeight="1" x14ac:dyDescent="0.35">
      <c r="B214" s="12">
        <v>12</v>
      </c>
      <c r="C214" s="7" t="s">
        <v>5173</v>
      </c>
      <c r="D214" s="12">
        <v>2</v>
      </c>
      <c r="E214" s="7" t="s">
        <v>5178</v>
      </c>
      <c r="F214" s="7" t="s">
        <v>5179</v>
      </c>
      <c r="G214" s="7" t="s">
        <v>573</v>
      </c>
      <c r="H214" s="7" t="s">
        <v>41</v>
      </c>
      <c r="I214" s="7" t="s">
        <v>181</v>
      </c>
      <c r="J214" s="7" t="s">
        <v>5180</v>
      </c>
      <c r="K214" s="7" t="s">
        <v>5181</v>
      </c>
      <c r="L214" s="12">
        <v>1</v>
      </c>
      <c r="M214" s="7" t="s">
        <v>4518</v>
      </c>
    </row>
    <row r="215" spans="2:13" ht="97.5" customHeight="1" x14ac:dyDescent="0.35">
      <c r="B215" s="11">
        <v>13</v>
      </c>
      <c r="C215" s="5" t="s">
        <v>5182</v>
      </c>
      <c r="D215" s="11">
        <v>1</v>
      </c>
      <c r="E215" s="5" t="s">
        <v>5183</v>
      </c>
      <c r="F215" s="5" t="s">
        <v>5184</v>
      </c>
      <c r="G215" s="5" t="s">
        <v>29</v>
      </c>
      <c r="H215" s="5" t="s">
        <v>5185</v>
      </c>
      <c r="I215" s="5" t="s">
        <v>5186</v>
      </c>
      <c r="J215" s="5" t="s">
        <v>5187</v>
      </c>
      <c r="K215" s="5" t="s">
        <v>5188</v>
      </c>
      <c r="L215" s="11">
        <v>5</v>
      </c>
      <c r="M215" s="5" t="s">
        <v>156</v>
      </c>
    </row>
    <row r="216" spans="2:13" ht="37.5" customHeight="1" x14ac:dyDescent="0.35">
      <c r="B216" s="12">
        <v>13</v>
      </c>
      <c r="C216" s="7" t="s">
        <v>5182</v>
      </c>
      <c r="D216" s="12">
        <v>2</v>
      </c>
      <c r="E216" s="7" t="s">
        <v>5189</v>
      </c>
      <c r="F216" s="7" t="s">
        <v>5190</v>
      </c>
      <c r="G216" s="7" t="s">
        <v>472</v>
      </c>
      <c r="H216" s="7" t="s">
        <v>38</v>
      </c>
      <c r="I216" s="7" t="s">
        <v>49</v>
      </c>
      <c r="J216" s="7" t="s">
        <v>4944</v>
      </c>
      <c r="K216" s="7" t="s">
        <v>5191</v>
      </c>
      <c r="L216" s="12">
        <v>1</v>
      </c>
      <c r="M216" s="7" t="s">
        <v>156</v>
      </c>
    </row>
    <row r="217" spans="2:13" ht="37.5" customHeight="1" x14ac:dyDescent="0.35">
      <c r="B217" s="11">
        <v>13</v>
      </c>
      <c r="C217" s="5" t="s">
        <v>5182</v>
      </c>
      <c r="D217" s="11">
        <v>3</v>
      </c>
      <c r="E217" s="5" t="s">
        <v>5192</v>
      </c>
      <c r="F217" s="5" t="s">
        <v>5193</v>
      </c>
      <c r="G217" s="5" t="s">
        <v>439</v>
      </c>
      <c r="H217" s="5" t="s">
        <v>36</v>
      </c>
      <c r="I217" s="5" t="s">
        <v>48</v>
      </c>
      <c r="J217" s="5" t="s">
        <v>1192</v>
      </c>
      <c r="K217" s="5" t="s">
        <v>5194</v>
      </c>
      <c r="L217" s="11">
        <v>1</v>
      </c>
      <c r="M217" s="5" t="s">
        <v>156</v>
      </c>
    </row>
    <row r="218" spans="2:13" ht="37.5" customHeight="1" x14ac:dyDescent="0.35">
      <c r="B218" s="12">
        <v>13</v>
      </c>
      <c r="C218" s="7" t="s">
        <v>5182</v>
      </c>
      <c r="D218" s="12">
        <v>4</v>
      </c>
      <c r="E218" s="7" t="s">
        <v>5195</v>
      </c>
      <c r="F218" s="7" t="s">
        <v>5196</v>
      </c>
      <c r="G218" s="7" t="s">
        <v>185</v>
      </c>
      <c r="H218" s="7" t="s">
        <v>36</v>
      </c>
      <c r="I218" s="7" t="s">
        <v>5197</v>
      </c>
      <c r="J218" s="7" t="s">
        <v>5198</v>
      </c>
      <c r="K218" s="7" t="s">
        <v>5199</v>
      </c>
      <c r="L218" s="12">
        <v>2</v>
      </c>
      <c r="M218" s="7" t="s">
        <v>156</v>
      </c>
    </row>
    <row r="219" spans="2:13" ht="37.5" customHeight="1" x14ac:dyDescent="0.35">
      <c r="B219" s="11">
        <v>13</v>
      </c>
      <c r="C219" s="5" t="s">
        <v>5182</v>
      </c>
      <c r="D219" s="11">
        <v>5</v>
      </c>
      <c r="E219" s="5" t="s">
        <v>5200</v>
      </c>
      <c r="F219" s="5" t="s">
        <v>5201</v>
      </c>
      <c r="G219" s="5" t="s">
        <v>188</v>
      </c>
      <c r="H219" s="5" t="s">
        <v>5202</v>
      </c>
      <c r="I219" s="5" t="s">
        <v>5203</v>
      </c>
      <c r="J219" s="5" t="s">
        <v>5204</v>
      </c>
      <c r="K219" s="5" t="s">
        <v>5205</v>
      </c>
      <c r="L219" s="11">
        <v>2</v>
      </c>
      <c r="M219" s="5" t="s">
        <v>156</v>
      </c>
    </row>
    <row r="220" spans="2:13" ht="37.5" customHeight="1" x14ac:dyDescent="0.35">
      <c r="B220" s="12">
        <v>13</v>
      </c>
      <c r="C220" s="7" t="s">
        <v>5182</v>
      </c>
      <c r="D220" s="12">
        <v>6</v>
      </c>
      <c r="E220" s="7" t="s">
        <v>5206</v>
      </c>
      <c r="F220" s="7" t="s">
        <v>5207</v>
      </c>
      <c r="G220" s="7" t="s">
        <v>457</v>
      </c>
      <c r="H220" s="7" t="s">
        <v>1521</v>
      </c>
      <c r="I220" s="7" t="s">
        <v>5208</v>
      </c>
      <c r="J220" s="7" t="s">
        <v>5209</v>
      </c>
      <c r="K220" s="7" t="s">
        <v>5210</v>
      </c>
      <c r="L220" s="12">
        <v>2</v>
      </c>
      <c r="M220" s="7" t="s">
        <v>156</v>
      </c>
    </row>
    <row r="221" spans="2:13" ht="37.5" customHeight="1" x14ac:dyDescent="0.35">
      <c r="B221" s="11">
        <v>13</v>
      </c>
      <c r="C221" s="5" t="s">
        <v>5182</v>
      </c>
      <c r="D221" s="11">
        <v>7</v>
      </c>
      <c r="E221" s="5" t="s">
        <v>5211</v>
      </c>
      <c r="F221" s="5" t="s">
        <v>5212</v>
      </c>
      <c r="G221" s="5" t="s">
        <v>358</v>
      </c>
      <c r="H221" s="5" t="s">
        <v>42</v>
      </c>
      <c r="I221" s="5" t="s">
        <v>5023</v>
      </c>
      <c r="J221" s="5" t="s">
        <v>663</v>
      </c>
      <c r="K221" s="5" t="s">
        <v>5213</v>
      </c>
      <c r="L221" s="11">
        <v>1</v>
      </c>
      <c r="M221" s="5" t="s">
        <v>156</v>
      </c>
    </row>
    <row r="222" spans="2:13" ht="21.75" customHeight="1" x14ac:dyDescent="0.35">
      <c r="B222" s="12">
        <v>13</v>
      </c>
      <c r="C222" s="7" t="s">
        <v>5182</v>
      </c>
      <c r="D222" s="12">
        <v>8</v>
      </c>
      <c r="E222" s="7" t="s">
        <v>5214</v>
      </c>
      <c r="F222" s="7" t="s">
        <v>5215</v>
      </c>
      <c r="G222" s="7" t="s">
        <v>541</v>
      </c>
      <c r="H222" s="7" t="s">
        <v>36</v>
      </c>
      <c r="I222" s="7" t="s">
        <v>48</v>
      </c>
      <c r="J222" s="7" t="s">
        <v>1192</v>
      </c>
      <c r="K222" s="7" t="s">
        <v>5194</v>
      </c>
      <c r="L222" s="12">
        <v>1</v>
      </c>
      <c r="M222" s="7" t="s">
        <v>156</v>
      </c>
    </row>
    <row r="223" spans="2:13" ht="52.5" customHeight="1" x14ac:dyDescent="0.35">
      <c r="B223" s="11">
        <v>13</v>
      </c>
      <c r="C223" s="5" t="s">
        <v>5182</v>
      </c>
      <c r="D223" s="11">
        <v>9</v>
      </c>
      <c r="E223" s="5" t="s">
        <v>5216</v>
      </c>
      <c r="F223" s="5" t="s">
        <v>5217</v>
      </c>
      <c r="G223" s="5" t="s">
        <v>428</v>
      </c>
      <c r="H223" s="5" t="s">
        <v>5218</v>
      </c>
      <c r="I223" s="5" t="s">
        <v>5219</v>
      </c>
      <c r="J223" s="5" t="s">
        <v>5220</v>
      </c>
      <c r="K223" s="5" t="s">
        <v>5221</v>
      </c>
      <c r="L223" s="11">
        <v>3</v>
      </c>
      <c r="M223" s="5" t="s">
        <v>156</v>
      </c>
    </row>
    <row r="224" spans="2:13" ht="37.5" customHeight="1" x14ac:dyDescent="0.35">
      <c r="B224" s="12">
        <v>13</v>
      </c>
      <c r="C224" s="7" t="s">
        <v>5182</v>
      </c>
      <c r="D224" s="12">
        <v>10</v>
      </c>
      <c r="E224" s="7" t="s">
        <v>5222</v>
      </c>
      <c r="F224" s="7" t="s">
        <v>5223</v>
      </c>
      <c r="G224" s="7" t="s">
        <v>28</v>
      </c>
      <c r="H224" s="7" t="s">
        <v>5224</v>
      </c>
      <c r="I224" s="7" t="s">
        <v>5225</v>
      </c>
      <c r="J224" s="7" t="s">
        <v>5226</v>
      </c>
      <c r="K224" s="7" t="s">
        <v>5227</v>
      </c>
      <c r="L224" s="12">
        <v>2</v>
      </c>
      <c r="M224" s="7" t="s">
        <v>156</v>
      </c>
    </row>
    <row r="225" spans="2:13" ht="67.5" customHeight="1" x14ac:dyDescent="0.35">
      <c r="B225" s="11">
        <v>13</v>
      </c>
      <c r="C225" s="5" t="s">
        <v>5182</v>
      </c>
      <c r="D225" s="11">
        <v>11</v>
      </c>
      <c r="E225" s="5" t="s">
        <v>5228</v>
      </c>
      <c r="F225" s="5" t="s">
        <v>5229</v>
      </c>
      <c r="G225" s="5" t="s">
        <v>25</v>
      </c>
      <c r="H225" s="5" t="s">
        <v>5230</v>
      </c>
      <c r="I225" s="5" t="s">
        <v>5231</v>
      </c>
      <c r="J225" s="5" t="s">
        <v>5232</v>
      </c>
      <c r="K225" s="5" t="s">
        <v>5233</v>
      </c>
      <c r="L225" s="11">
        <v>4</v>
      </c>
      <c r="M225" s="5" t="s">
        <v>156</v>
      </c>
    </row>
    <row r="226" spans="2:13" ht="37.5" customHeight="1" x14ac:dyDescent="0.35">
      <c r="B226" s="12">
        <v>13</v>
      </c>
      <c r="C226" s="7" t="s">
        <v>5182</v>
      </c>
      <c r="D226" s="12">
        <v>12</v>
      </c>
      <c r="E226" s="7" t="s">
        <v>5234</v>
      </c>
      <c r="F226" s="7" t="s">
        <v>5235</v>
      </c>
      <c r="G226" s="7" t="s">
        <v>206</v>
      </c>
      <c r="H226" s="7" t="s">
        <v>1521</v>
      </c>
      <c r="I226" s="7" t="s">
        <v>5236</v>
      </c>
      <c r="J226" s="7" t="s">
        <v>5209</v>
      </c>
      <c r="K226" s="7" t="s">
        <v>5237</v>
      </c>
      <c r="L226" s="12">
        <v>2</v>
      </c>
      <c r="M226" s="7" t="s">
        <v>156</v>
      </c>
    </row>
    <row r="227" spans="2:13" ht="37.5" customHeight="1" x14ac:dyDescent="0.35">
      <c r="B227" s="11">
        <v>13</v>
      </c>
      <c r="C227" s="5" t="s">
        <v>5182</v>
      </c>
      <c r="D227" s="11">
        <v>13</v>
      </c>
      <c r="E227" s="5" t="s">
        <v>5238</v>
      </c>
      <c r="F227" s="5" t="s">
        <v>5239</v>
      </c>
      <c r="G227" s="5" t="s">
        <v>576</v>
      </c>
      <c r="H227" s="5" t="s">
        <v>5240</v>
      </c>
      <c r="I227" s="5" t="s">
        <v>5225</v>
      </c>
      <c r="J227" s="5" t="s">
        <v>5226</v>
      </c>
      <c r="K227" s="5" t="s">
        <v>5241</v>
      </c>
      <c r="L227" s="11">
        <v>2</v>
      </c>
      <c r="M227" s="5" t="s">
        <v>156</v>
      </c>
    </row>
    <row r="228" spans="2:13" ht="37.5" customHeight="1" x14ac:dyDescent="0.35">
      <c r="B228" s="12">
        <v>13</v>
      </c>
      <c r="C228" s="7" t="s">
        <v>5182</v>
      </c>
      <c r="D228" s="12">
        <v>14</v>
      </c>
      <c r="E228" s="7" t="s">
        <v>5242</v>
      </c>
      <c r="F228" s="7" t="s">
        <v>5243</v>
      </c>
      <c r="G228" s="7" t="s">
        <v>1294</v>
      </c>
      <c r="H228" s="7" t="s">
        <v>42</v>
      </c>
      <c r="I228" s="7" t="s">
        <v>5244</v>
      </c>
      <c r="J228" s="7" t="s">
        <v>1192</v>
      </c>
      <c r="K228" s="7" t="s">
        <v>5245</v>
      </c>
      <c r="L228" s="12">
        <v>1</v>
      </c>
      <c r="M228" s="7" t="s">
        <v>156</v>
      </c>
    </row>
    <row r="229" spans="2:13" ht="37.5" customHeight="1" x14ac:dyDescent="0.35">
      <c r="B229" s="11">
        <v>13</v>
      </c>
      <c r="C229" s="5" t="s">
        <v>5182</v>
      </c>
      <c r="D229" s="11">
        <v>15</v>
      </c>
      <c r="E229" s="5" t="s">
        <v>5246</v>
      </c>
      <c r="F229" s="5" t="s">
        <v>5247</v>
      </c>
      <c r="G229" s="5" t="s">
        <v>590</v>
      </c>
      <c r="H229" s="5" t="s">
        <v>306</v>
      </c>
      <c r="I229" s="5" t="s">
        <v>5248</v>
      </c>
      <c r="J229" s="5" t="s">
        <v>5249</v>
      </c>
      <c r="K229" s="5" t="s">
        <v>5250</v>
      </c>
      <c r="L229" s="11">
        <v>2</v>
      </c>
      <c r="M229" s="5" t="s">
        <v>156</v>
      </c>
    </row>
    <row r="230" spans="2:13" ht="37.5" customHeight="1" x14ac:dyDescent="0.35">
      <c r="B230" s="12">
        <v>13</v>
      </c>
      <c r="C230" s="7" t="s">
        <v>5182</v>
      </c>
      <c r="D230" s="12">
        <v>16</v>
      </c>
      <c r="E230" s="7" t="s">
        <v>5251</v>
      </c>
      <c r="F230" s="7" t="s">
        <v>5252</v>
      </c>
      <c r="G230" s="7" t="s">
        <v>2405</v>
      </c>
      <c r="H230" s="7" t="s">
        <v>36</v>
      </c>
      <c r="I230" s="7" t="s">
        <v>5253</v>
      </c>
      <c r="J230" s="7" t="s">
        <v>5254</v>
      </c>
      <c r="K230" s="7" t="s">
        <v>5255</v>
      </c>
      <c r="L230" s="12">
        <v>1</v>
      </c>
      <c r="M230" s="7" t="s">
        <v>156</v>
      </c>
    </row>
    <row r="231" spans="2:13" ht="37.5" customHeight="1" x14ac:dyDescent="0.35">
      <c r="B231" s="11">
        <v>13</v>
      </c>
      <c r="C231" s="5" t="s">
        <v>5182</v>
      </c>
      <c r="D231" s="11">
        <v>17</v>
      </c>
      <c r="E231" s="5" t="s">
        <v>5256</v>
      </c>
      <c r="F231" s="5" t="s">
        <v>5257</v>
      </c>
      <c r="G231" s="5" t="s">
        <v>825</v>
      </c>
      <c r="H231" s="5" t="s">
        <v>36</v>
      </c>
      <c r="I231" s="5" t="s">
        <v>48</v>
      </c>
      <c r="J231" s="5" t="s">
        <v>5258</v>
      </c>
      <c r="K231" s="5" t="s">
        <v>5259</v>
      </c>
      <c r="L231" s="11">
        <v>1</v>
      </c>
      <c r="M231" s="5" t="s">
        <v>156</v>
      </c>
    </row>
    <row r="232" spans="2:13" ht="37.5" customHeight="1" x14ac:dyDescent="0.35">
      <c r="B232" s="12">
        <v>13</v>
      </c>
      <c r="C232" s="7" t="s">
        <v>5182</v>
      </c>
      <c r="D232" s="12">
        <v>18</v>
      </c>
      <c r="E232" s="7" t="s">
        <v>5260</v>
      </c>
      <c r="F232" s="7" t="s">
        <v>5261</v>
      </c>
      <c r="G232" s="7" t="s">
        <v>766</v>
      </c>
      <c r="H232" s="7" t="s">
        <v>1521</v>
      </c>
      <c r="I232" s="7" t="s">
        <v>5262</v>
      </c>
      <c r="J232" s="7" t="s">
        <v>5263</v>
      </c>
      <c r="K232" s="7" t="s">
        <v>5264</v>
      </c>
      <c r="L232" s="12">
        <v>2</v>
      </c>
      <c r="M232" s="7" t="s">
        <v>156</v>
      </c>
    </row>
    <row r="233" spans="2:13" ht="21.75" customHeight="1" x14ac:dyDescent="0.35">
      <c r="B233" s="11">
        <v>13</v>
      </c>
      <c r="C233" s="5" t="s">
        <v>5182</v>
      </c>
      <c r="D233" s="11">
        <v>19</v>
      </c>
      <c r="E233" s="5" t="s">
        <v>5265</v>
      </c>
      <c r="F233" s="5" t="s">
        <v>5266</v>
      </c>
      <c r="G233" s="5" t="s">
        <v>5267</v>
      </c>
      <c r="H233" s="5" t="s">
        <v>36</v>
      </c>
      <c r="I233" s="5" t="s">
        <v>48</v>
      </c>
      <c r="J233" s="5" t="s">
        <v>5258</v>
      </c>
      <c r="K233" s="5" t="s">
        <v>5259</v>
      </c>
      <c r="L233" s="11">
        <v>1</v>
      </c>
      <c r="M233" s="5" t="s">
        <v>156</v>
      </c>
    </row>
    <row r="234" spans="2:13" ht="21.75" customHeight="1" x14ac:dyDescent="0.35">
      <c r="B234" s="12">
        <v>13</v>
      </c>
      <c r="C234" s="7" t="s">
        <v>5182</v>
      </c>
      <c r="D234" s="12">
        <v>20</v>
      </c>
      <c r="E234" s="7" t="s">
        <v>5268</v>
      </c>
      <c r="F234" s="7" t="s">
        <v>5269</v>
      </c>
      <c r="G234" s="7" t="s">
        <v>402</v>
      </c>
      <c r="H234" s="7" t="s">
        <v>37</v>
      </c>
      <c r="I234" s="7" t="s">
        <v>51</v>
      </c>
      <c r="J234" s="7" t="s">
        <v>1579</v>
      </c>
      <c r="K234" s="7" t="s">
        <v>5270</v>
      </c>
      <c r="L234" s="12">
        <v>1</v>
      </c>
      <c r="M234" s="7" t="s">
        <v>156</v>
      </c>
    </row>
    <row r="235" spans="2:13" ht="21.75" customHeight="1" x14ac:dyDescent="0.35">
      <c r="B235" s="11">
        <v>13</v>
      </c>
      <c r="C235" s="5" t="s">
        <v>5182</v>
      </c>
      <c r="D235" s="11">
        <v>21</v>
      </c>
      <c r="E235" s="5" t="s">
        <v>5271</v>
      </c>
      <c r="F235" s="5" t="s">
        <v>5272</v>
      </c>
      <c r="G235" s="5" t="s">
        <v>5273</v>
      </c>
      <c r="H235" s="5" t="s">
        <v>36</v>
      </c>
      <c r="I235" s="5" t="s">
        <v>48</v>
      </c>
      <c r="J235" s="5" t="s">
        <v>5258</v>
      </c>
      <c r="K235" s="5" t="s">
        <v>5259</v>
      </c>
      <c r="L235" s="11">
        <v>1</v>
      </c>
      <c r="M235" s="5" t="s">
        <v>156</v>
      </c>
    </row>
    <row r="236" spans="2:13" ht="37.5" customHeight="1" x14ac:dyDescent="0.35">
      <c r="B236" s="12">
        <v>13</v>
      </c>
      <c r="C236" s="7" t="s">
        <v>5182</v>
      </c>
      <c r="D236" s="12">
        <v>22</v>
      </c>
      <c r="E236" s="7" t="s">
        <v>5274</v>
      </c>
      <c r="F236" s="7" t="s">
        <v>5275</v>
      </c>
      <c r="G236" s="7" t="s">
        <v>31</v>
      </c>
      <c r="H236" s="7" t="s">
        <v>218</v>
      </c>
      <c r="I236" s="7" t="s">
        <v>5276</v>
      </c>
      <c r="J236" s="7" t="s">
        <v>5277</v>
      </c>
      <c r="K236" s="7" t="s">
        <v>5278</v>
      </c>
      <c r="L236" s="12">
        <v>2</v>
      </c>
      <c r="M236" s="7" t="s">
        <v>156</v>
      </c>
    </row>
    <row r="237" spans="2:13" ht="21.75" customHeight="1" x14ac:dyDescent="0.35">
      <c r="B237" s="11">
        <v>13</v>
      </c>
      <c r="C237" s="5" t="s">
        <v>5182</v>
      </c>
      <c r="D237" s="11">
        <v>23</v>
      </c>
      <c r="E237" s="5" t="s">
        <v>5279</v>
      </c>
      <c r="F237" s="5" t="s">
        <v>5280</v>
      </c>
      <c r="G237" s="5" t="s">
        <v>1784</v>
      </c>
      <c r="H237" s="5" t="s">
        <v>36</v>
      </c>
      <c r="I237" s="5" t="s">
        <v>48</v>
      </c>
      <c r="J237" s="5" t="s">
        <v>1192</v>
      </c>
      <c r="K237" s="5" t="s">
        <v>5194</v>
      </c>
      <c r="L237" s="11">
        <v>1</v>
      </c>
      <c r="M237" s="5" t="s">
        <v>156</v>
      </c>
    </row>
    <row r="238" spans="2:13" ht="37.5" customHeight="1" x14ac:dyDescent="0.35">
      <c r="B238" s="12">
        <v>14</v>
      </c>
      <c r="C238" s="7" t="s">
        <v>5281</v>
      </c>
      <c r="D238" s="12">
        <v>1</v>
      </c>
      <c r="E238" s="7" t="s">
        <v>5282</v>
      </c>
      <c r="F238" s="7" t="s">
        <v>5283</v>
      </c>
      <c r="G238" s="7" t="s">
        <v>472</v>
      </c>
      <c r="H238" s="7" t="s">
        <v>36</v>
      </c>
      <c r="I238" s="7" t="s">
        <v>48</v>
      </c>
      <c r="J238" s="7" t="s">
        <v>663</v>
      </c>
      <c r="K238" s="7" t="s">
        <v>5284</v>
      </c>
      <c r="L238" s="12">
        <v>1</v>
      </c>
      <c r="M238" s="7" t="s">
        <v>156</v>
      </c>
    </row>
    <row r="239" spans="2:13" ht="37.5" customHeight="1" x14ac:dyDescent="0.35">
      <c r="B239" s="11">
        <v>14</v>
      </c>
      <c r="C239" s="5" t="s">
        <v>5281</v>
      </c>
      <c r="D239" s="11">
        <v>2</v>
      </c>
      <c r="E239" s="5" t="s">
        <v>5285</v>
      </c>
      <c r="F239" s="5" t="s">
        <v>5286</v>
      </c>
      <c r="G239" s="5" t="s">
        <v>549</v>
      </c>
      <c r="H239" s="5" t="s">
        <v>152</v>
      </c>
      <c r="I239" s="5" t="s">
        <v>49</v>
      </c>
      <c r="J239" s="5" t="s">
        <v>2875</v>
      </c>
      <c r="K239" s="5" t="s">
        <v>5287</v>
      </c>
      <c r="L239" s="11">
        <v>1</v>
      </c>
      <c r="M239" s="5" t="s">
        <v>156</v>
      </c>
    </row>
    <row r="240" spans="2:13" ht="37.5" customHeight="1" x14ac:dyDescent="0.35">
      <c r="B240" s="12">
        <v>15</v>
      </c>
      <c r="C240" s="7" t="s">
        <v>5288</v>
      </c>
      <c r="D240" s="12">
        <v>1</v>
      </c>
      <c r="E240" s="7" t="s">
        <v>5289</v>
      </c>
      <c r="F240" s="7" t="s">
        <v>5290</v>
      </c>
      <c r="G240" s="7" t="s">
        <v>653</v>
      </c>
      <c r="H240" s="7" t="s">
        <v>44</v>
      </c>
      <c r="I240" s="7" t="s">
        <v>49</v>
      </c>
      <c r="J240" s="7" t="s">
        <v>1063</v>
      </c>
      <c r="K240" s="7" t="s">
        <v>5291</v>
      </c>
      <c r="L240" s="12">
        <v>1</v>
      </c>
      <c r="M240" s="7" t="s">
        <v>156</v>
      </c>
    </row>
    <row r="241" spans="2:13" ht="37.5" customHeight="1" x14ac:dyDescent="0.35">
      <c r="B241" s="11">
        <v>15</v>
      </c>
      <c r="C241" s="5" t="s">
        <v>5288</v>
      </c>
      <c r="D241" s="11">
        <v>2</v>
      </c>
      <c r="E241" s="5" t="s">
        <v>5292</v>
      </c>
      <c r="F241" s="5" t="s">
        <v>5293</v>
      </c>
      <c r="G241" s="5" t="s">
        <v>29</v>
      </c>
      <c r="H241" s="5" t="s">
        <v>1521</v>
      </c>
      <c r="I241" s="5" t="s">
        <v>5294</v>
      </c>
      <c r="J241" s="5" t="s">
        <v>1968</v>
      </c>
      <c r="K241" s="5" t="s">
        <v>5295</v>
      </c>
      <c r="L241" s="11">
        <v>2</v>
      </c>
      <c r="M241" s="5" t="s">
        <v>156</v>
      </c>
    </row>
    <row r="242" spans="2:13" ht="37.5" customHeight="1" x14ac:dyDescent="0.35">
      <c r="B242" s="12">
        <v>16</v>
      </c>
      <c r="C242" s="7" t="s">
        <v>5296</v>
      </c>
      <c r="D242" s="12">
        <v>1</v>
      </c>
      <c r="E242" s="7" t="s">
        <v>5297</v>
      </c>
      <c r="F242" s="7" t="s">
        <v>5298</v>
      </c>
      <c r="G242" s="7" t="s">
        <v>206</v>
      </c>
      <c r="H242" s="7" t="s">
        <v>37</v>
      </c>
      <c r="I242" s="7" t="s">
        <v>51</v>
      </c>
      <c r="J242" s="7" t="s">
        <v>5056</v>
      </c>
      <c r="K242" s="7" t="s">
        <v>5299</v>
      </c>
      <c r="L242" s="12">
        <v>1</v>
      </c>
      <c r="M242" s="7" t="s">
        <v>5300</v>
      </c>
    </row>
    <row r="243" spans="2:13" ht="37.5" customHeight="1" x14ac:dyDescent="0.35">
      <c r="B243" s="11">
        <v>16</v>
      </c>
      <c r="C243" s="5" t="s">
        <v>5296</v>
      </c>
      <c r="D243" s="11">
        <v>2</v>
      </c>
      <c r="E243" s="5" t="s">
        <v>5301</v>
      </c>
      <c r="F243" s="5" t="s">
        <v>5302</v>
      </c>
      <c r="G243" s="5" t="s">
        <v>192</v>
      </c>
      <c r="H243" s="5" t="s">
        <v>37</v>
      </c>
      <c r="I243" s="5" t="s">
        <v>51</v>
      </c>
      <c r="J243" s="5" t="s">
        <v>5056</v>
      </c>
      <c r="K243" s="5" t="s">
        <v>5299</v>
      </c>
      <c r="L243" s="11">
        <v>1</v>
      </c>
      <c r="M243" s="5" t="s">
        <v>5300</v>
      </c>
    </row>
    <row r="244" spans="2:13" ht="37.5" customHeight="1" x14ac:dyDescent="0.35">
      <c r="B244" s="12">
        <v>16</v>
      </c>
      <c r="C244" s="7" t="s">
        <v>5296</v>
      </c>
      <c r="D244" s="12">
        <v>3</v>
      </c>
      <c r="E244" s="7" t="s">
        <v>5303</v>
      </c>
      <c r="F244" s="7" t="s">
        <v>5304</v>
      </c>
      <c r="G244" s="7" t="s">
        <v>557</v>
      </c>
      <c r="H244" s="7" t="s">
        <v>306</v>
      </c>
      <c r="I244" s="7" t="s">
        <v>4738</v>
      </c>
      <c r="J244" s="7" t="s">
        <v>5305</v>
      </c>
      <c r="K244" s="7" t="s">
        <v>5306</v>
      </c>
      <c r="L244" s="12">
        <v>2</v>
      </c>
      <c r="M244" s="7" t="s">
        <v>5300</v>
      </c>
    </row>
    <row r="245" spans="2:13" ht="37.5" customHeight="1" x14ac:dyDescent="0.35">
      <c r="B245" s="11">
        <v>17</v>
      </c>
      <c r="C245" s="5" t="s">
        <v>5307</v>
      </c>
      <c r="D245" s="11">
        <v>1</v>
      </c>
      <c r="E245" s="5" t="s">
        <v>5308</v>
      </c>
      <c r="F245" s="5" t="s">
        <v>5309</v>
      </c>
      <c r="G245" s="5" t="s">
        <v>24</v>
      </c>
      <c r="H245" s="5" t="s">
        <v>1521</v>
      </c>
      <c r="I245" s="5" t="s">
        <v>5310</v>
      </c>
      <c r="J245" s="5" t="s">
        <v>5311</v>
      </c>
      <c r="K245" s="5" t="s">
        <v>5312</v>
      </c>
      <c r="L245" s="11">
        <v>2</v>
      </c>
      <c r="M245" s="5" t="s">
        <v>1892</v>
      </c>
    </row>
    <row r="246" spans="2:13" ht="67.5" customHeight="1" x14ac:dyDescent="0.35">
      <c r="B246" s="12">
        <v>17</v>
      </c>
      <c r="C246" s="7" t="s">
        <v>5307</v>
      </c>
      <c r="D246" s="12">
        <v>2</v>
      </c>
      <c r="E246" s="7" t="s">
        <v>5313</v>
      </c>
      <c r="F246" s="7" t="s">
        <v>5314</v>
      </c>
      <c r="G246" s="7" t="s">
        <v>3437</v>
      </c>
      <c r="H246" s="7" t="s">
        <v>5315</v>
      </c>
      <c r="I246" s="7" t="s">
        <v>5316</v>
      </c>
      <c r="J246" s="7" t="s">
        <v>5317</v>
      </c>
      <c r="K246" s="7" t="s">
        <v>5318</v>
      </c>
      <c r="L246" s="12">
        <v>4</v>
      </c>
      <c r="M246" s="7" t="s">
        <v>1892</v>
      </c>
    </row>
    <row r="247" spans="2:13" ht="67.5" customHeight="1" x14ac:dyDescent="0.35">
      <c r="B247" s="11">
        <v>17</v>
      </c>
      <c r="C247" s="5" t="s">
        <v>5307</v>
      </c>
      <c r="D247" s="11">
        <v>3</v>
      </c>
      <c r="E247" s="5" t="s">
        <v>5319</v>
      </c>
      <c r="F247" s="5" t="s">
        <v>5320</v>
      </c>
      <c r="G247" s="5" t="s">
        <v>29</v>
      </c>
      <c r="H247" s="5" t="s">
        <v>5321</v>
      </c>
      <c r="I247" s="5" t="s">
        <v>5322</v>
      </c>
      <c r="J247" s="5" t="s">
        <v>5323</v>
      </c>
      <c r="K247" s="5" t="s">
        <v>5324</v>
      </c>
      <c r="L247" s="11">
        <v>3</v>
      </c>
      <c r="M247" s="5" t="s">
        <v>1892</v>
      </c>
    </row>
    <row r="248" spans="2:13" ht="52.5" customHeight="1" x14ac:dyDescent="0.35">
      <c r="B248" s="12">
        <v>17</v>
      </c>
      <c r="C248" s="7" t="s">
        <v>5307</v>
      </c>
      <c r="D248" s="12">
        <v>4</v>
      </c>
      <c r="E248" s="7" t="s">
        <v>5325</v>
      </c>
      <c r="F248" s="7" t="s">
        <v>5326</v>
      </c>
      <c r="G248" s="7" t="s">
        <v>973</v>
      </c>
      <c r="H248" s="7" t="s">
        <v>4996</v>
      </c>
      <c r="I248" s="7" t="s">
        <v>5327</v>
      </c>
      <c r="J248" s="7" t="s">
        <v>5328</v>
      </c>
      <c r="K248" s="7" t="s">
        <v>5329</v>
      </c>
      <c r="L248" s="12">
        <v>3</v>
      </c>
      <c r="M248" s="7" t="s">
        <v>1892</v>
      </c>
    </row>
    <row r="249" spans="2:13" ht="37.5" customHeight="1" x14ac:dyDescent="0.35">
      <c r="B249" s="11">
        <v>17</v>
      </c>
      <c r="C249" s="5" t="s">
        <v>5307</v>
      </c>
      <c r="D249" s="11">
        <v>5</v>
      </c>
      <c r="E249" s="5" t="s">
        <v>5330</v>
      </c>
      <c r="F249" s="5" t="s">
        <v>5331</v>
      </c>
      <c r="G249" s="5" t="s">
        <v>206</v>
      </c>
      <c r="H249" s="5" t="s">
        <v>306</v>
      </c>
      <c r="I249" s="5" t="s">
        <v>5332</v>
      </c>
      <c r="J249" s="5" t="s">
        <v>5333</v>
      </c>
      <c r="K249" s="5" t="s">
        <v>5334</v>
      </c>
      <c r="L249" s="11">
        <v>2</v>
      </c>
      <c r="M249" s="5" t="s">
        <v>1892</v>
      </c>
    </row>
    <row r="250" spans="2:13" ht="37.5" customHeight="1" x14ac:dyDescent="0.35">
      <c r="B250" s="12">
        <v>17</v>
      </c>
      <c r="C250" s="7" t="s">
        <v>5307</v>
      </c>
      <c r="D250" s="12">
        <v>6</v>
      </c>
      <c r="E250" s="7" t="s">
        <v>5335</v>
      </c>
      <c r="F250" s="7" t="s">
        <v>5336</v>
      </c>
      <c r="G250" s="7" t="s">
        <v>939</v>
      </c>
      <c r="H250" s="7" t="s">
        <v>36</v>
      </c>
      <c r="I250" s="7" t="s">
        <v>48</v>
      </c>
      <c r="J250" s="7" t="s">
        <v>5337</v>
      </c>
      <c r="K250" s="7" t="s">
        <v>5338</v>
      </c>
      <c r="L250" s="12">
        <v>1</v>
      </c>
      <c r="M250" s="7" t="s">
        <v>1892</v>
      </c>
    </row>
    <row r="251" spans="2:13" ht="37.5" customHeight="1" x14ac:dyDescent="0.35">
      <c r="B251" s="11">
        <v>17</v>
      </c>
      <c r="C251" s="5" t="s">
        <v>5307</v>
      </c>
      <c r="D251" s="11">
        <v>7</v>
      </c>
      <c r="E251" s="5" t="s">
        <v>5339</v>
      </c>
      <c r="F251" s="5" t="s">
        <v>5340</v>
      </c>
      <c r="G251" s="5" t="s">
        <v>1235</v>
      </c>
      <c r="H251" s="5" t="s">
        <v>5240</v>
      </c>
      <c r="I251" s="5" t="s">
        <v>5341</v>
      </c>
      <c r="J251" s="5" t="s">
        <v>5342</v>
      </c>
      <c r="K251" s="5" t="s">
        <v>5343</v>
      </c>
      <c r="L251" s="11">
        <v>2</v>
      </c>
      <c r="M251" s="5" t="s">
        <v>1892</v>
      </c>
    </row>
    <row r="252" spans="2:13" ht="37.5" customHeight="1" x14ac:dyDescent="0.35">
      <c r="B252" s="12">
        <v>17</v>
      </c>
      <c r="C252" s="7" t="s">
        <v>5307</v>
      </c>
      <c r="D252" s="12">
        <v>8</v>
      </c>
      <c r="E252" s="7" t="s">
        <v>5344</v>
      </c>
      <c r="F252" s="7" t="s">
        <v>5345</v>
      </c>
      <c r="G252" s="7" t="s">
        <v>28</v>
      </c>
      <c r="H252" s="7" t="s">
        <v>44</v>
      </c>
      <c r="I252" s="7" t="s">
        <v>49</v>
      </c>
      <c r="J252" s="7" t="s">
        <v>1063</v>
      </c>
      <c r="K252" s="7" t="s">
        <v>5291</v>
      </c>
      <c r="L252" s="12">
        <v>1</v>
      </c>
      <c r="M252" s="7" t="s">
        <v>1892</v>
      </c>
    </row>
    <row r="253" spans="2:13" ht="21.75" customHeight="1" x14ac:dyDescent="0.35">
      <c r="B253" s="11">
        <v>17</v>
      </c>
      <c r="C253" s="5" t="s">
        <v>5307</v>
      </c>
      <c r="D253" s="11">
        <v>9</v>
      </c>
      <c r="E253" s="5" t="s">
        <v>5346</v>
      </c>
      <c r="F253" s="5" t="s">
        <v>5347</v>
      </c>
      <c r="G253" s="5" t="s">
        <v>26</v>
      </c>
      <c r="H253" s="5" t="s">
        <v>36</v>
      </c>
      <c r="I253" s="5" t="s">
        <v>48</v>
      </c>
      <c r="J253" s="5" t="s">
        <v>5337</v>
      </c>
      <c r="K253" s="5" t="s">
        <v>5338</v>
      </c>
      <c r="L253" s="11">
        <v>1</v>
      </c>
      <c r="M253" s="5" t="s">
        <v>1892</v>
      </c>
    </row>
    <row r="254" spans="2:13" ht="21.75" customHeight="1" x14ac:dyDescent="0.35">
      <c r="B254" s="12">
        <v>17</v>
      </c>
      <c r="C254" s="7" t="s">
        <v>5307</v>
      </c>
      <c r="D254" s="12">
        <v>10</v>
      </c>
      <c r="E254" s="7" t="s">
        <v>5348</v>
      </c>
      <c r="F254" s="7" t="s">
        <v>5349</v>
      </c>
      <c r="G254" s="7" t="s">
        <v>1667</v>
      </c>
      <c r="H254" s="7" t="s">
        <v>44</v>
      </c>
      <c r="I254" s="7" t="s">
        <v>49</v>
      </c>
      <c r="J254" s="7" t="s">
        <v>1004</v>
      </c>
      <c r="K254" s="7" t="s">
        <v>5350</v>
      </c>
      <c r="L254" s="12">
        <v>1</v>
      </c>
      <c r="M254" s="7" t="s">
        <v>1892</v>
      </c>
    </row>
    <row r="255" spans="2:13" ht="37.5" customHeight="1" x14ac:dyDescent="0.35">
      <c r="B255" s="11">
        <v>17</v>
      </c>
      <c r="C255" s="5" t="s">
        <v>5307</v>
      </c>
      <c r="D255" s="11">
        <v>11</v>
      </c>
      <c r="E255" s="5" t="s">
        <v>5351</v>
      </c>
      <c r="F255" s="5" t="s">
        <v>5352</v>
      </c>
      <c r="G255" s="5" t="s">
        <v>825</v>
      </c>
      <c r="H255" s="5" t="s">
        <v>36</v>
      </c>
      <c r="I255" s="5" t="s">
        <v>1885</v>
      </c>
      <c r="J255" s="5" t="s">
        <v>5353</v>
      </c>
      <c r="K255" s="5" t="s">
        <v>5354</v>
      </c>
      <c r="L255" s="11">
        <v>1</v>
      </c>
      <c r="M255" s="5" t="s">
        <v>1892</v>
      </c>
    </row>
    <row r="256" spans="2:13" ht="37.5" customHeight="1" x14ac:dyDescent="0.35">
      <c r="B256" s="12">
        <v>17</v>
      </c>
      <c r="C256" s="7" t="s">
        <v>5307</v>
      </c>
      <c r="D256" s="12">
        <v>13</v>
      </c>
      <c r="E256" s="7" t="s">
        <v>5355</v>
      </c>
      <c r="F256" s="7" t="s">
        <v>5356</v>
      </c>
      <c r="G256" s="7" t="s">
        <v>27</v>
      </c>
      <c r="H256" s="7" t="s">
        <v>4662</v>
      </c>
      <c r="I256" s="7" t="s">
        <v>5357</v>
      </c>
      <c r="J256" s="7" t="s">
        <v>5358</v>
      </c>
      <c r="K256" s="7" t="s">
        <v>5359</v>
      </c>
      <c r="L256" s="12">
        <v>2</v>
      </c>
      <c r="M256" s="7" t="s">
        <v>1892</v>
      </c>
    </row>
    <row r="257" spans="2:13" ht="37.5" customHeight="1" x14ac:dyDescent="0.35">
      <c r="B257" s="11">
        <v>17</v>
      </c>
      <c r="C257" s="5" t="s">
        <v>5307</v>
      </c>
      <c r="D257" s="11">
        <v>14</v>
      </c>
      <c r="E257" s="5" t="s">
        <v>5360</v>
      </c>
      <c r="F257" s="5" t="s">
        <v>5361</v>
      </c>
      <c r="G257" s="5" t="s">
        <v>31</v>
      </c>
      <c r="H257" s="5" t="s">
        <v>42</v>
      </c>
      <c r="I257" s="5" t="s">
        <v>5362</v>
      </c>
      <c r="J257" s="5" t="s">
        <v>4948</v>
      </c>
      <c r="K257" s="5" t="s">
        <v>5363</v>
      </c>
      <c r="L257" s="11">
        <v>1</v>
      </c>
      <c r="M257" s="5" t="s">
        <v>1892</v>
      </c>
    </row>
    <row r="258" spans="2:13" ht="21.75" customHeight="1" x14ac:dyDescent="0.35">
      <c r="B258" s="12">
        <v>17</v>
      </c>
      <c r="C258" s="7" t="s">
        <v>5307</v>
      </c>
      <c r="D258" s="12">
        <v>15</v>
      </c>
      <c r="E258" s="7" t="s">
        <v>5364</v>
      </c>
      <c r="F258" s="7" t="s">
        <v>5365</v>
      </c>
      <c r="G258" s="7" t="s">
        <v>198</v>
      </c>
      <c r="H258" s="7" t="s">
        <v>39</v>
      </c>
      <c r="I258" s="7" t="s">
        <v>57</v>
      </c>
      <c r="J258" s="7" t="s">
        <v>5366</v>
      </c>
      <c r="K258" s="7" t="s">
        <v>5367</v>
      </c>
      <c r="L258" s="12">
        <v>1</v>
      </c>
      <c r="M258" s="7" t="s">
        <v>1892</v>
      </c>
    </row>
    <row r="259" spans="2:13" ht="37.5" customHeight="1" x14ac:dyDescent="0.35">
      <c r="B259" s="11">
        <v>17</v>
      </c>
      <c r="C259" s="5" t="s">
        <v>5307</v>
      </c>
      <c r="D259" s="11">
        <v>16</v>
      </c>
      <c r="E259" s="5" t="s">
        <v>5368</v>
      </c>
      <c r="F259" s="5" t="s">
        <v>5369</v>
      </c>
      <c r="G259" s="5" t="s">
        <v>2405</v>
      </c>
      <c r="H259" s="5" t="s">
        <v>37</v>
      </c>
      <c r="I259" s="5" t="s">
        <v>55</v>
      </c>
      <c r="J259" s="5" t="s">
        <v>1579</v>
      </c>
      <c r="K259" s="5" t="s">
        <v>5370</v>
      </c>
      <c r="L259" s="11">
        <v>1</v>
      </c>
      <c r="M259" s="5" t="s">
        <v>1892</v>
      </c>
    </row>
    <row r="260" spans="2:13" ht="37.5" customHeight="1" x14ac:dyDescent="0.35">
      <c r="B260" s="12">
        <v>17</v>
      </c>
      <c r="C260" s="7" t="s">
        <v>5307</v>
      </c>
      <c r="D260" s="12">
        <v>17</v>
      </c>
      <c r="E260" s="7" t="s">
        <v>5371</v>
      </c>
      <c r="F260" s="7" t="s">
        <v>5372</v>
      </c>
      <c r="G260" s="7" t="s">
        <v>2405</v>
      </c>
      <c r="H260" s="7" t="s">
        <v>37</v>
      </c>
      <c r="I260" s="7" t="s">
        <v>55</v>
      </c>
      <c r="J260" s="7" t="s">
        <v>1579</v>
      </c>
      <c r="K260" s="7" t="s">
        <v>5370</v>
      </c>
      <c r="L260" s="12">
        <v>1</v>
      </c>
      <c r="M260" s="7" t="s">
        <v>1892</v>
      </c>
    </row>
    <row r="261" spans="2:13" ht="37.5" customHeight="1" x14ac:dyDescent="0.35">
      <c r="B261" s="11">
        <v>17</v>
      </c>
      <c r="C261" s="5" t="s">
        <v>5307</v>
      </c>
      <c r="D261" s="11">
        <v>18</v>
      </c>
      <c r="E261" s="5" t="s">
        <v>5373</v>
      </c>
      <c r="F261" s="5" t="s">
        <v>5374</v>
      </c>
      <c r="G261" s="5" t="s">
        <v>279</v>
      </c>
      <c r="H261" s="5" t="s">
        <v>40</v>
      </c>
      <c r="I261" s="5" t="s">
        <v>54</v>
      </c>
      <c r="J261" s="5" t="s">
        <v>1063</v>
      </c>
      <c r="K261" s="5" t="s">
        <v>5081</v>
      </c>
      <c r="L261" s="11">
        <v>1</v>
      </c>
      <c r="M261" s="5" t="s">
        <v>1892</v>
      </c>
    </row>
    <row r="262" spans="2:13" ht="37.5" customHeight="1" x14ac:dyDescent="0.35">
      <c r="B262" s="12">
        <v>17</v>
      </c>
      <c r="C262" s="7" t="s">
        <v>5307</v>
      </c>
      <c r="D262" s="12">
        <v>19</v>
      </c>
      <c r="E262" s="7" t="s">
        <v>5375</v>
      </c>
      <c r="F262" s="7" t="s">
        <v>5376</v>
      </c>
      <c r="G262" s="7" t="s">
        <v>188</v>
      </c>
      <c r="H262" s="7" t="s">
        <v>5142</v>
      </c>
      <c r="I262" s="7" t="s">
        <v>5143</v>
      </c>
      <c r="J262" s="7" t="s">
        <v>5377</v>
      </c>
      <c r="K262" s="7" t="s">
        <v>5378</v>
      </c>
      <c r="L262" s="12">
        <v>2</v>
      </c>
      <c r="M262" s="7" t="s">
        <v>1892</v>
      </c>
    </row>
    <row r="263" spans="2:13" ht="21.75" customHeight="1" x14ac:dyDescent="0.35">
      <c r="B263" s="11">
        <v>17</v>
      </c>
      <c r="C263" s="5" t="s">
        <v>5307</v>
      </c>
      <c r="D263" s="11">
        <v>20</v>
      </c>
      <c r="E263" s="5" t="s">
        <v>5379</v>
      </c>
      <c r="F263" s="5" t="s">
        <v>5380</v>
      </c>
      <c r="G263" s="5" t="s">
        <v>5381</v>
      </c>
      <c r="H263" s="5" t="s">
        <v>36</v>
      </c>
      <c r="I263" s="5" t="s">
        <v>48</v>
      </c>
      <c r="J263" s="5" t="s">
        <v>5128</v>
      </c>
      <c r="K263" s="5" t="s">
        <v>5382</v>
      </c>
      <c r="L263" s="11">
        <v>1</v>
      </c>
      <c r="M263" s="5" t="s">
        <v>1892</v>
      </c>
    </row>
    <row r="264" spans="2:13" ht="37.5" customHeight="1" x14ac:dyDescent="0.35">
      <c r="B264" s="12">
        <v>17</v>
      </c>
      <c r="C264" s="7" t="s">
        <v>5307</v>
      </c>
      <c r="D264" s="12">
        <v>21</v>
      </c>
      <c r="E264" s="7" t="s">
        <v>5383</v>
      </c>
      <c r="F264" s="7" t="s">
        <v>5384</v>
      </c>
      <c r="G264" s="7" t="s">
        <v>33</v>
      </c>
      <c r="H264" s="7" t="s">
        <v>36</v>
      </c>
      <c r="I264" s="7" t="s">
        <v>48</v>
      </c>
      <c r="J264" s="7" t="s">
        <v>5128</v>
      </c>
      <c r="K264" s="7" t="s">
        <v>5382</v>
      </c>
      <c r="L264" s="12">
        <v>1</v>
      </c>
      <c r="M264" s="7" t="s">
        <v>1892</v>
      </c>
    </row>
    <row r="265" spans="2:13" ht="37.5" customHeight="1" x14ac:dyDescent="0.35">
      <c r="B265" s="11">
        <v>17</v>
      </c>
      <c r="C265" s="5" t="s">
        <v>5307</v>
      </c>
      <c r="D265" s="11">
        <v>22</v>
      </c>
      <c r="E265" s="5" t="s">
        <v>5385</v>
      </c>
      <c r="F265" s="5" t="s">
        <v>5386</v>
      </c>
      <c r="G265" s="5" t="s">
        <v>552</v>
      </c>
      <c r="H265" s="5" t="s">
        <v>4393</v>
      </c>
      <c r="I265" s="5" t="s">
        <v>5387</v>
      </c>
      <c r="J265" s="5" t="s">
        <v>5388</v>
      </c>
      <c r="K265" s="5" t="s">
        <v>5389</v>
      </c>
      <c r="L265" s="11">
        <v>2</v>
      </c>
      <c r="M265" s="5" t="s">
        <v>1892</v>
      </c>
    </row>
    <row r="266" spans="2:13" ht="37.5" customHeight="1" x14ac:dyDescent="0.35">
      <c r="B266" s="12">
        <v>17</v>
      </c>
      <c r="C266" s="7" t="s">
        <v>5307</v>
      </c>
      <c r="D266" s="12">
        <v>23</v>
      </c>
      <c r="E266" s="7" t="s">
        <v>5390</v>
      </c>
      <c r="F266" s="7" t="s">
        <v>5391</v>
      </c>
      <c r="G266" s="7" t="s">
        <v>742</v>
      </c>
      <c r="H266" s="7" t="s">
        <v>36</v>
      </c>
      <c r="I266" s="7" t="s">
        <v>48</v>
      </c>
      <c r="J266" s="7" t="s">
        <v>5128</v>
      </c>
      <c r="K266" s="7" t="s">
        <v>5382</v>
      </c>
      <c r="L266" s="12">
        <v>1</v>
      </c>
      <c r="M266" s="7" t="s">
        <v>1892</v>
      </c>
    </row>
    <row r="267" spans="2:13" ht="37.5" customHeight="1" x14ac:dyDescent="0.35">
      <c r="B267" s="11">
        <v>17</v>
      </c>
      <c r="C267" s="5" t="s">
        <v>5307</v>
      </c>
      <c r="D267" s="11">
        <v>24</v>
      </c>
      <c r="E267" s="5" t="s">
        <v>5392</v>
      </c>
      <c r="F267" s="5" t="s">
        <v>5393</v>
      </c>
      <c r="G267" s="5" t="s">
        <v>282</v>
      </c>
      <c r="H267" s="5" t="s">
        <v>36</v>
      </c>
      <c r="I267" s="5" t="s">
        <v>48</v>
      </c>
      <c r="J267" s="5" t="s">
        <v>5394</v>
      </c>
      <c r="K267" s="5" t="s">
        <v>5395</v>
      </c>
      <c r="L267" s="11">
        <v>1</v>
      </c>
      <c r="M267" s="5" t="s">
        <v>1892</v>
      </c>
    </row>
    <row r="268" spans="2:13" ht="21.75" customHeight="1" x14ac:dyDescent="0.35">
      <c r="B268" s="12">
        <v>17</v>
      </c>
      <c r="C268" s="7" t="s">
        <v>5307</v>
      </c>
      <c r="D268" s="12">
        <v>25</v>
      </c>
      <c r="E268" s="7" t="s">
        <v>5396</v>
      </c>
      <c r="F268" s="7" t="s">
        <v>5397</v>
      </c>
      <c r="G268" s="7" t="s">
        <v>862</v>
      </c>
      <c r="H268" s="7" t="s">
        <v>40</v>
      </c>
      <c r="I268" s="7" t="s">
        <v>54</v>
      </c>
      <c r="J268" s="7" t="s">
        <v>1063</v>
      </c>
      <c r="K268" s="7" t="s">
        <v>5081</v>
      </c>
      <c r="L268" s="12">
        <v>1</v>
      </c>
      <c r="M268" s="7" t="s">
        <v>1892</v>
      </c>
    </row>
    <row r="269" spans="2:13" ht="21.75" customHeight="1" x14ac:dyDescent="0.35">
      <c r="B269" s="11">
        <v>17</v>
      </c>
      <c r="C269" s="5" t="s">
        <v>5307</v>
      </c>
      <c r="D269" s="11">
        <v>26</v>
      </c>
      <c r="E269" s="5" t="s">
        <v>5398</v>
      </c>
      <c r="F269" s="5" t="s">
        <v>5399</v>
      </c>
      <c r="G269" s="5" t="s">
        <v>1961</v>
      </c>
      <c r="H269" s="5" t="s">
        <v>39</v>
      </c>
      <c r="I269" s="5" t="s">
        <v>181</v>
      </c>
      <c r="J269" s="5" t="s">
        <v>5400</v>
      </c>
      <c r="K269" s="5" t="s">
        <v>5401</v>
      </c>
      <c r="L269" s="11">
        <v>1</v>
      </c>
      <c r="M269" s="5" t="s">
        <v>1892</v>
      </c>
    </row>
    <row r="270" spans="2:13" ht="21.75" customHeight="1" x14ac:dyDescent="0.35">
      <c r="B270" s="12">
        <v>17</v>
      </c>
      <c r="C270" s="7" t="s">
        <v>5307</v>
      </c>
      <c r="D270" s="12">
        <v>27</v>
      </c>
      <c r="E270" s="7" t="s">
        <v>5402</v>
      </c>
      <c r="F270" s="7" t="s">
        <v>5403</v>
      </c>
      <c r="G270" s="7" t="s">
        <v>1203</v>
      </c>
      <c r="H270" s="7" t="s">
        <v>36</v>
      </c>
      <c r="I270" s="7" t="s">
        <v>48</v>
      </c>
      <c r="J270" s="7" t="s">
        <v>5404</v>
      </c>
      <c r="K270" s="7" t="s">
        <v>5405</v>
      </c>
      <c r="L270" s="12">
        <v>1</v>
      </c>
      <c r="M270" s="7" t="s">
        <v>1892</v>
      </c>
    </row>
    <row r="271" spans="2:13" ht="37.5" customHeight="1" x14ac:dyDescent="0.35">
      <c r="B271" s="11">
        <v>17</v>
      </c>
      <c r="C271" s="5" t="s">
        <v>5307</v>
      </c>
      <c r="D271" s="11">
        <v>28</v>
      </c>
      <c r="E271" s="5" t="s">
        <v>5406</v>
      </c>
      <c r="F271" s="5" t="s">
        <v>5407</v>
      </c>
      <c r="G271" s="5" t="s">
        <v>5408</v>
      </c>
      <c r="H271" s="5" t="s">
        <v>36</v>
      </c>
      <c r="I271" s="5" t="s">
        <v>5409</v>
      </c>
      <c r="J271" s="5" t="s">
        <v>5410</v>
      </c>
      <c r="K271" s="5" t="s">
        <v>5411</v>
      </c>
      <c r="L271" s="11">
        <v>1</v>
      </c>
      <c r="M271" s="5" t="s">
        <v>1892</v>
      </c>
    </row>
    <row r="272" spans="2:13" ht="21.75" customHeight="1" x14ac:dyDescent="0.35">
      <c r="B272" s="12">
        <v>17</v>
      </c>
      <c r="C272" s="7" t="s">
        <v>5307</v>
      </c>
      <c r="D272" s="12">
        <v>29</v>
      </c>
      <c r="E272" s="7" t="s">
        <v>5412</v>
      </c>
      <c r="F272" s="7" t="s">
        <v>5413</v>
      </c>
      <c r="G272" s="7" t="s">
        <v>5414</v>
      </c>
      <c r="H272" s="7" t="s">
        <v>36</v>
      </c>
      <c r="I272" s="7" t="s">
        <v>48</v>
      </c>
      <c r="J272" s="7" t="s">
        <v>5404</v>
      </c>
      <c r="K272" s="7" t="s">
        <v>5405</v>
      </c>
      <c r="L272" s="12">
        <v>1</v>
      </c>
      <c r="M272" s="7" t="s">
        <v>1892</v>
      </c>
    </row>
    <row r="273" spans="2:13" ht="67.5" customHeight="1" x14ac:dyDescent="0.35">
      <c r="B273" s="11">
        <v>18</v>
      </c>
      <c r="C273" s="5" t="s">
        <v>5415</v>
      </c>
      <c r="D273" s="11">
        <v>1</v>
      </c>
      <c r="E273" s="5" t="s">
        <v>5416</v>
      </c>
      <c r="F273" s="5" t="s">
        <v>5417</v>
      </c>
      <c r="G273" s="5" t="s">
        <v>5418</v>
      </c>
      <c r="H273" s="5" t="s">
        <v>5419</v>
      </c>
      <c r="I273" s="5" t="s">
        <v>5420</v>
      </c>
      <c r="J273" s="5" t="s">
        <v>213</v>
      </c>
      <c r="K273" s="5" t="s">
        <v>5421</v>
      </c>
      <c r="L273" s="11">
        <v>3</v>
      </c>
      <c r="M273" s="5" t="s">
        <v>173</v>
      </c>
    </row>
    <row r="274" spans="2:13" ht="37.5" customHeight="1" x14ac:dyDescent="0.35">
      <c r="B274" s="12">
        <v>18</v>
      </c>
      <c r="C274" s="7" t="s">
        <v>5415</v>
      </c>
      <c r="D274" s="12">
        <v>2</v>
      </c>
      <c r="E274" s="7" t="s">
        <v>5422</v>
      </c>
      <c r="F274" s="7" t="s">
        <v>5423</v>
      </c>
      <c r="G274" s="7" t="s">
        <v>2405</v>
      </c>
      <c r="H274" s="7" t="s">
        <v>294</v>
      </c>
      <c r="I274" s="7" t="s">
        <v>5424</v>
      </c>
      <c r="J274" s="7" t="s">
        <v>220</v>
      </c>
      <c r="K274" s="7" t="s">
        <v>5425</v>
      </c>
      <c r="L274" s="12">
        <v>2</v>
      </c>
      <c r="M274" s="7" t="s">
        <v>173</v>
      </c>
    </row>
    <row r="275" spans="2:13" ht="37.5" customHeight="1" x14ac:dyDescent="0.35">
      <c r="B275" s="11">
        <v>18</v>
      </c>
      <c r="C275" s="5" t="s">
        <v>5415</v>
      </c>
      <c r="D275" s="11">
        <v>3</v>
      </c>
      <c r="E275" s="5" t="s">
        <v>5426</v>
      </c>
      <c r="F275" s="5" t="s">
        <v>5427</v>
      </c>
      <c r="G275" s="5" t="s">
        <v>1435</v>
      </c>
      <c r="H275" s="5" t="s">
        <v>1943</v>
      </c>
      <c r="I275" s="5" t="s">
        <v>49</v>
      </c>
      <c r="J275" s="5" t="s">
        <v>213</v>
      </c>
      <c r="K275" s="5" t="s">
        <v>5428</v>
      </c>
      <c r="L275" s="11">
        <v>1</v>
      </c>
      <c r="M275" s="5" t="s">
        <v>173</v>
      </c>
    </row>
    <row r="276" spans="2:13" ht="37.5" customHeight="1" x14ac:dyDescent="0.35">
      <c r="B276" s="12">
        <v>18</v>
      </c>
      <c r="C276" s="7" t="s">
        <v>5415</v>
      </c>
      <c r="D276" s="12">
        <v>4</v>
      </c>
      <c r="E276" s="7" t="s">
        <v>5429</v>
      </c>
      <c r="F276" s="7" t="s">
        <v>5430</v>
      </c>
      <c r="G276" s="7" t="s">
        <v>573</v>
      </c>
      <c r="H276" s="7" t="s">
        <v>37</v>
      </c>
      <c r="I276" s="7" t="s">
        <v>51</v>
      </c>
      <c r="J276" s="7" t="s">
        <v>194</v>
      </c>
      <c r="K276" s="7" t="s">
        <v>5169</v>
      </c>
      <c r="L276" s="12">
        <v>1</v>
      </c>
      <c r="M276" s="7" t="s">
        <v>173</v>
      </c>
    </row>
    <row r="277" spans="2:13" ht="37.5" customHeight="1" x14ac:dyDescent="0.35">
      <c r="B277" s="11">
        <v>18</v>
      </c>
      <c r="C277" s="5" t="s">
        <v>5415</v>
      </c>
      <c r="D277" s="11">
        <v>5</v>
      </c>
      <c r="E277" s="5" t="s">
        <v>5431</v>
      </c>
      <c r="F277" s="5" t="s">
        <v>5432</v>
      </c>
      <c r="G277" s="5" t="s">
        <v>576</v>
      </c>
      <c r="H277" s="5" t="s">
        <v>42</v>
      </c>
      <c r="I277" s="5" t="s">
        <v>5433</v>
      </c>
      <c r="J277" s="5" t="s">
        <v>1903</v>
      </c>
      <c r="K277" s="5" t="s">
        <v>5434</v>
      </c>
      <c r="L277" s="11">
        <v>1</v>
      </c>
      <c r="M277" s="5" t="s">
        <v>173</v>
      </c>
    </row>
    <row r="278" spans="2:13" ht="21.75" customHeight="1" x14ac:dyDescent="0.35">
      <c r="B278" s="12">
        <v>18</v>
      </c>
      <c r="C278" s="7" t="s">
        <v>5415</v>
      </c>
      <c r="D278" s="12">
        <v>6</v>
      </c>
      <c r="E278" s="7" t="s">
        <v>5435</v>
      </c>
      <c r="F278" s="7" t="s">
        <v>5436</v>
      </c>
      <c r="G278" s="7" t="s">
        <v>1713</v>
      </c>
      <c r="H278" s="7" t="s">
        <v>40</v>
      </c>
      <c r="I278" s="7" t="s">
        <v>54</v>
      </c>
      <c r="J278" s="7" t="s">
        <v>213</v>
      </c>
      <c r="K278" s="7" t="s">
        <v>254</v>
      </c>
      <c r="L278" s="12">
        <v>1</v>
      </c>
      <c r="M278" s="7" t="s">
        <v>173</v>
      </c>
    </row>
    <row r="279" spans="2:13" ht="37.5" customHeight="1" x14ac:dyDescent="0.35">
      <c r="B279" s="11">
        <v>19</v>
      </c>
      <c r="C279" s="5" t="s">
        <v>5437</v>
      </c>
      <c r="D279" s="11">
        <v>1</v>
      </c>
      <c r="E279" s="5" t="s">
        <v>5438</v>
      </c>
      <c r="F279" s="5" t="s">
        <v>5439</v>
      </c>
      <c r="G279" s="5" t="s">
        <v>549</v>
      </c>
      <c r="H279" s="5" t="s">
        <v>4599</v>
      </c>
      <c r="I279" s="5" t="s">
        <v>5440</v>
      </c>
      <c r="J279" s="5" t="s">
        <v>5441</v>
      </c>
      <c r="K279" s="5" t="s">
        <v>5442</v>
      </c>
      <c r="L279" s="11">
        <v>2</v>
      </c>
      <c r="M279" s="5" t="s">
        <v>5443</v>
      </c>
    </row>
    <row r="280" spans="2:13" ht="67.5" customHeight="1" x14ac:dyDescent="0.35">
      <c r="B280" s="12">
        <v>20</v>
      </c>
      <c r="C280" s="7" t="s">
        <v>5444</v>
      </c>
      <c r="D280" s="12">
        <v>1</v>
      </c>
      <c r="E280" s="7" t="s">
        <v>5445</v>
      </c>
      <c r="F280" s="7" t="s">
        <v>5446</v>
      </c>
      <c r="G280" s="7" t="s">
        <v>24</v>
      </c>
      <c r="H280" s="7" t="s">
        <v>5447</v>
      </c>
      <c r="I280" s="7" t="s">
        <v>5448</v>
      </c>
      <c r="J280" s="7" t="s">
        <v>5449</v>
      </c>
      <c r="K280" s="7" t="s">
        <v>5450</v>
      </c>
      <c r="L280" s="12">
        <v>4</v>
      </c>
      <c r="M280" s="7" t="s">
        <v>5451</v>
      </c>
    </row>
    <row r="281" spans="2:13" ht="37.5" customHeight="1" x14ac:dyDescent="0.35">
      <c r="B281" s="11">
        <v>21</v>
      </c>
      <c r="C281" s="5" t="s">
        <v>5452</v>
      </c>
      <c r="D281" s="11">
        <v>1</v>
      </c>
      <c r="E281" s="5" t="s">
        <v>5453</v>
      </c>
      <c r="F281" s="5" t="s">
        <v>5454</v>
      </c>
      <c r="G281" s="5" t="s">
        <v>1294</v>
      </c>
      <c r="H281" s="5" t="s">
        <v>41</v>
      </c>
      <c r="I281" s="5" t="s">
        <v>49</v>
      </c>
      <c r="J281" s="5" t="s">
        <v>213</v>
      </c>
      <c r="K281" s="5" t="s">
        <v>214</v>
      </c>
      <c r="L281" s="11">
        <v>1</v>
      </c>
      <c r="M281" s="5" t="s">
        <v>173</v>
      </c>
    </row>
    <row r="282" spans="2:13" ht="37.5" customHeight="1" x14ac:dyDescent="0.35">
      <c r="B282" s="12">
        <v>21</v>
      </c>
      <c r="C282" s="7" t="s">
        <v>5452</v>
      </c>
      <c r="D282" s="12">
        <v>2</v>
      </c>
      <c r="E282" s="7" t="s">
        <v>5455</v>
      </c>
      <c r="F282" s="7" t="s">
        <v>5456</v>
      </c>
      <c r="G282" s="7" t="s">
        <v>1589</v>
      </c>
      <c r="H282" s="7" t="s">
        <v>41</v>
      </c>
      <c r="I282" s="7" t="s">
        <v>49</v>
      </c>
      <c r="J282" s="7" t="s">
        <v>5457</v>
      </c>
      <c r="K282" s="7" t="s">
        <v>5458</v>
      </c>
      <c r="L282" s="12">
        <v>2</v>
      </c>
      <c r="M282" s="7" t="s">
        <v>173</v>
      </c>
    </row>
    <row r="283" spans="2:13" ht="97.5" customHeight="1" x14ac:dyDescent="0.35">
      <c r="B283" s="11">
        <v>22</v>
      </c>
      <c r="C283" s="5" t="s">
        <v>5459</v>
      </c>
      <c r="D283" s="11">
        <v>1</v>
      </c>
      <c r="E283" s="5" t="s">
        <v>5460</v>
      </c>
      <c r="F283" s="5" t="s">
        <v>5461</v>
      </c>
      <c r="G283" s="5" t="s">
        <v>151</v>
      </c>
      <c r="H283" s="5" t="s">
        <v>5462</v>
      </c>
      <c r="I283" s="5" t="s">
        <v>5463</v>
      </c>
      <c r="J283" s="5" t="s">
        <v>5464</v>
      </c>
      <c r="K283" s="5" t="s">
        <v>5465</v>
      </c>
      <c r="L283" s="11">
        <v>6</v>
      </c>
      <c r="M283" s="5" t="s">
        <v>173</v>
      </c>
    </row>
    <row r="284" spans="2:13" ht="37.5" customHeight="1" x14ac:dyDescent="0.35">
      <c r="B284" s="12">
        <v>22</v>
      </c>
      <c r="C284" s="7" t="s">
        <v>5459</v>
      </c>
      <c r="D284" s="12">
        <v>2</v>
      </c>
      <c r="E284" s="7" t="s">
        <v>5466</v>
      </c>
      <c r="F284" s="7" t="s">
        <v>5467</v>
      </c>
      <c r="G284" s="7" t="s">
        <v>1235</v>
      </c>
      <c r="H284" s="7" t="s">
        <v>37</v>
      </c>
      <c r="I284" s="7" t="s">
        <v>193</v>
      </c>
      <c r="J284" s="7" t="s">
        <v>177</v>
      </c>
      <c r="K284" s="7" t="s">
        <v>199</v>
      </c>
      <c r="L284" s="12">
        <v>1</v>
      </c>
      <c r="M284" s="7" t="s">
        <v>173</v>
      </c>
    </row>
    <row r="285" spans="2:13" ht="52.5" customHeight="1" x14ac:dyDescent="0.35">
      <c r="B285" s="11">
        <v>22</v>
      </c>
      <c r="C285" s="5" t="s">
        <v>5459</v>
      </c>
      <c r="D285" s="11">
        <v>3</v>
      </c>
      <c r="E285" s="5" t="s">
        <v>5468</v>
      </c>
      <c r="F285" s="5" t="s">
        <v>5469</v>
      </c>
      <c r="G285" s="5" t="s">
        <v>30</v>
      </c>
      <c r="H285" s="5" t="s">
        <v>5470</v>
      </c>
      <c r="I285" s="5" t="s">
        <v>5471</v>
      </c>
      <c r="J285" s="5" t="s">
        <v>5472</v>
      </c>
      <c r="K285" s="5" t="s">
        <v>5473</v>
      </c>
      <c r="L285" s="11">
        <v>3</v>
      </c>
      <c r="M285" s="5" t="s">
        <v>173</v>
      </c>
    </row>
    <row r="286" spans="2:13" ht="21.75" customHeight="1" x14ac:dyDescent="0.35">
      <c r="B286" s="12">
        <v>22</v>
      </c>
      <c r="C286" s="7" t="s">
        <v>5459</v>
      </c>
      <c r="D286" s="12">
        <v>4</v>
      </c>
      <c r="E286" s="7" t="s">
        <v>5474</v>
      </c>
      <c r="F286" s="7" t="s">
        <v>5475</v>
      </c>
      <c r="G286" s="7" t="s">
        <v>5476</v>
      </c>
      <c r="H286" s="7" t="s">
        <v>37</v>
      </c>
      <c r="I286" s="7" t="s">
        <v>51</v>
      </c>
      <c r="J286" s="7" t="s">
        <v>194</v>
      </c>
      <c r="K286" s="7" t="s">
        <v>5169</v>
      </c>
      <c r="L286" s="12">
        <v>1</v>
      </c>
      <c r="M286" s="7" t="s">
        <v>173</v>
      </c>
    </row>
    <row r="287" spans="2:13" ht="21.75" customHeight="1" x14ac:dyDescent="0.35">
      <c r="B287" s="11">
        <v>22</v>
      </c>
      <c r="C287" s="5" t="s">
        <v>5459</v>
      </c>
      <c r="D287" s="11">
        <v>5</v>
      </c>
      <c r="E287" s="5" t="s">
        <v>5477</v>
      </c>
      <c r="F287" s="5" t="s">
        <v>5478</v>
      </c>
      <c r="G287" s="5" t="s">
        <v>1961</v>
      </c>
      <c r="H287" s="5" t="s">
        <v>37</v>
      </c>
      <c r="I287" s="5" t="s">
        <v>193</v>
      </c>
      <c r="J287" s="5" t="s">
        <v>177</v>
      </c>
      <c r="K287" s="5" t="s">
        <v>199</v>
      </c>
      <c r="L287" s="11">
        <v>1</v>
      </c>
      <c r="M287" s="5" t="s">
        <v>173</v>
      </c>
    </row>
    <row r="288" spans="2:13" ht="21.75" customHeight="1" x14ac:dyDescent="0.35">
      <c r="B288" s="12">
        <v>22</v>
      </c>
      <c r="C288" s="7" t="s">
        <v>5459</v>
      </c>
      <c r="D288" s="12">
        <v>6</v>
      </c>
      <c r="E288" s="7" t="s">
        <v>5479</v>
      </c>
      <c r="F288" s="7" t="s">
        <v>5480</v>
      </c>
      <c r="G288" s="7" t="s">
        <v>1603</v>
      </c>
      <c r="H288" s="7" t="s">
        <v>40</v>
      </c>
      <c r="I288" s="7" t="s">
        <v>54</v>
      </c>
      <c r="J288" s="7" t="s">
        <v>213</v>
      </c>
      <c r="K288" s="7" t="s">
        <v>254</v>
      </c>
      <c r="L288" s="12">
        <v>1</v>
      </c>
      <c r="M288" s="7" t="s">
        <v>173</v>
      </c>
    </row>
    <row r="289" spans="2:13" ht="37.5" customHeight="1" x14ac:dyDescent="0.35">
      <c r="B289" s="11">
        <v>22</v>
      </c>
      <c r="C289" s="5" t="s">
        <v>5459</v>
      </c>
      <c r="D289" s="11">
        <v>7</v>
      </c>
      <c r="E289" s="5" t="s">
        <v>5481</v>
      </c>
      <c r="F289" s="5" t="s">
        <v>5482</v>
      </c>
      <c r="G289" s="5" t="s">
        <v>742</v>
      </c>
      <c r="H289" s="5" t="s">
        <v>40</v>
      </c>
      <c r="I289" s="5" t="s">
        <v>54</v>
      </c>
      <c r="J289" s="5" t="s">
        <v>213</v>
      </c>
      <c r="K289" s="5" t="s">
        <v>254</v>
      </c>
      <c r="L289" s="11">
        <v>1</v>
      </c>
      <c r="M289" s="5" t="s">
        <v>173</v>
      </c>
    </row>
    <row r="290" spans="2:13" ht="52.5" customHeight="1" x14ac:dyDescent="0.35">
      <c r="B290" s="12">
        <v>23</v>
      </c>
      <c r="C290" s="7" t="s">
        <v>5483</v>
      </c>
      <c r="D290" s="12">
        <v>1</v>
      </c>
      <c r="E290" s="7" t="s">
        <v>5484</v>
      </c>
      <c r="F290" s="7" t="s">
        <v>5485</v>
      </c>
      <c r="G290" s="7" t="s">
        <v>151</v>
      </c>
      <c r="H290" s="7" t="s">
        <v>5486</v>
      </c>
      <c r="I290" s="7" t="s">
        <v>5487</v>
      </c>
      <c r="J290" s="7" t="s">
        <v>5180</v>
      </c>
      <c r="K290" s="7" t="s">
        <v>5488</v>
      </c>
      <c r="L290" s="12">
        <v>3</v>
      </c>
      <c r="M290" s="7" t="s">
        <v>173</v>
      </c>
    </row>
    <row r="291" spans="2:13" ht="37.5" customHeight="1" x14ac:dyDescent="0.35">
      <c r="B291" s="11">
        <v>24</v>
      </c>
      <c r="C291" s="5" t="s">
        <v>5489</v>
      </c>
      <c r="D291" s="11">
        <v>1</v>
      </c>
      <c r="E291" s="5" t="s">
        <v>5490</v>
      </c>
      <c r="F291" s="5" t="s">
        <v>5491</v>
      </c>
      <c r="G291" s="5" t="s">
        <v>1720</v>
      </c>
      <c r="H291" s="5" t="s">
        <v>40</v>
      </c>
      <c r="I291" s="5" t="s">
        <v>54</v>
      </c>
      <c r="J291" s="5" t="s">
        <v>213</v>
      </c>
      <c r="K291" s="5" t="s">
        <v>254</v>
      </c>
      <c r="L291" s="11">
        <v>1</v>
      </c>
      <c r="M291" s="5" t="s">
        <v>173</v>
      </c>
    </row>
    <row r="292" spans="2:13" ht="37.5" customHeight="1" x14ac:dyDescent="0.35">
      <c r="B292" s="12">
        <v>25</v>
      </c>
      <c r="C292" s="7" t="s">
        <v>5492</v>
      </c>
      <c r="D292" s="12">
        <v>1</v>
      </c>
      <c r="E292" s="7" t="s">
        <v>5493</v>
      </c>
      <c r="F292" s="7" t="s">
        <v>5494</v>
      </c>
      <c r="G292" s="7" t="s">
        <v>26</v>
      </c>
      <c r="H292" s="7" t="s">
        <v>39</v>
      </c>
      <c r="I292" s="7" t="s">
        <v>227</v>
      </c>
      <c r="J292" s="7" t="s">
        <v>5495</v>
      </c>
      <c r="K292" s="7" t="s">
        <v>5496</v>
      </c>
      <c r="L292" s="12">
        <v>1</v>
      </c>
      <c r="M292" s="7"/>
    </row>
    <row r="293" spans="2:13" ht="37.5" customHeight="1" x14ac:dyDescent="0.35">
      <c r="B293" s="11">
        <v>26</v>
      </c>
      <c r="C293" s="5" t="s">
        <v>5497</v>
      </c>
      <c r="D293" s="11">
        <v>1</v>
      </c>
      <c r="E293" s="5" t="s">
        <v>5498</v>
      </c>
      <c r="F293" s="5" t="s">
        <v>5499</v>
      </c>
      <c r="G293" s="5" t="s">
        <v>457</v>
      </c>
      <c r="H293" s="5" t="s">
        <v>37</v>
      </c>
      <c r="I293" s="5" t="s">
        <v>193</v>
      </c>
      <c r="J293" s="5" t="s">
        <v>5500</v>
      </c>
      <c r="K293" s="5" t="s">
        <v>5501</v>
      </c>
      <c r="L293" s="11">
        <v>1</v>
      </c>
      <c r="M293" s="5" t="s">
        <v>4518</v>
      </c>
    </row>
    <row r="294" spans="2:13" ht="37.5" customHeight="1" x14ac:dyDescent="0.35">
      <c r="B294" s="12">
        <v>27</v>
      </c>
      <c r="C294" s="7" t="s">
        <v>5502</v>
      </c>
      <c r="D294" s="12">
        <v>1</v>
      </c>
      <c r="E294" s="7" t="s">
        <v>5503</v>
      </c>
      <c r="F294" s="7" t="s">
        <v>5504</v>
      </c>
      <c r="G294" s="7" t="s">
        <v>185</v>
      </c>
      <c r="H294" s="7" t="s">
        <v>44</v>
      </c>
      <c r="I294" s="7" t="s">
        <v>49</v>
      </c>
      <c r="J294" s="7" t="s">
        <v>5505</v>
      </c>
      <c r="K294" s="7" t="s">
        <v>5506</v>
      </c>
      <c r="L294" s="12">
        <v>1</v>
      </c>
      <c r="M294" s="7" t="s">
        <v>5507</v>
      </c>
    </row>
    <row r="295" spans="2:13" ht="37.5" customHeight="1" x14ac:dyDescent="0.35">
      <c r="B295" s="11">
        <v>27</v>
      </c>
      <c r="C295" s="5" t="s">
        <v>5502</v>
      </c>
      <c r="D295" s="11">
        <v>2</v>
      </c>
      <c r="E295" s="5" t="s">
        <v>5508</v>
      </c>
      <c r="F295" s="5" t="s">
        <v>5509</v>
      </c>
      <c r="G295" s="5" t="s">
        <v>573</v>
      </c>
      <c r="H295" s="5" t="s">
        <v>42</v>
      </c>
      <c r="I295" s="5" t="s">
        <v>5023</v>
      </c>
      <c r="J295" s="5" t="s">
        <v>5510</v>
      </c>
      <c r="K295" s="5" t="s">
        <v>5511</v>
      </c>
      <c r="L295" s="11">
        <v>1</v>
      </c>
      <c r="M295" s="5" t="s">
        <v>5507</v>
      </c>
    </row>
    <row r="296" spans="2:13" ht="37.5" customHeight="1" x14ac:dyDescent="0.35">
      <c r="B296" s="12">
        <v>27</v>
      </c>
      <c r="C296" s="7" t="s">
        <v>5502</v>
      </c>
      <c r="D296" s="12">
        <v>3</v>
      </c>
      <c r="E296" s="7" t="s">
        <v>5512</v>
      </c>
      <c r="F296" s="7" t="s">
        <v>5513</v>
      </c>
      <c r="G296" s="7" t="s">
        <v>439</v>
      </c>
      <c r="H296" s="7" t="s">
        <v>36</v>
      </c>
      <c r="I296" s="7" t="s">
        <v>48</v>
      </c>
      <c r="J296" s="7" t="s">
        <v>2617</v>
      </c>
      <c r="K296" s="7" t="s">
        <v>5514</v>
      </c>
      <c r="L296" s="12">
        <v>1</v>
      </c>
      <c r="M296" s="7" t="s">
        <v>5507</v>
      </c>
    </row>
    <row r="297" spans="2:13" ht="21.75" customHeight="1" x14ac:dyDescent="0.35">
      <c r="B297" s="11">
        <v>27</v>
      </c>
      <c r="C297" s="5" t="s">
        <v>5502</v>
      </c>
      <c r="D297" s="11">
        <v>4</v>
      </c>
      <c r="E297" s="5" t="s">
        <v>5515</v>
      </c>
      <c r="F297" s="5" t="s">
        <v>5516</v>
      </c>
      <c r="G297" s="5" t="s">
        <v>531</v>
      </c>
      <c r="H297" s="5" t="s">
        <v>37</v>
      </c>
      <c r="I297" s="5" t="s">
        <v>51</v>
      </c>
      <c r="J297" s="5" t="s">
        <v>177</v>
      </c>
      <c r="K297" s="5" t="s">
        <v>5517</v>
      </c>
      <c r="L297" s="11">
        <v>1</v>
      </c>
      <c r="M297" s="5" t="s">
        <v>5507</v>
      </c>
    </row>
    <row r="298" spans="2:13" ht="37.5" customHeight="1" x14ac:dyDescent="0.35">
      <c r="B298" s="12">
        <v>27</v>
      </c>
      <c r="C298" s="7" t="s">
        <v>5502</v>
      </c>
      <c r="D298" s="12">
        <v>5</v>
      </c>
      <c r="E298" s="7" t="s">
        <v>5518</v>
      </c>
      <c r="F298" s="7" t="s">
        <v>5519</v>
      </c>
      <c r="G298" s="7" t="s">
        <v>29</v>
      </c>
      <c r="H298" s="7" t="s">
        <v>306</v>
      </c>
      <c r="I298" s="7" t="s">
        <v>5143</v>
      </c>
      <c r="J298" s="7" t="s">
        <v>5520</v>
      </c>
      <c r="K298" s="7" t="s">
        <v>5521</v>
      </c>
      <c r="L298" s="12">
        <v>2</v>
      </c>
      <c r="M298" s="7" t="s">
        <v>5507</v>
      </c>
    </row>
    <row r="299" spans="2:13" ht="21.75" customHeight="1" x14ac:dyDescent="0.35">
      <c r="B299" s="11">
        <v>27</v>
      </c>
      <c r="C299" s="5" t="s">
        <v>5502</v>
      </c>
      <c r="D299" s="11">
        <v>6</v>
      </c>
      <c r="E299" s="5" t="s">
        <v>5522</v>
      </c>
      <c r="F299" s="5" t="s">
        <v>5523</v>
      </c>
      <c r="G299" s="5" t="s">
        <v>1667</v>
      </c>
      <c r="H299" s="5" t="s">
        <v>44</v>
      </c>
      <c r="I299" s="5" t="s">
        <v>49</v>
      </c>
      <c r="J299" s="5" t="s">
        <v>233</v>
      </c>
      <c r="K299" s="5" t="s">
        <v>5524</v>
      </c>
      <c r="L299" s="11">
        <v>1</v>
      </c>
      <c r="M299" s="5" t="s">
        <v>5507</v>
      </c>
    </row>
    <row r="300" spans="2:13" ht="37.5" customHeight="1" x14ac:dyDescent="0.35">
      <c r="B300" s="12">
        <v>27</v>
      </c>
      <c r="C300" s="7" t="s">
        <v>5502</v>
      </c>
      <c r="D300" s="12">
        <v>7</v>
      </c>
      <c r="E300" s="7" t="s">
        <v>5525</v>
      </c>
      <c r="F300" s="7" t="s">
        <v>5526</v>
      </c>
      <c r="G300" s="7" t="s">
        <v>3283</v>
      </c>
      <c r="H300" s="7" t="s">
        <v>36</v>
      </c>
      <c r="I300" s="7" t="s">
        <v>48</v>
      </c>
      <c r="J300" s="7" t="s">
        <v>194</v>
      </c>
      <c r="K300" s="7" t="s">
        <v>5527</v>
      </c>
      <c r="L300" s="12">
        <v>1</v>
      </c>
      <c r="M300" s="7" t="s">
        <v>5507</v>
      </c>
    </row>
    <row r="301" spans="2:13" ht="37.5" customHeight="1" x14ac:dyDescent="0.35">
      <c r="B301" s="11">
        <v>28</v>
      </c>
      <c r="C301" s="5" t="s">
        <v>5528</v>
      </c>
      <c r="D301" s="11">
        <v>1</v>
      </c>
      <c r="E301" s="5" t="s">
        <v>5529</v>
      </c>
      <c r="F301" s="5" t="s">
        <v>5530</v>
      </c>
      <c r="G301" s="5" t="s">
        <v>26</v>
      </c>
      <c r="H301" s="5" t="s">
        <v>36</v>
      </c>
      <c r="I301" s="5" t="s">
        <v>5253</v>
      </c>
      <c r="J301" s="5" t="s">
        <v>5531</v>
      </c>
      <c r="K301" s="5" t="s">
        <v>5532</v>
      </c>
      <c r="L301" s="11">
        <v>1</v>
      </c>
      <c r="M301" s="5" t="s">
        <v>5507</v>
      </c>
    </row>
    <row r="302" spans="2:13" ht="37.5" customHeight="1" x14ac:dyDescent="0.35">
      <c r="B302" s="12">
        <v>29</v>
      </c>
      <c r="C302" s="7" t="s">
        <v>5533</v>
      </c>
      <c r="D302" s="12">
        <v>1</v>
      </c>
      <c r="E302" s="7" t="s">
        <v>5534</v>
      </c>
      <c r="F302" s="7" t="s">
        <v>5535</v>
      </c>
      <c r="G302" s="7" t="s">
        <v>27</v>
      </c>
      <c r="H302" s="7" t="s">
        <v>4662</v>
      </c>
      <c r="I302" s="7" t="s">
        <v>5536</v>
      </c>
      <c r="J302" s="7" t="s">
        <v>5537</v>
      </c>
      <c r="K302" s="7" t="s">
        <v>5538</v>
      </c>
      <c r="L302" s="12">
        <v>2</v>
      </c>
      <c r="M302" s="7" t="s">
        <v>5539</v>
      </c>
    </row>
    <row r="303" spans="2:13" ht="37.5" customHeight="1" x14ac:dyDescent="0.35">
      <c r="B303" s="11">
        <v>30</v>
      </c>
      <c r="C303" s="5" t="s">
        <v>5540</v>
      </c>
      <c r="D303" s="11">
        <v>1</v>
      </c>
      <c r="E303" s="5" t="s">
        <v>5541</v>
      </c>
      <c r="F303" s="5" t="s">
        <v>5542</v>
      </c>
      <c r="G303" s="5" t="s">
        <v>5543</v>
      </c>
      <c r="H303" s="5" t="s">
        <v>36</v>
      </c>
      <c r="I303" s="5" t="s">
        <v>48</v>
      </c>
      <c r="J303" s="5"/>
      <c r="K303" s="5" t="s">
        <v>5544</v>
      </c>
      <c r="L303" s="11">
        <v>1</v>
      </c>
      <c r="M303" s="5" t="s">
        <v>5507</v>
      </c>
    </row>
    <row r="304" spans="2:13" ht="37.5" customHeight="1" x14ac:dyDescent="0.35">
      <c r="B304" s="12">
        <v>31</v>
      </c>
      <c r="C304" s="7" t="s">
        <v>5545</v>
      </c>
      <c r="D304" s="12">
        <v>1</v>
      </c>
      <c r="E304" s="7" t="s">
        <v>5546</v>
      </c>
      <c r="F304" s="7" t="s">
        <v>5547</v>
      </c>
      <c r="G304" s="7" t="s">
        <v>4680</v>
      </c>
      <c r="H304" s="7" t="s">
        <v>36</v>
      </c>
      <c r="I304" s="7" t="s">
        <v>48</v>
      </c>
      <c r="J304" s="7" t="s">
        <v>5548</v>
      </c>
      <c r="K304" s="7" t="s">
        <v>5549</v>
      </c>
      <c r="L304" s="12">
        <v>1</v>
      </c>
      <c r="M304" s="7" t="s">
        <v>5539</v>
      </c>
    </row>
    <row r="305" spans="2:13" ht="82.5" customHeight="1" x14ac:dyDescent="0.35">
      <c r="B305" s="11">
        <v>32</v>
      </c>
      <c r="C305" s="5" t="s">
        <v>5550</v>
      </c>
      <c r="D305" s="11">
        <v>1</v>
      </c>
      <c r="E305" s="5" t="s">
        <v>5551</v>
      </c>
      <c r="F305" s="5" t="s">
        <v>5552</v>
      </c>
      <c r="G305" s="5" t="s">
        <v>1294</v>
      </c>
      <c r="H305" s="5" t="s">
        <v>5553</v>
      </c>
      <c r="I305" s="5" t="s">
        <v>5554</v>
      </c>
      <c r="J305" s="5" t="s">
        <v>5555</v>
      </c>
      <c r="K305" s="5" t="s">
        <v>5556</v>
      </c>
      <c r="L305" s="11">
        <v>5</v>
      </c>
      <c r="M305" s="5" t="s">
        <v>156</v>
      </c>
    </row>
    <row r="306" spans="2:13" ht="21.75" customHeight="1" x14ac:dyDescent="0.35">
      <c r="B306" s="12">
        <v>32</v>
      </c>
      <c r="C306" s="7" t="s">
        <v>5550</v>
      </c>
      <c r="D306" s="12">
        <v>2</v>
      </c>
      <c r="E306" s="7" t="s">
        <v>5557</v>
      </c>
      <c r="F306" s="7" t="s">
        <v>5558</v>
      </c>
      <c r="G306" s="7" t="s">
        <v>29</v>
      </c>
      <c r="H306" s="7" t="s">
        <v>37</v>
      </c>
      <c r="I306" s="7" t="s">
        <v>5559</v>
      </c>
      <c r="J306" s="7" t="s">
        <v>5560</v>
      </c>
      <c r="K306" s="7" t="s">
        <v>5561</v>
      </c>
      <c r="L306" s="12">
        <v>1</v>
      </c>
      <c r="M306" s="7" t="s">
        <v>156</v>
      </c>
    </row>
    <row r="307" spans="2:13" ht="127.5" customHeight="1" x14ac:dyDescent="0.35">
      <c r="B307" s="11">
        <v>33</v>
      </c>
      <c r="C307" s="5" t="s">
        <v>5562</v>
      </c>
      <c r="D307" s="11">
        <v>1</v>
      </c>
      <c r="E307" s="5" t="s">
        <v>5563</v>
      </c>
      <c r="F307" s="5" t="s">
        <v>5564</v>
      </c>
      <c r="G307" s="5" t="s">
        <v>2919</v>
      </c>
      <c r="H307" s="5" t="s">
        <v>5565</v>
      </c>
      <c r="I307" s="5" t="s">
        <v>5566</v>
      </c>
      <c r="J307" s="5" t="s">
        <v>5567</v>
      </c>
      <c r="K307" s="5" t="s">
        <v>5568</v>
      </c>
      <c r="L307" s="11">
        <v>4</v>
      </c>
      <c r="M307" s="5" t="s">
        <v>5539</v>
      </c>
    </row>
    <row r="308" spans="2:13" ht="52.5" customHeight="1" x14ac:dyDescent="0.35">
      <c r="B308" s="12">
        <v>33</v>
      </c>
      <c r="C308" s="7" t="s">
        <v>5562</v>
      </c>
      <c r="D308" s="12">
        <v>2</v>
      </c>
      <c r="E308" s="7" t="s">
        <v>5569</v>
      </c>
      <c r="F308" s="7" t="s">
        <v>5570</v>
      </c>
      <c r="G308" s="7" t="s">
        <v>30</v>
      </c>
      <c r="H308" s="7" t="s">
        <v>5571</v>
      </c>
      <c r="I308" s="7" t="s">
        <v>5572</v>
      </c>
      <c r="J308" s="7" t="s">
        <v>5573</v>
      </c>
      <c r="K308" s="7" t="s">
        <v>5574</v>
      </c>
      <c r="L308" s="12">
        <v>3</v>
      </c>
      <c r="M308" s="7" t="s">
        <v>5539</v>
      </c>
    </row>
    <row r="309" spans="2:13" ht="52.5" customHeight="1" x14ac:dyDescent="0.35">
      <c r="B309" s="11">
        <v>33</v>
      </c>
      <c r="C309" s="5" t="s">
        <v>5562</v>
      </c>
      <c r="D309" s="11">
        <v>3</v>
      </c>
      <c r="E309" s="5" t="s">
        <v>5575</v>
      </c>
      <c r="F309" s="5" t="s">
        <v>5576</v>
      </c>
      <c r="G309" s="5" t="s">
        <v>1164</v>
      </c>
      <c r="H309" s="5" t="s">
        <v>5577</v>
      </c>
      <c r="I309" s="5" t="s">
        <v>5578</v>
      </c>
      <c r="J309" s="5" t="s">
        <v>5579</v>
      </c>
      <c r="K309" s="5" t="s">
        <v>5580</v>
      </c>
      <c r="L309" s="11">
        <v>3</v>
      </c>
      <c r="M309" s="5" t="s">
        <v>5539</v>
      </c>
    </row>
    <row r="310" spans="2:13" ht="37.5" customHeight="1" x14ac:dyDescent="0.35">
      <c r="B310" s="12">
        <v>33</v>
      </c>
      <c r="C310" s="7" t="s">
        <v>5562</v>
      </c>
      <c r="D310" s="12">
        <v>4</v>
      </c>
      <c r="E310" s="7" t="s">
        <v>5581</v>
      </c>
      <c r="F310" s="7" t="s">
        <v>5582</v>
      </c>
      <c r="G310" s="7" t="s">
        <v>566</v>
      </c>
      <c r="H310" s="7" t="s">
        <v>4752</v>
      </c>
      <c r="I310" s="7" t="s">
        <v>5583</v>
      </c>
      <c r="J310" s="7" t="s">
        <v>5584</v>
      </c>
      <c r="K310" s="7" t="s">
        <v>5585</v>
      </c>
      <c r="L310" s="12">
        <v>2</v>
      </c>
      <c r="M310" s="7" t="s">
        <v>5539</v>
      </c>
    </row>
    <row r="311" spans="2:13" ht="37.5" customHeight="1" x14ac:dyDescent="0.35">
      <c r="B311" s="11">
        <v>33</v>
      </c>
      <c r="C311" s="5" t="s">
        <v>5562</v>
      </c>
      <c r="D311" s="11">
        <v>5</v>
      </c>
      <c r="E311" s="5" t="s">
        <v>5586</v>
      </c>
      <c r="F311" s="5" t="s">
        <v>5587</v>
      </c>
      <c r="G311" s="5" t="s">
        <v>1513</v>
      </c>
      <c r="H311" s="5" t="s">
        <v>36</v>
      </c>
      <c r="I311" s="5" t="s">
        <v>48</v>
      </c>
      <c r="J311" s="5" t="s">
        <v>5588</v>
      </c>
      <c r="K311" s="5" t="s">
        <v>5589</v>
      </c>
      <c r="L311" s="11">
        <v>1</v>
      </c>
      <c r="M311" s="5" t="s">
        <v>5539</v>
      </c>
    </row>
    <row r="312" spans="2:13" ht="52.5" customHeight="1" x14ac:dyDescent="0.35">
      <c r="B312" s="12">
        <v>33</v>
      </c>
      <c r="C312" s="7" t="s">
        <v>5562</v>
      </c>
      <c r="D312" s="12">
        <v>6</v>
      </c>
      <c r="E312" s="7" t="s">
        <v>5590</v>
      </c>
      <c r="F312" s="7" t="s">
        <v>5591</v>
      </c>
      <c r="G312" s="7" t="s">
        <v>5592</v>
      </c>
      <c r="H312" s="7" t="s">
        <v>1521</v>
      </c>
      <c r="I312" s="7" t="s">
        <v>5593</v>
      </c>
      <c r="J312" s="7" t="s">
        <v>5594</v>
      </c>
      <c r="K312" s="7" t="s">
        <v>5595</v>
      </c>
      <c r="L312" s="12">
        <v>3</v>
      </c>
      <c r="M312" s="7" t="s">
        <v>5539</v>
      </c>
    </row>
    <row r="313" spans="2:13" ht="37.5" customHeight="1" x14ac:dyDescent="0.35">
      <c r="B313" s="11">
        <v>33</v>
      </c>
      <c r="C313" s="5" t="s">
        <v>5562</v>
      </c>
      <c r="D313" s="11">
        <v>7</v>
      </c>
      <c r="E313" s="5" t="s">
        <v>5596</v>
      </c>
      <c r="F313" s="5" t="s">
        <v>5597</v>
      </c>
      <c r="G313" s="5" t="s">
        <v>648</v>
      </c>
      <c r="H313" s="5" t="s">
        <v>359</v>
      </c>
      <c r="I313" s="5" t="s">
        <v>51</v>
      </c>
      <c r="J313" s="5" t="s">
        <v>663</v>
      </c>
      <c r="K313" s="5" t="s">
        <v>5598</v>
      </c>
      <c r="L313" s="11">
        <v>2</v>
      </c>
      <c r="M313" s="5" t="s">
        <v>5539</v>
      </c>
    </row>
    <row r="314" spans="2:13" ht="37.5" customHeight="1" x14ac:dyDescent="0.35">
      <c r="B314" s="12">
        <v>33</v>
      </c>
      <c r="C314" s="7" t="s">
        <v>5562</v>
      </c>
      <c r="D314" s="12">
        <v>8</v>
      </c>
      <c r="E314" s="7" t="s">
        <v>5599</v>
      </c>
      <c r="F314" s="7" t="s">
        <v>5600</v>
      </c>
      <c r="G314" s="7" t="s">
        <v>33</v>
      </c>
      <c r="H314" s="7" t="s">
        <v>36</v>
      </c>
      <c r="I314" s="7" t="s">
        <v>48</v>
      </c>
      <c r="J314" s="7" t="s">
        <v>5588</v>
      </c>
      <c r="K314" s="7" t="s">
        <v>5589</v>
      </c>
      <c r="L314" s="12">
        <v>1</v>
      </c>
      <c r="M314" s="7" t="s">
        <v>5539</v>
      </c>
    </row>
    <row r="315" spans="2:13" ht="37.5" customHeight="1" x14ac:dyDescent="0.35">
      <c r="B315" s="11">
        <v>33</v>
      </c>
      <c r="C315" s="5" t="s">
        <v>5562</v>
      </c>
      <c r="D315" s="11">
        <v>9</v>
      </c>
      <c r="E315" s="5" t="s">
        <v>5601</v>
      </c>
      <c r="F315" s="5" t="s">
        <v>5602</v>
      </c>
      <c r="G315" s="5" t="s">
        <v>552</v>
      </c>
      <c r="H315" s="5" t="s">
        <v>36</v>
      </c>
      <c r="I315" s="5" t="s">
        <v>48</v>
      </c>
      <c r="J315" s="5" t="s">
        <v>5588</v>
      </c>
      <c r="K315" s="5" t="s">
        <v>5589</v>
      </c>
      <c r="L315" s="11">
        <v>1</v>
      </c>
      <c r="M315" s="5" t="s">
        <v>5539</v>
      </c>
    </row>
    <row r="316" spans="2:13" ht="37.5" customHeight="1" x14ac:dyDescent="0.35">
      <c r="B316" s="12">
        <v>33</v>
      </c>
      <c r="C316" s="7" t="s">
        <v>5562</v>
      </c>
      <c r="D316" s="12">
        <v>10</v>
      </c>
      <c r="E316" s="7" t="s">
        <v>5603</v>
      </c>
      <c r="F316" s="7" t="s">
        <v>5604</v>
      </c>
      <c r="G316" s="7" t="s">
        <v>282</v>
      </c>
      <c r="H316" s="7" t="s">
        <v>36</v>
      </c>
      <c r="I316" s="7" t="s">
        <v>1885</v>
      </c>
      <c r="J316" s="7" t="s">
        <v>5605</v>
      </c>
      <c r="K316" s="7" t="s">
        <v>5606</v>
      </c>
      <c r="L316" s="12">
        <v>1</v>
      </c>
      <c r="M316" s="7" t="s">
        <v>5539</v>
      </c>
    </row>
    <row r="317" spans="2:13" ht="37.5" customHeight="1" x14ac:dyDescent="0.35">
      <c r="B317" s="11">
        <v>33</v>
      </c>
      <c r="C317" s="5" t="s">
        <v>5562</v>
      </c>
      <c r="D317" s="11">
        <v>11</v>
      </c>
      <c r="E317" s="5" t="s">
        <v>5607</v>
      </c>
      <c r="F317" s="5" t="s">
        <v>5608</v>
      </c>
      <c r="G317" s="5" t="s">
        <v>678</v>
      </c>
      <c r="H317" s="5" t="s">
        <v>36</v>
      </c>
      <c r="I317" s="5" t="s">
        <v>48</v>
      </c>
      <c r="J317" s="5" t="s">
        <v>5588</v>
      </c>
      <c r="K317" s="5" t="s">
        <v>5589</v>
      </c>
      <c r="L317" s="11">
        <v>1</v>
      </c>
      <c r="M317" s="5" t="s">
        <v>5539</v>
      </c>
    </row>
    <row r="318" spans="2:13" ht="21.75" customHeight="1" x14ac:dyDescent="0.35">
      <c r="B318" s="12">
        <v>33</v>
      </c>
      <c r="C318" s="7" t="s">
        <v>5562</v>
      </c>
      <c r="D318" s="12">
        <v>12</v>
      </c>
      <c r="E318" s="7" t="s">
        <v>5609</v>
      </c>
      <c r="F318" s="7" t="s">
        <v>5610</v>
      </c>
      <c r="G318" s="7" t="s">
        <v>608</v>
      </c>
      <c r="H318" s="7" t="s">
        <v>37</v>
      </c>
      <c r="I318" s="7" t="s">
        <v>51</v>
      </c>
      <c r="J318" s="7" t="s">
        <v>663</v>
      </c>
      <c r="K318" s="7" t="s">
        <v>5611</v>
      </c>
      <c r="L318" s="12">
        <v>1</v>
      </c>
      <c r="M318" s="7" t="s">
        <v>5539</v>
      </c>
    </row>
    <row r="319" spans="2:13" ht="21.75" customHeight="1" x14ac:dyDescent="0.35">
      <c r="B319" s="11">
        <v>33</v>
      </c>
      <c r="C319" s="5" t="s">
        <v>5562</v>
      </c>
      <c r="D319" s="11">
        <v>13</v>
      </c>
      <c r="E319" s="5" t="s">
        <v>5612</v>
      </c>
      <c r="F319" s="5" t="s">
        <v>5613</v>
      </c>
      <c r="G319" s="5" t="s">
        <v>927</v>
      </c>
      <c r="H319" s="5" t="s">
        <v>37</v>
      </c>
      <c r="I319" s="5" t="s">
        <v>51</v>
      </c>
      <c r="J319" s="5" t="s">
        <v>663</v>
      </c>
      <c r="K319" s="5" t="s">
        <v>5611</v>
      </c>
      <c r="L319" s="11">
        <v>1</v>
      </c>
      <c r="M319" s="5" t="s">
        <v>5539</v>
      </c>
    </row>
    <row r="320" spans="2:13" ht="37.5" customHeight="1" x14ac:dyDescent="0.35">
      <c r="B320" s="12">
        <v>33</v>
      </c>
      <c r="C320" s="7" t="s">
        <v>5562</v>
      </c>
      <c r="D320" s="12">
        <v>14</v>
      </c>
      <c r="E320" s="7" t="s">
        <v>5614</v>
      </c>
      <c r="F320" s="7" t="s">
        <v>5615</v>
      </c>
      <c r="G320" s="7" t="s">
        <v>28</v>
      </c>
      <c r="H320" s="7" t="s">
        <v>4393</v>
      </c>
      <c r="I320" s="7" t="s">
        <v>5387</v>
      </c>
      <c r="J320" s="7" t="s">
        <v>5616</v>
      </c>
      <c r="K320" s="7" t="s">
        <v>5617</v>
      </c>
      <c r="L320" s="12">
        <v>2</v>
      </c>
      <c r="M320" s="7" t="s">
        <v>5539</v>
      </c>
    </row>
    <row r="321" spans="2:13" ht="37.5" customHeight="1" x14ac:dyDescent="0.35">
      <c r="B321" s="11">
        <v>33</v>
      </c>
      <c r="C321" s="5" t="s">
        <v>5562</v>
      </c>
      <c r="D321" s="11">
        <v>15</v>
      </c>
      <c r="E321" s="5" t="s">
        <v>5618</v>
      </c>
      <c r="F321" s="5" t="s">
        <v>5619</v>
      </c>
      <c r="G321" s="5" t="s">
        <v>24</v>
      </c>
      <c r="H321" s="5" t="s">
        <v>1521</v>
      </c>
      <c r="I321" s="5" t="s">
        <v>5310</v>
      </c>
      <c r="J321" s="5" t="s">
        <v>5620</v>
      </c>
      <c r="K321" s="5" t="s">
        <v>5621</v>
      </c>
      <c r="L321" s="11">
        <v>2</v>
      </c>
      <c r="M321" s="5" t="s">
        <v>5539</v>
      </c>
    </row>
    <row r="322" spans="2:13" ht="52.5" customHeight="1" x14ac:dyDescent="0.35">
      <c r="B322" s="12">
        <v>33</v>
      </c>
      <c r="C322" s="7" t="s">
        <v>5562</v>
      </c>
      <c r="D322" s="12">
        <v>16</v>
      </c>
      <c r="E322" s="7" t="s">
        <v>5622</v>
      </c>
      <c r="F322" s="7" t="s">
        <v>5623</v>
      </c>
      <c r="G322" s="7" t="s">
        <v>541</v>
      </c>
      <c r="H322" s="7" t="s">
        <v>5624</v>
      </c>
      <c r="I322" s="7" t="s">
        <v>5625</v>
      </c>
      <c r="J322" s="7" t="s">
        <v>5626</v>
      </c>
      <c r="K322" s="7" t="s">
        <v>5627</v>
      </c>
      <c r="L322" s="12">
        <v>3</v>
      </c>
      <c r="M322" s="7" t="s">
        <v>5539</v>
      </c>
    </row>
    <row r="323" spans="2:13" ht="21.75" customHeight="1" x14ac:dyDescent="0.35">
      <c r="B323" s="11">
        <v>33</v>
      </c>
      <c r="C323" s="5" t="s">
        <v>5562</v>
      </c>
      <c r="D323" s="11">
        <v>17</v>
      </c>
      <c r="E323" s="5" t="s">
        <v>5628</v>
      </c>
      <c r="F323" s="5" t="s">
        <v>5629</v>
      </c>
      <c r="G323" s="5" t="s">
        <v>212</v>
      </c>
      <c r="H323" s="5" t="s">
        <v>37</v>
      </c>
      <c r="I323" s="5" t="s">
        <v>51</v>
      </c>
      <c r="J323" s="5" t="s">
        <v>663</v>
      </c>
      <c r="K323" s="5" t="s">
        <v>5611</v>
      </c>
      <c r="L323" s="11">
        <v>1</v>
      </c>
      <c r="M323" s="5" t="s">
        <v>5539</v>
      </c>
    </row>
    <row r="324" spans="2:13" ht="37.5" customHeight="1" x14ac:dyDescent="0.35">
      <c r="B324" s="12">
        <v>33</v>
      </c>
      <c r="C324" s="7" t="s">
        <v>5562</v>
      </c>
      <c r="D324" s="12">
        <v>18</v>
      </c>
      <c r="E324" s="7" t="s">
        <v>5630</v>
      </c>
      <c r="F324" s="7" t="s">
        <v>5631</v>
      </c>
      <c r="G324" s="7" t="s">
        <v>402</v>
      </c>
      <c r="H324" s="7" t="s">
        <v>1521</v>
      </c>
      <c r="I324" s="7" t="s">
        <v>5294</v>
      </c>
      <c r="J324" s="7" t="s">
        <v>5620</v>
      </c>
      <c r="K324" s="7" t="s">
        <v>5632</v>
      </c>
      <c r="L324" s="12">
        <v>2</v>
      </c>
      <c r="M324" s="7" t="s">
        <v>5539</v>
      </c>
    </row>
    <row r="325" spans="2:13" ht="52.5" customHeight="1" x14ac:dyDescent="0.35">
      <c r="B325" s="11">
        <v>33</v>
      </c>
      <c r="C325" s="5" t="s">
        <v>5562</v>
      </c>
      <c r="D325" s="11">
        <v>19</v>
      </c>
      <c r="E325" s="5" t="s">
        <v>5633</v>
      </c>
      <c r="F325" s="5" t="s">
        <v>5634</v>
      </c>
      <c r="G325" s="5" t="s">
        <v>897</v>
      </c>
      <c r="H325" s="5" t="s">
        <v>5624</v>
      </c>
      <c r="I325" s="5" t="s">
        <v>5625</v>
      </c>
      <c r="J325" s="5" t="s">
        <v>5635</v>
      </c>
      <c r="K325" s="5" t="s">
        <v>5636</v>
      </c>
      <c r="L325" s="11">
        <v>3</v>
      </c>
      <c r="M325" s="5" t="s">
        <v>5539</v>
      </c>
    </row>
    <row r="326" spans="2:13" ht="37.5" customHeight="1" x14ac:dyDescent="0.35">
      <c r="B326" s="12">
        <v>33</v>
      </c>
      <c r="C326" s="7" t="s">
        <v>5562</v>
      </c>
      <c r="D326" s="12">
        <v>20</v>
      </c>
      <c r="E326" s="7" t="s">
        <v>5637</v>
      </c>
      <c r="F326" s="7" t="s">
        <v>5638</v>
      </c>
      <c r="G326" s="7" t="s">
        <v>573</v>
      </c>
      <c r="H326" s="7" t="s">
        <v>36</v>
      </c>
      <c r="I326" s="7" t="s">
        <v>48</v>
      </c>
      <c r="J326" s="7" t="s">
        <v>5588</v>
      </c>
      <c r="K326" s="7" t="s">
        <v>5589</v>
      </c>
      <c r="L326" s="12">
        <v>1</v>
      </c>
      <c r="M326" s="7" t="s">
        <v>5539</v>
      </c>
    </row>
    <row r="327" spans="2:13" ht="21.75" customHeight="1" x14ac:dyDescent="0.35">
      <c r="B327" s="11">
        <v>33</v>
      </c>
      <c r="C327" s="5" t="s">
        <v>5562</v>
      </c>
      <c r="D327" s="11">
        <v>21</v>
      </c>
      <c r="E327" s="5" t="s">
        <v>5639</v>
      </c>
      <c r="F327" s="5" t="s">
        <v>5640</v>
      </c>
      <c r="G327" s="5" t="s">
        <v>973</v>
      </c>
      <c r="H327" s="5" t="s">
        <v>37</v>
      </c>
      <c r="I327" s="5" t="s">
        <v>51</v>
      </c>
      <c r="J327" s="5" t="s">
        <v>4408</v>
      </c>
      <c r="K327" s="5" t="s">
        <v>5641</v>
      </c>
      <c r="L327" s="11">
        <v>1</v>
      </c>
      <c r="M327" s="5" t="s">
        <v>5539</v>
      </c>
    </row>
    <row r="328" spans="2:13" ht="37.5" customHeight="1" x14ac:dyDescent="0.35">
      <c r="B328" s="12">
        <v>33</v>
      </c>
      <c r="C328" s="7" t="s">
        <v>5562</v>
      </c>
      <c r="D328" s="12">
        <v>22</v>
      </c>
      <c r="E328" s="7" t="s">
        <v>5642</v>
      </c>
      <c r="F328" s="7" t="s">
        <v>5643</v>
      </c>
      <c r="G328" s="7" t="s">
        <v>5644</v>
      </c>
      <c r="H328" s="7" t="s">
        <v>4393</v>
      </c>
      <c r="I328" s="7" t="s">
        <v>5387</v>
      </c>
      <c r="J328" s="7" t="s">
        <v>5645</v>
      </c>
      <c r="K328" s="7" t="s">
        <v>5646</v>
      </c>
      <c r="L328" s="12">
        <v>2</v>
      </c>
      <c r="M328" s="7" t="s">
        <v>5539</v>
      </c>
    </row>
    <row r="329" spans="2:13" ht="37.5" customHeight="1" x14ac:dyDescent="0.35">
      <c r="B329" s="11">
        <v>33</v>
      </c>
      <c r="C329" s="5" t="s">
        <v>5562</v>
      </c>
      <c r="D329" s="11">
        <v>23</v>
      </c>
      <c r="E329" s="5" t="s">
        <v>5647</v>
      </c>
      <c r="F329" s="5" t="s">
        <v>5648</v>
      </c>
      <c r="G329" s="5" t="s">
        <v>742</v>
      </c>
      <c r="H329" s="5" t="s">
        <v>37</v>
      </c>
      <c r="I329" s="5" t="s">
        <v>51</v>
      </c>
      <c r="J329" s="5" t="s">
        <v>663</v>
      </c>
      <c r="K329" s="5" t="s">
        <v>5611</v>
      </c>
      <c r="L329" s="11">
        <v>1</v>
      </c>
      <c r="M329" s="5" t="s">
        <v>5539</v>
      </c>
    </row>
    <row r="330" spans="2:13" ht="21.75" customHeight="1" x14ac:dyDescent="0.35">
      <c r="B330" s="12">
        <v>33</v>
      </c>
      <c r="C330" s="7" t="s">
        <v>5562</v>
      </c>
      <c r="D330" s="12">
        <v>24</v>
      </c>
      <c r="E330" s="7" t="s">
        <v>5649</v>
      </c>
      <c r="F330" s="7" t="s">
        <v>5650</v>
      </c>
      <c r="G330" s="7" t="s">
        <v>1180</v>
      </c>
      <c r="H330" s="7" t="s">
        <v>36</v>
      </c>
      <c r="I330" s="7" t="s">
        <v>48</v>
      </c>
      <c r="J330" s="7" t="s">
        <v>5588</v>
      </c>
      <c r="K330" s="7" t="s">
        <v>5589</v>
      </c>
      <c r="L330" s="12">
        <v>1</v>
      </c>
      <c r="M330" s="7" t="s">
        <v>5539</v>
      </c>
    </row>
    <row r="331" spans="2:13" ht="37.5" customHeight="1" x14ac:dyDescent="0.35">
      <c r="B331" s="11">
        <v>33</v>
      </c>
      <c r="C331" s="5" t="s">
        <v>5562</v>
      </c>
      <c r="D331" s="11">
        <v>25</v>
      </c>
      <c r="E331" s="5" t="s">
        <v>5651</v>
      </c>
      <c r="F331" s="5" t="s">
        <v>5652</v>
      </c>
      <c r="G331" s="5" t="s">
        <v>439</v>
      </c>
      <c r="H331" s="5" t="s">
        <v>5202</v>
      </c>
      <c r="I331" s="5" t="s">
        <v>5653</v>
      </c>
      <c r="J331" s="5" t="s">
        <v>5654</v>
      </c>
      <c r="K331" s="5" t="s">
        <v>5655</v>
      </c>
      <c r="L331" s="11">
        <v>2</v>
      </c>
      <c r="M331" s="5" t="s">
        <v>5539</v>
      </c>
    </row>
    <row r="332" spans="2:13" ht="37.5" customHeight="1" x14ac:dyDescent="0.35">
      <c r="B332" s="12">
        <v>33</v>
      </c>
      <c r="C332" s="7" t="s">
        <v>5562</v>
      </c>
      <c r="D332" s="12">
        <v>26</v>
      </c>
      <c r="E332" s="7" t="s">
        <v>5656</v>
      </c>
      <c r="F332" s="7" t="s">
        <v>5165</v>
      </c>
      <c r="G332" s="7" t="s">
        <v>5657</v>
      </c>
      <c r="H332" s="7" t="s">
        <v>36</v>
      </c>
      <c r="I332" s="7" t="s">
        <v>48</v>
      </c>
      <c r="J332" s="7" t="s">
        <v>5588</v>
      </c>
      <c r="K332" s="7" t="s">
        <v>5589</v>
      </c>
      <c r="L332" s="12">
        <v>1</v>
      </c>
      <c r="M332" s="7" t="s">
        <v>5539</v>
      </c>
    </row>
    <row r="333" spans="2:13" ht="37.5" customHeight="1" x14ac:dyDescent="0.35">
      <c r="B333" s="11">
        <v>33</v>
      </c>
      <c r="C333" s="5" t="s">
        <v>5562</v>
      </c>
      <c r="D333" s="11">
        <v>27</v>
      </c>
      <c r="E333" s="5" t="s">
        <v>5658</v>
      </c>
      <c r="F333" s="5" t="s">
        <v>5659</v>
      </c>
      <c r="G333" s="5" t="s">
        <v>1127</v>
      </c>
      <c r="H333" s="5" t="s">
        <v>36</v>
      </c>
      <c r="I333" s="5" t="s">
        <v>48</v>
      </c>
      <c r="J333" s="5" t="s">
        <v>5588</v>
      </c>
      <c r="K333" s="5" t="s">
        <v>5589</v>
      </c>
      <c r="L333" s="11">
        <v>1</v>
      </c>
      <c r="M333" s="5" t="s">
        <v>5539</v>
      </c>
    </row>
    <row r="334" spans="2:13" ht="37.5" customHeight="1" x14ac:dyDescent="0.35">
      <c r="B334" s="12">
        <v>33</v>
      </c>
      <c r="C334" s="7" t="s">
        <v>5562</v>
      </c>
      <c r="D334" s="12">
        <v>28</v>
      </c>
      <c r="E334" s="7" t="s">
        <v>5660</v>
      </c>
      <c r="F334" s="7" t="s">
        <v>5661</v>
      </c>
      <c r="G334" s="7" t="s">
        <v>395</v>
      </c>
      <c r="H334" s="7" t="s">
        <v>37</v>
      </c>
      <c r="I334" s="7" t="s">
        <v>51</v>
      </c>
      <c r="J334" s="7" t="s">
        <v>663</v>
      </c>
      <c r="K334" s="7" t="s">
        <v>5611</v>
      </c>
      <c r="L334" s="12">
        <v>1</v>
      </c>
      <c r="M334" s="7" t="s">
        <v>5539</v>
      </c>
    </row>
    <row r="335" spans="2:13" ht="37.5" customHeight="1" x14ac:dyDescent="0.35">
      <c r="B335" s="11">
        <v>33</v>
      </c>
      <c r="C335" s="5" t="s">
        <v>5562</v>
      </c>
      <c r="D335" s="11">
        <v>29</v>
      </c>
      <c r="E335" s="5" t="s">
        <v>5662</v>
      </c>
      <c r="F335" s="5" t="s">
        <v>5663</v>
      </c>
      <c r="G335" s="5" t="s">
        <v>1720</v>
      </c>
      <c r="H335" s="5" t="s">
        <v>1039</v>
      </c>
      <c r="I335" s="5" t="s">
        <v>5664</v>
      </c>
      <c r="J335" s="5" t="s">
        <v>5665</v>
      </c>
      <c r="K335" s="5" t="s">
        <v>5666</v>
      </c>
      <c r="L335" s="11">
        <v>2</v>
      </c>
      <c r="M335" s="5" t="s">
        <v>5539</v>
      </c>
    </row>
    <row r="336" spans="2:13" ht="52.5" customHeight="1" x14ac:dyDescent="0.35">
      <c r="B336" s="12">
        <v>33</v>
      </c>
      <c r="C336" s="7" t="s">
        <v>5562</v>
      </c>
      <c r="D336" s="12">
        <v>30</v>
      </c>
      <c r="E336" s="7" t="s">
        <v>5667</v>
      </c>
      <c r="F336" s="7" t="s">
        <v>5668</v>
      </c>
      <c r="G336" s="7" t="s">
        <v>185</v>
      </c>
      <c r="H336" s="7" t="s">
        <v>5669</v>
      </c>
      <c r="I336" s="7" t="s">
        <v>5670</v>
      </c>
      <c r="J336" s="7" t="s">
        <v>5671</v>
      </c>
      <c r="K336" s="7" t="s">
        <v>5672</v>
      </c>
      <c r="L336" s="12">
        <v>3</v>
      </c>
      <c r="M336" s="7" t="s">
        <v>5539</v>
      </c>
    </row>
    <row r="337" spans="2:13" ht="21.75" customHeight="1" x14ac:dyDescent="0.35">
      <c r="B337" s="11">
        <v>33</v>
      </c>
      <c r="C337" s="5" t="s">
        <v>5562</v>
      </c>
      <c r="D337" s="11">
        <v>31</v>
      </c>
      <c r="E337" s="5" t="s">
        <v>5673</v>
      </c>
      <c r="F337" s="5" t="s">
        <v>5674</v>
      </c>
      <c r="G337" s="5" t="s">
        <v>1787</v>
      </c>
      <c r="H337" s="5" t="s">
        <v>36</v>
      </c>
      <c r="I337" s="5" t="s">
        <v>48</v>
      </c>
      <c r="J337" s="5" t="s">
        <v>5588</v>
      </c>
      <c r="K337" s="5" t="s">
        <v>5589</v>
      </c>
      <c r="L337" s="11">
        <v>1</v>
      </c>
      <c r="M337" s="5" t="s">
        <v>5539</v>
      </c>
    </row>
    <row r="338" spans="2:13" ht="37.5" customHeight="1" x14ac:dyDescent="0.35">
      <c r="B338" s="12">
        <v>33</v>
      </c>
      <c r="C338" s="7" t="s">
        <v>5562</v>
      </c>
      <c r="D338" s="12">
        <v>32</v>
      </c>
      <c r="E338" s="7" t="s">
        <v>5675</v>
      </c>
      <c r="F338" s="7" t="s">
        <v>5676</v>
      </c>
      <c r="G338" s="7" t="s">
        <v>656</v>
      </c>
      <c r="H338" s="7" t="s">
        <v>263</v>
      </c>
      <c r="I338" s="7" t="s">
        <v>264</v>
      </c>
      <c r="J338" s="7" t="s">
        <v>5677</v>
      </c>
      <c r="K338" s="7" t="s">
        <v>5678</v>
      </c>
      <c r="L338" s="12">
        <v>2</v>
      </c>
      <c r="M338" s="7" t="s">
        <v>5539</v>
      </c>
    </row>
    <row r="339" spans="2:13" ht="21.75" customHeight="1" x14ac:dyDescent="0.35">
      <c r="B339" s="11">
        <v>33</v>
      </c>
      <c r="C339" s="5" t="s">
        <v>5562</v>
      </c>
      <c r="D339" s="11">
        <v>33</v>
      </c>
      <c r="E339" s="5" t="s">
        <v>5679</v>
      </c>
      <c r="F339" s="5" t="s">
        <v>5680</v>
      </c>
      <c r="G339" s="5" t="s">
        <v>1667</v>
      </c>
      <c r="H339" s="5" t="s">
        <v>40</v>
      </c>
      <c r="I339" s="5" t="s">
        <v>54</v>
      </c>
      <c r="J339" s="5" t="s">
        <v>404</v>
      </c>
      <c r="K339" s="5" t="s">
        <v>5681</v>
      </c>
      <c r="L339" s="11">
        <v>1</v>
      </c>
      <c r="M339" s="5" t="s">
        <v>5539</v>
      </c>
    </row>
    <row r="340" spans="2:13" ht="52.5" customHeight="1" x14ac:dyDescent="0.35">
      <c r="B340" s="12">
        <v>34</v>
      </c>
      <c r="C340" s="7" t="s">
        <v>5682</v>
      </c>
      <c r="D340" s="12">
        <v>1</v>
      </c>
      <c r="E340" s="7" t="s">
        <v>5683</v>
      </c>
      <c r="F340" s="7" t="s">
        <v>5684</v>
      </c>
      <c r="G340" s="7" t="s">
        <v>151</v>
      </c>
      <c r="H340" s="7" t="s">
        <v>5685</v>
      </c>
      <c r="I340" s="7" t="s">
        <v>5686</v>
      </c>
      <c r="J340" s="7" t="s">
        <v>5687</v>
      </c>
      <c r="K340" s="7" t="s">
        <v>5688</v>
      </c>
      <c r="L340" s="12">
        <v>2</v>
      </c>
      <c r="M340" s="7" t="s">
        <v>1892</v>
      </c>
    </row>
    <row r="341" spans="2:13" ht="21.75" customHeight="1" x14ac:dyDescent="0.35">
      <c r="B341" s="11">
        <v>34</v>
      </c>
      <c r="C341" s="5" t="s">
        <v>5682</v>
      </c>
      <c r="D341" s="11">
        <v>2</v>
      </c>
      <c r="E341" s="5" t="s">
        <v>5689</v>
      </c>
      <c r="F341" s="5" t="s">
        <v>5690</v>
      </c>
      <c r="G341" s="5" t="s">
        <v>151</v>
      </c>
      <c r="H341" s="5" t="s">
        <v>36</v>
      </c>
      <c r="I341" s="5" t="s">
        <v>5409</v>
      </c>
      <c r="J341" s="5" t="s">
        <v>5691</v>
      </c>
      <c r="K341" s="5" t="s">
        <v>5692</v>
      </c>
      <c r="L341" s="11">
        <v>1</v>
      </c>
      <c r="M341" s="5" t="s">
        <v>1892</v>
      </c>
    </row>
    <row r="342" spans="2:13" ht="37.5" customHeight="1" x14ac:dyDescent="0.35">
      <c r="B342" s="12">
        <v>35</v>
      </c>
      <c r="C342" s="7" t="s">
        <v>5693</v>
      </c>
      <c r="D342" s="12">
        <v>1</v>
      </c>
      <c r="E342" s="7" t="s">
        <v>5694</v>
      </c>
      <c r="F342" s="7" t="s">
        <v>5695</v>
      </c>
      <c r="G342" s="7" t="s">
        <v>24</v>
      </c>
      <c r="H342" s="7" t="s">
        <v>1355</v>
      </c>
      <c r="I342" s="7" t="s">
        <v>5696</v>
      </c>
      <c r="J342" s="7" t="s">
        <v>5697</v>
      </c>
      <c r="K342" s="7" t="s">
        <v>5698</v>
      </c>
      <c r="L342" s="12">
        <v>2</v>
      </c>
      <c r="M342" s="7" t="s">
        <v>5539</v>
      </c>
    </row>
    <row r="343" spans="2:13" ht="37.5" customHeight="1" x14ac:dyDescent="0.35">
      <c r="B343" s="11">
        <v>35</v>
      </c>
      <c r="C343" s="5" t="s">
        <v>5693</v>
      </c>
      <c r="D343" s="11">
        <v>2</v>
      </c>
      <c r="E343" s="5" t="s">
        <v>5699</v>
      </c>
      <c r="F343" s="5" t="s">
        <v>5700</v>
      </c>
      <c r="G343" s="5" t="s">
        <v>428</v>
      </c>
      <c r="H343" s="5" t="s">
        <v>36</v>
      </c>
      <c r="I343" s="5" t="s">
        <v>5701</v>
      </c>
      <c r="J343" s="5" t="s">
        <v>5702</v>
      </c>
      <c r="K343" s="5" t="s">
        <v>5703</v>
      </c>
      <c r="L343" s="11">
        <v>1</v>
      </c>
      <c r="M343" s="5" t="s">
        <v>5539</v>
      </c>
    </row>
    <row r="344" spans="2:13" ht="52.5" customHeight="1" x14ac:dyDescent="0.35">
      <c r="B344" s="12">
        <v>35</v>
      </c>
      <c r="C344" s="7" t="s">
        <v>5693</v>
      </c>
      <c r="D344" s="12">
        <v>3</v>
      </c>
      <c r="E344" s="7" t="s">
        <v>5704</v>
      </c>
      <c r="F344" s="7" t="s">
        <v>5705</v>
      </c>
      <c r="G344" s="7" t="s">
        <v>1294</v>
      </c>
      <c r="H344" s="7" t="s">
        <v>1355</v>
      </c>
      <c r="I344" s="7" t="s">
        <v>5706</v>
      </c>
      <c r="J344" s="7" t="s">
        <v>5707</v>
      </c>
      <c r="K344" s="7" t="s">
        <v>5708</v>
      </c>
      <c r="L344" s="12">
        <v>2</v>
      </c>
      <c r="M344" s="7" t="s">
        <v>5539</v>
      </c>
    </row>
    <row r="345" spans="2:13" ht="52.5" customHeight="1" x14ac:dyDescent="0.35">
      <c r="B345" s="11">
        <v>35</v>
      </c>
      <c r="C345" s="5" t="s">
        <v>5693</v>
      </c>
      <c r="D345" s="11">
        <v>4</v>
      </c>
      <c r="E345" s="5" t="s">
        <v>5709</v>
      </c>
      <c r="F345" s="5" t="s">
        <v>5710</v>
      </c>
      <c r="G345" s="5" t="s">
        <v>5711</v>
      </c>
      <c r="H345" s="5" t="s">
        <v>1355</v>
      </c>
      <c r="I345" s="5" t="s">
        <v>5712</v>
      </c>
      <c r="J345" s="5" t="s">
        <v>5707</v>
      </c>
      <c r="K345" s="5" t="s">
        <v>5713</v>
      </c>
      <c r="L345" s="11">
        <v>2</v>
      </c>
      <c r="M345" s="5" t="s">
        <v>5539</v>
      </c>
    </row>
    <row r="346" spans="2:13" ht="67.5" customHeight="1" x14ac:dyDescent="0.35">
      <c r="B346" s="12">
        <v>35</v>
      </c>
      <c r="C346" s="7" t="s">
        <v>5693</v>
      </c>
      <c r="D346" s="12">
        <v>5</v>
      </c>
      <c r="E346" s="7" t="s">
        <v>5714</v>
      </c>
      <c r="F346" s="7" t="s">
        <v>5715</v>
      </c>
      <c r="G346" s="7" t="s">
        <v>29</v>
      </c>
      <c r="H346" s="7" t="s">
        <v>5716</v>
      </c>
      <c r="I346" s="7" t="s">
        <v>5717</v>
      </c>
      <c r="J346" s="7" t="s">
        <v>5718</v>
      </c>
      <c r="K346" s="7" t="s">
        <v>5719</v>
      </c>
      <c r="L346" s="12">
        <v>3</v>
      </c>
      <c r="M346" s="7" t="s">
        <v>5539</v>
      </c>
    </row>
    <row r="347" spans="2:13" ht="37.5" customHeight="1" x14ac:dyDescent="0.35">
      <c r="B347" s="11">
        <v>35</v>
      </c>
      <c r="C347" s="5" t="s">
        <v>5693</v>
      </c>
      <c r="D347" s="11">
        <v>6</v>
      </c>
      <c r="E347" s="5" t="s">
        <v>5720</v>
      </c>
      <c r="F347" s="5" t="s">
        <v>5721</v>
      </c>
      <c r="G347" s="5" t="s">
        <v>1294</v>
      </c>
      <c r="H347" s="5" t="s">
        <v>36</v>
      </c>
      <c r="I347" s="5" t="s">
        <v>48</v>
      </c>
      <c r="J347" s="5" t="s">
        <v>5702</v>
      </c>
      <c r="K347" s="5" t="s">
        <v>5722</v>
      </c>
      <c r="L347" s="11">
        <v>1</v>
      </c>
      <c r="M347" s="5" t="s">
        <v>5539</v>
      </c>
    </row>
    <row r="348" spans="2:13" ht="82.5" customHeight="1" x14ac:dyDescent="0.35">
      <c r="B348" s="12">
        <v>35</v>
      </c>
      <c r="C348" s="7" t="s">
        <v>5693</v>
      </c>
      <c r="D348" s="12">
        <v>7</v>
      </c>
      <c r="E348" s="7" t="s">
        <v>5723</v>
      </c>
      <c r="F348" s="7" t="s">
        <v>5724</v>
      </c>
      <c r="G348" s="7" t="s">
        <v>365</v>
      </c>
      <c r="H348" s="7" t="s">
        <v>5725</v>
      </c>
      <c r="I348" s="7" t="s">
        <v>5726</v>
      </c>
      <c r="J348" s="7" t="s">
        <v>5727</v>
      </c>
      <c r="K348" s="7" t="s">
        <v>5728</v>
      </c>
      <c r="L348" s="12">
        <v>3</v>
      </c>
      <c r="M348" s="7" t="s">
        <v>5539</v>
      </c>
    </row>
    <row r="349" spans="2:13" ht="67.5" customHeight="1" x14ac:dyDescent="0.35">
      <c r="B349" s="11">
        <v>35</v>
      </c>
      <c r="C349" s="5" t="s">
        <v>5693</v>
      </c>
      <c r="D349" s="11">
        <v>8</v>
      </c>
      <c r="E349" s="5" t="s">
        <v>5729</v>
      </c>
      <c r="F349" s="5" t="s">
        <v>5730</v>
      </c>
      <c r="G349" s="5" t="s">
        <v>1294</v>
      </c>
      <c r="H349" s="5" t="s">
        <v>5716</v>
      </c>
      <c r="I349" s="5" t="s">
        <v>5731</v>
      </c>
      <c r="J349" s="5" t="s">
        <v>5718</v>
      </c>
      <c r="K349" s="5" t="s">
        <v>5732</v>
      </c>
      <c r="L349" s="11">
        <v>3</v>
      </c>
      <c r="M349" s="5" t="s">
        <v>5539</v>
      </c>
    </row>
    <row r="350" spans="2:13" ht="52.5" customHeight="1" x14ac:dyDescent="0.35">
      <c r="B350" s="12">
        <v>35</v>
      </c>
      <c r="C350" s="7" t="s">
        <v>5693</v>
      </c>
      <c r="D350" s="12">
        <v>9</v>
      </c>
      <c r="E350" s="7" t="s">
        <v>5733</v>
      </c>
      <c r="F350" s="7" t="s">
        <v>5734</v>
      </c>
      <c r="G350" s="7" t="s">
        <v>576</v>
      </c>
      <c r="H350" s="7" t="s">
        <v>1355</v>
      </c>
      <c r="I350" s="7" t="s">
        <v>5735</v>
      </c>
      <c r="J350" s="7" t="s">
        <v>5707</v>
      </c>
      <c r="K350" s="7" t="s">
        <v>5736</v>
      </c>
      <c r="L350" s="12">
        <v>3</v>
      </c>
      <c r="M350" s="7" t="s">
        <v>5539</v>
      </c>
    </row>
    <row r="351" spans="2:13" ht="52.5" customHeight="1" x14ac:dyDescent="0.35">
      <c r="B351" s="11">
        <v>35</v>
      </c>
      <c r="C351" s="5" t="s">
        <v>5693</v>
      </c>
      <c r="D351" s="11">
        <v>10</v>
      </c>
      <c r="E351" s="5" t="s">
        <v>5737</v>
      </c>
      <c r="F351" s="5" t="s">
        <v>5738</v>
      </c>
      <c r="G351" s="5" t="s">
        <v>30</v>
      </c>
      <c r="H351" s="5" t="s">
        <v>5716</v>
      </c>
      <c r="I351" s="5" t="s">
        <v>5739</v>
      </c>
      <c r="J351" s="5" t="s">
        <v>5740</v>
      </c>
      <c r="K351" s="5" t="s">
        <v>5741</v>
      </c>
      <c r="L351" s="11">
        <v>3</v>
      </c>
      <c r="M351" s="5" t="s">
        <v>5539</v>
      </c>
    </row>
    <row r="352" spans="2:13" ht="67.5" customHeight="1" x14ac:dyDescent="0.35">
      <c r="B352" s="12">
        <v>35</v>
      </c>
      <c r="C352" s="7" t="s">
        <v>5693</v>
      </c>
      <c r="D352" s="12">
        <v>11</v>
      </c>
      <c r="E352" s="7" t="s">
        <v>5742</v>
      </c>
      <c r="F352" s="7" t="s">
        <v>5743</v>
      </c>
      <c r="G352" s="7" t="s">
        <v>566</v>
      </c>
      <c r="H352" s="7" t="s">
        <v>5716</v>
      </c>
      <c r="I352" s="7" t="s">
        <v>5744</v>
      </c>
      <c r="J352" s="7" t="s">
        <v>5718</v>
      </c>
      <c r="K352" s="7" t="s">
        <v>5745</v>
      </c>
      <c r="L352" s="12">
        <v>3</v>
      </c>
      <c r="M352" s="7" t="s">
        <v>5539</v>
      </c>
    </row>
    <row r="353" spans="2:13" ht="97.5" customHeight="1" x14ac:dyDescent="0.35">
      <c r="B353" s="11">
        <v>35</v>
      </c>
      <c r="C353" s="5" t="s">
        <v>5693</v>
      </c>
      <c r="D353" s="11">
        <v>12</v>
      </c>
      <c r="E353" s="5" t="s">
        <v>5746</v>
      </c>
      <c r="F353" s="5" t="s">
        <v>5747</v>
      </c>
      <c r="G353" s="5" t="s">
        <v>24</v>
      </c>
      <c r="H353" s="5" t="s">
        <v>5748</v>
      </c>
      <c r="I353" s="5" t="s">
        <v>5749</v>
      </c>
      <c r="J353" s="5" t="s">
        <v>5750</v>
      </c>
      <c r="K353" s="5" t="s">
        <v>5751</v>
      </c>
      <c r="L353" s="11">
        <v>5</v>
      </c>
      <c r="M353" s="5" t="s">
        <v>5539</v>
      </c>
    </row>
    <row r="354" spans="2:13" ht="37.5" customHeight="1" x14ac:dyDescent="0.35">
      <c r="B354" s="12">
        <v>35</v>
      </c>
      <c r="C354" s="7" t="s">
        <v>5693</v>
      </c>
      <c r="D354" s="12">
        <v>13</v>
      </c>
      <c r="E354" s="7" t="s">
        <v>5752</v>
      </c>
      <c r="F354" s="7" t="s">
        <v>5753</v>
      </c>
      <c r="G354" s="7" t="s">
        <v>282</v>
      </c>
      <c r="H354" s="7" t="s">
        <v>36</v>
      </c>
      <c r="I354" s="7" t="s">
        <v>5754</v>
      </c>
      <c r="J354" s="7" t="s">
        <v>5702</v>
      </c>
      <c r="K354" s="7" t="s">
        <v>5755</v>
      </c>
      <c r="L354" s="12">
        <v>1</v>
      </c>
      <c r="M354" s="7" t="s">
        <v>5539</v>
      </c>
    </row>
    <row r="355" spans="2:13" ht="67.5" customHeight="1" x14ac:dyDescent="0.35">
      <c r="B355" s="11">
        <v>35</v>
      </c>
      <c r="C355" s="5" t="s">
        <v>5693</v>
      </c>
      <c r="D355" s="11">
        <v>14</v>
      </c>
      <c r="E355" s="5" t="s">
        <v>5756</v>
      </c>
      <c r="F355" s="5" t="s">
        <v>5757</v>
      </c>
      <c r="G355" s="5" t="s">
        <v>2415</v>
      </c>
      <c r="H355" s="5" t="s">
        <v>1355</v>
      </c>
      <c r="I355" s="5" t="s">
        <v>5758</v>
      </c>
      <c r="J355" s="5" t="s">
        <v>5759</v>
      </c>
      <c r="K355" s="5" t="s">
        <v>5760</v>
      </c>
      <c r="L355" s="11">
        <v>3</v>
      </c>
      <c r="M355" s="5" t="s">
        <v>5539</v>
      </c>
    </row>
    <row r="356" spans="2:13" ht="37.5" customHeight="1" x14ac:dyDescent="0.35">
      <c r="B356" s="12">
        <v>35</v>
      </c>
      <c r="C356" s="7" t="s">
        <v>5693</v>
      </c>
      <c r="D356" s="12">
        <v>15</v>
      </c>
      <c r="E356" s="7" t="s">
        <v>5761</v>
      </c>
      <c r="F356" s="7" t="s">
        <v>5762</v>
      </c>
      <c r="G356" s="7" t="s">
        <v>1513</v>
      </c>
      <c r="H356" s="7" t="s">
        <v>1355</v>
      </c>
      <c r="I356" s="7" t="s">
        <v>5763</v>
      </c>
      <c r="J356" s="7" t="s">
        <v>5764</v>
      </c>
      <c r="K356" s="7" t="s">
        <v>5765</v>
      </c>
      <c r="L356" s="12">
        <v>2</v>
      </c>
      <c r="M356" s="7" t="s">
        <v>5539</v>
      </c>
    </row>
    <row r="357" spans="2:13" ht="37.5" customHeight="1" x14ac:dyDescent="0.35">
      <c r="B357" s="11">
        <v>35</v>
      </c>
      <c r="C357" s="5" t="s">
        <v>5693</v>
      </c>
      <c r="D357" s="11">
        <v>16</v>
      </c>
      <c r="E357" s="5" t="s">
        <v>5766</v>
      </c>
      <c r="F357" s="5" t="s">
        <v>5767</v>
      </c>
      <c r="G357" s="5" t="s">
        <v>358</v>
      </c>
      <c r="H357" s="5" t="s">
        <v>1349</v>
      </c>
      <c r="I357" s="5" t="s">
        <v>5768</v>
      </c>
      <c r="J357" s="5" t="s">
        <v>5769</v>
      </c>
      <c r="K357" s="5" t="s">
        <v>5770</v>
      </c>
      <c r="L357" s="11">
        <v>2</v>
      </c>
      <c r="M357" s="5" t="s">
        <v>5539</v>
      </c>
    </row>
    <row r="358" spans="2:13" ht="37.5" customHeight="1" x14ac:dyDescent="0.35">
      <c r="B358" s="12">
        <v>35</v>
      </c>
      <c r="C358" s="7" t="s">
        <v>5693</v>
      </c>
      <c r="D358" s="12">
        <v>17</v>
      </c>
      <c r="E358" s="7" t="s">
        <v>5771</v>
      </c>
      <c r="F358" s="7" t="s">
        <v>5772</v>
      </c>
      <c r="G358" s="7" t="s">
        <v>1435</v>
      </c>
      <c r="H358" s="7" t="s">
        <v>1355</v>
      </c>
      <c r="I358" s="7" t="s">
        <v>5773</v>
      </c>
      <c r="J358" s="7" t="s">
        <v>5707</v>
      </c>
      <c r="K358" s="7" t="s">
        <v>5774</v>
      </c>
      <c r="L358" s="12">
        <v>2</v>
      </c>
      <c r="M358" s="7" t="s">
        <v>5539</v>
      </c>
    </row>
    <row r="359" spans="2:13" ht="37.5" customHeight="1" x14ac:dyDescent="0.35">
      <c r="B359" s="11">
        <v>35</v>
      </c>
      <c r="C359" s="5" t="s">
        <v>5693</v>
      </c>
      <c r="D359" s="11">
        <v>18</v>
      </c>
      <c r="E359" s="5" t="s">
        <v>5775</v>
      </c>
      <c r="F359" s="5" t="s">
        <v>5776</v>
      </c>
      <c r="G359" s="5" t="s">
        <v>428</v>
      </c>
      <c r="H359" s="5" t="s">
        <v>1355</v>
      </c>
      <c r="I359" s="5" t="s">
        <v>5777</v>
      </c>
      <c r="J359" s="5" t="s">
        <v>5778</v>
      </c>
      <c r="K359" s="5" t="s">
        <v>5779</v>
      </c>
      <c r="L359" s="11">
        <v>2</v>
      </c>
      <c r="M359" s="5" t="s">
        <v>5539</v>
      </c>
    </row>
    <row r="360" spans="2:13" ht="21.75" customHeight="1" x14ac:dyDescent="0.35">
      <c r="B360" s="12">
        <v>35</v>
      </c>
      <c r="C360" s="7" t="s">
        <v>5693</v>
      </c>
      <c r="D360" s="12">
        <v>19</v>
      </c>
      <c r="E360" s="7" t="s">
        <v>5780</v>
      </c>
      <c r="F360" s="7" t="s">
        <v>5781</v>
      </c>
      <c r="G360" s="7" t="s">
        <v>457</v>
      </c>
      <c r="H360" s="7" t="s">
        <v>36</v>
      </c>
      <c r="I360" s="7" t="s">
        <v>5253</v>
      </c>
      <c r="J360" s="7" t="s">
        <v>5782</v>
      </c>
      <c r="K360" s="7" t="s">
        <v>5783</v>
      </c>
      <c r="L360" s="12">
        <v>1</v>
      </c>
      <c r="M360" s="7" t="s">
        <v>5539</v>
      </c>
    </row>
    <row r="361" spans="2:13" ht="67.5" customHeight="1" x14ac:dyDescent="0.35">
      <c r="B361" s="11">
        <v>35</v>
      </c>
      <c r="C361" s="5" t="s">
        <v>5693</v>
      </c>
      <c r="D361" s="11">
        <v>20</v>
      </c>
      <c r="E361" s="5" t="s">
        <v>5784</v>
      </c>
      <c r="F361" s="5" t="s">
        <v>5785</v>
      </c>
      <c r="G361" s="5" t="s">
        <v>25</v>
      </c>
      <c r="H361" s="5" t="s">
        <v>5786</v>
      </c>
      <c r="I361" s="5" t="s">
        <v>5787</v>
      </c>
      <c r="J361" s="5" t="s">
        <v>5788</v>
      </c>
      <c r="K361" s="5" t="s">
        <v>5789</v>
      </c>
      <c r="L361" s="11">
        <v>3</v>
      </c>
      <c r="M361" s="5" t="s">
        <v>5539</v>
      </c>
    </row>
    <row r="362" spans="2:13" ht="52.5" customHeight="1" x14ac:dyDescent="0.35">
      <c r="B362" s="12">
        <v>35</v>
      </c>
      <c r="C362" s="7" t="s">
        <v>5693</v>
      </c>
      <c r="D362" s="12">
        <v>21</v>
      </c>
      <c r="E362" s="7" t="s">
        <v>5790</v>
      </c>
      <c r="F362" s="7" t="s">
        <v>5791</v>
      </c>
      <c r="G362" s="7" t="s">
        <v>282</v>
      </c>
      <c r="H362" s="7" t="s">
        <v>1355</v>
      </c>
      <c r="I362" s="7" t="s">
        <v>5792</v>
      </c>
      <c r="J362" s="7" t="s">
        <v>5707</v>
      </c>
      <c r="K362" s="7" t="s">
        <v>5793</v>
      </c>
      <c r="L362" s="12">
        <v>2</v>
      </c>
      <c r="M362" s="7" t="s">
        <v>5539</v>
      </c>
    </row>
    <row r="363" spans="2:13" ht="21.75" customHeight="1" x14ac:dyDescent="0.35">
      <c r="B363" s="11">
        <v>35</v>
      </c>
      <c r="C363" s="5" t="s">
        <v>5693</v>
      </c>
      <c r="D363" s="11">
        <v>22</v>
      </c>
      <c r="E363" s="5" t="s">
        <v>5794</v>
      </c>
      <c r="F363" s="5" t="s">
        <v>5795</v>
      </c>
      <c r="G363" s="5" t="s">
        <v>5476</v>
      </c>
      <c r="H363" s="5" t="s">
        <v>36</v>
      </c>
      <c r="I363" s="5" t="s">
        <v>48</v>
      </c>
      <c r="J363" s="5" t="s">
        <v>5782</v>
      </c>
      <c r="K363" s="5" t="s">
        <v>5796</v>
      </c>
      <c r="L363" s="11">
        <v>1</v>
      </c>
      <c r="M363" s="5" t="s">
        <v>5539</v>
      </c>
    </row>
    <row r="364" spans="2:13" ht="37.5" customHeight="1" x14ac:dyDescent="0.35">
      <c r="B364" s="12">
        <v>35</v>
      </c>
      <c r="C364" s="7" t="s">
        <v>5693</v>
      </c>
      <c r="D364" s="12">
        <v>23</v>
      </c>
      <c r="E364" s="7" t="s">
        <v>5797</v>
      </c>
      <c r="F364" s="7" t="s">
        <v>5798</v>
      </c>
      <c r="G364" s="7" t="s">
        <v>778</v>
      </c>
      <c r="H364" s="7" t="s">
        <v>1355</v>
      </c>
      <c r="I364" s="7" t="s">
        <v>5696</v>
      </c>
      <c r="J364" s="7" t="s">
        <v>5707</v>
      </c>
      <c r="K364" s="7" t="s">
        <v>5799</v>
      </c>
      <c r="L364" s="12">
        <v>2</v>
      </c>
      <c r="M364" s="7" t="s">
        <v>5539</v>
      </c>
    </row>
    <row r="365" spans="2:13" ht="37.5" customHeight="1" x14ac:dyDescent="0.35">
      <c r="B365" s="11">
        <v>35</v>
      </c>
      <c r="C365" s="5" t="s">
        <v>5693</v>
      </c>
      <c r="D365" s="11">
        <v>24</v>
      </c>
      <c r="E365" s="5" t="s">
        <v>5800</v>
      </c>
      <c r="F365" s="5" t="s">
        <v>5801</v>
      </c>
      <c r="G365" s="5" t="s">
        <v>5592</v>
      </c>
      <c r="H365" s="5" t="s">
        <v>5802</v>
      </c>
      <c r="I365" s="5" t="s">
        <v>5803</v>
      </c>
      <c r="J365" s="5" t="s">
        <v>5804</v>
      </c>
      <c r="K365" s="5" t="s">
        <v>5805</v>
      </c>
      <c r="L365" s="11">
        <v>2</v>
      </c>
      <c r="M365" s="5" t="s">
        <v>5539</v>
      </c>
    </row>
    <row r="366" spans="2:13" ht="82.5" customHeight="1" x14ac:dyDescent="0.35">
      <c r="B366" s="12">
        <v>35</v>
      </c>
      <c r="C366" s="7" t="s">
        <v>5693</v>
      </c>
      <c r="D366" s="12">
        <v>25</v>
      </c>
      <c r="E366" s="7" t="s">
        <v>5806</v>
      </c>
      <c r="F366" s="7" t="s">
        <v>5807</v>
      </c>
      <c r="G366" s="7" t="s">
        <v>497</v>
      </c>
      <c r="H366" s="7" t="s">
        <v>5808</v>
      </c>
      <c r="I366" s="7" t="s">
        <v>5809</v>
      </c>
      <c r="J366" s="7" t="s">
        <v>5810</v>
      </c>
      <c r="K366" s="7" t="s">
        <v>5811</v>
      </c>
      <c r="L366" s="12">
        <v>4</v>
      </c>
      <c r="M366" s="7" t="s">
        <v>5539</v>
      </c>
    </row>
    <row r="367" spans="2:13" ht="82.5" customHeight="1" x14ac:dyDescent="0.35">
      <c r="B367" s="11">
        <v>35</v>
      </c>
      <c r="C367" s="5" t="s">
        <v>5693</v>
      </c>
      <c r="D367" s="11">
        <v>26</v>
      </c>
      <c r="E367" s="5" t="s">
        <v>5812</v>
      </c>
      <c r="F367" s="5" t="s">
        <v>5813</v>
      </c>
      <c r="G367" s="5" t="s">
        <v>1076</v>
      </c>
      <c r="H367" s="5" t="s">
        <v>5814</v>
      </c>
      <c r="I367" s="5" t="s">
        <v>5815</v>
      </c>
      <c r="J367" s="5" t="s">
        <v>5816</v>
      </c>
      <c r="K367" s="5" t="s">
        <v>5817</v>
      </c>
      <c r="L367" s="11">
        <v>4</v>
      </c>
      <c r="M367" s="5" t="s">
        <v>5539</v>
      </c>
    </row>
    <row r="368" spans="2:13" ht="52.5" customHeight="1" x14ac:dyDescent="0.35">
      <c r="B368" s="12">
        <v>35</v>
      </c>
      <c r="C368" s="7" t="s">
        <v>5693</v>
      </c>
      <c r="D368" s="12">
        <v>27</v>
      </c>
      <c r="E368" s="7" t="s">
        <v>5818</v>
      </c>
      <c r="F368" s="7" t="s">
        <v>5819</v>
      </c>
      <c r="G368" s="7" t="s">
        <v>395</v>
      </c>
      <c r="H368" s="7" t="s">
        <v>1355</v>
      </c>
      <c r="I368" s="7" t="s">
        <v>5820</v>
      </c>
      <c r="J368" s="7" t="s">
        <v>5707</v>
      </c>
      <c r="K368" s="7" t="s">
        <v>5821</v>
      </c>
      <c r="L368" s="12">
        <v>2</v>
      </c>
      <c r="M368" s="7" t="s">
        <v>5539</v>
      </c>
    </row>
    <row r="369" spans="2:13" ht="21.75" customHeight="1" x14ac:dyDescent="0.35">
      <c r="B369" s="11">
        <v>35</v>
      </c>
      <c r="C369" s="5" t="s">
        <v>5693</v>
      </c>
      <c r="D369" s="11">
        <v>28</v>
      </c>
      <c r="E369" s="5" t="s">
        <v>5822</v>
      </c>
      <c r="F369" s="5" t="s">
        <v>5823</v>
      </c>
      <c r="G369" s="5" t="s">
        <v>188</v>
      </c>
      <c r="H369" s="5" t="s">
        <v>36</v>
      </c>
      <c r="I369" s="5" t="s">
        <v>5824</v>
      </c>
      <c r="J369" s="5" t="s">
        <v>5702</v>
      </c>
      <c r="K369" s="5" t="s">
        <v>5825</v>
      </c>
      <c r="L369" s="11">
        <v>1</v>
      </c>
      <c r="M369" s="5" t="s">
        <v>5539</v>
      </c>
    </row>
    <row r="370" spans="2:13" ht="37.5" customHeight="1" x14ac:dyDescent="0.35">
      <c r="B370" s="12">
        <v>35</v>
      </c>
      <c r="C370" s="7" t="s">
        <v>5693</v>
      </c>
      <c r="D370" s="12">
        <v>29</v>
      </c>
      <c r="E370" s="7" t="s">
        <v>5826</v>
      </c>
      <c r="F370" s="7" t="s">
        <v>5827</v>
      </c>
      <c r="G370" s="7" t="s">
        <v>805</v>
      </c>
      <c r="H370" s="7" t="s">
        <v>36</v>
      </c>
      <c r="I370" s="7" t="s">
        <v>4559</v>
      </c>
      <c r="J370" s="7" t="s">
        <v>5782</v>
      </c>
      <c r="K370" s="7" t="s">
        <v>5828</v>
      </c>
      <c r="L370" s="12">
        <v>1</v>
      </c>
      <c r="M370" s="7" t="s">
        <v>5539</v>
      </c>
    </row>
    <row r="371" spans="2:13" ht="67.5" customHeight="1" x14ac:dyDescent="0.35">
      <c r="B371" s="11">
        <v>35</v>
      </c>
      <c r="C371" s="5" t="s">
        <v>5693</v>
      </c>
      <c r="D371" s="11">
        <v>30</v>
      </c>
      <c r="E371" s="5" t="s">
        <v>5829</v>
      </c>
      <c r="F371" s="5" t="s">
        <v>5830</v>
      </c>
      <c r="G371" s="5" t="s">
        <v>33</v>
      </c>
      <c r="H371" s="5" t="s">
        <v>5808</v>
      </c>
      <c r="I371" s="5" t="s">
        <v>5831</v>
      </c>
      <c r="J371" s="5" t="s">
        <v>5832</v>
      </c>
      <c r="K371" s="5" t="s">
        <v>5833</v>
      </c>
      <c r="L371" s="11">
        <v>3</v>
      </c>
      <c r="M371" s="5" t="s">
        <v>5539</v>
      </c>
    </row>
    <row r="372" spans="2:13" ht="21.75" customHeight="1" x14ac:dyDescent="0.35">
      <c r="B372" s="12">
        <v>35</v>
      </c>
      <c r="C372" s="7" t="s">
        <v>5693</v>
      </c>
      <c r="D372" s="12">
        <v>31</v>
      </c>
      <c r="E372" s="7" t="s">
        <v>5834</v>
      </c>
      <c r="F372" s="7" t="s">
        <v>5835</v>
      </c>
      <c r="G372" s="7" t="s">
        <v>1373</v>
      </c>
      <c r="H372" s="7" t="s">
        <v>36</v>
      </c>
      <c r="I372" s="7" t="s">
        <v>48</v>
      </c>
      <c r="J372" s="7" t="s">
        <v>5702</v>
      </c>
      <c r="K372" s="7" t="s">
        <v>5722</v>
      </c>
      <c r="L372" s="12">
        <v>1</v>
      </c>
      <c r="M372" s="7" t="s">
        <v>5539</v>
      </c>
    </row>
    <row r="373" spans="2:13" ht="37.5" customHeight="1" x14ac:dyDescent="0.35">
      <c r="B373" s="11">
        <v>35</v>
      </c>
      <c r="C373" s="5" t="s">
        <v>5693</v>
      </c>
      <c r="D373" s="11">
        <v>32</v>
      </c>
      <c r="E373" s="5" t="s">
        <v>5836</v>
      </c>
      <c r="F373" s="5" t="s">
        <v>5837</v>
      </c>
      <c r="G373" s="5" t="s">
        <v>2415</v>
      </c>
      <c r="H373" s="5" t="s">
        <v>36</v>
      </c>
      <c r="I373" s="5" t="s">
        <v>5838</v>
      </c>
      <c r="J373" s="5" t="s">
        <v>5702</v>
      </c>
      <c r="K373" s="5" t="s">
        <v>5839</v>
      </c>
      <c r="L373" s="11">
        <v>1</v>
      </c>
      <c r="M373" s="5" t="s">
        <v>5539</v>
      </c>
    </row>
    <row r="374" spans="2:13" ht="37.5" customHeight="1" x14ac:dyDescent="0.35">
      <c r="B374" s="12">
        <v>35</v>
      </c>
      <c r="C374" s="7" t="s">
        <v>5693</v>
      </c>
      <c r="D374" s="12">
        <v>33</v>
      </c>
      <c r="E374" s="7" t="s">
        <v>5840</v>
      </c>
      <c r="F374" s="7" t="s">
        <v>5841</v>
      </c>
      <c r="G374" s="7" t="s">
        <v>28</v>
      </c>
      <c r="H374" s="7" t="s">
        <v>36</v>
      </c>
      <c r="I374" s="7" t="s">
        <v>48</v>
      </c>
      <c r="J374" s="7" t="s">
        <v>5782</v>
      </c>
      <c r="K374" s="7" t="s">
        <v>5796</v>
      </c>
      <c r="L374" s="12">
        <v>1</v>
      </c>
      <c r="M374" s="7" t="s">
        <v>5539</v>
      </c>
    </row>
    <row r="375" spans="2:13" ht="82.5" customHeight="1" x14ac:dyDescent="0.35">
      <c r="B375" s="11">
        <v>35</v>
      </c>
      <c r="C375" s="5" t="s">
        <v>5693</v>
      </c>
      <c r="D375" s="11">
        <v>34</v>
      </c>
      <c r="E375" s="5" t="s">
        <v>5842</v>
      </c>
      <c r="F375" s="5" t="s">
        <v>5843</v>
      </c>
      <c r="G375" s="5" t="s">
        <v>29</v>
      </c>
      <c r="H375" s="5" t="s">
        <v>5716</v>
      </c>
      <c r="I375" s="5" t="s">
        <v>5844</v>
      </c>
      <c r="J375" s="5" t="s">
        <v>5845</v>
      </c>
      <c r="K375" s="5" t="s">
        <v>5846</v>
      </c>
      <c r="L375" s="11">
        <v>4</v>
      </c>
      <c r="M375" s="5" t="s">
        <v>5539</v>
      </c>
    </row>
    <row r="376" spans="2:13" ht="37.5" customHeight="1" x14ac:dyDescent="0.35">
      <c r="B376" s="12">
        <v>35</v>
      </c>
      <c r="C376" s="7" t="s">
        <v>5693</v>
      </c>
      <c r="D376" s="12">
        <v>35</v>
      </c>
      <c r="E376" s="7" t="s">
        <v>5847</v>
      </c>
      <c r="F376" s="7" t="s">
        <v>5848</v>
      </c>
      <c r="G376" s="7" t="s">
        <v>395</v>
      </c>
      <c r="H376" s="7" t="s">
        <v>36</v>
      </c>
      <c r="I376" s="7" t="s">
        <v>48</v>
      </c>
      <c r="J376" s="7" t="s">
        <v>5702</v>
      </c>
      <c r="K376" s="7" t="s">
        <v>5722</v>
      </c>
      <c r="L376" s="12">
        <v>1</v>
      </c>
      <c r="M376" s="7" t="s">
        <v>5539</v>
      </c>
    </row>
    <row r="377" spans="2:13" ht="37.5" customHeight="1" x14ac:dyDescent="0.35">
      <c r="B377" s="11">
        <v>35</v>
      </c>
      <c r="C377" s="5" t="s">
        <v>5693</v>
      </c>
      <c r="D377" s="11">
        <v>36</v>
      </c>
      <c r="E377" s="5" t="s">
        <v>5849</v>
      </c>
      <c r="F377" s="5" t="s">
        <v>5850</v>
      </c>
      <c r="G377" s="5" t="s">
        <v>279</v>
      </c>
      <c r="H377" s="5" t="s">
        <v>1355</v>
      </c>
      <c r="I377" s="5" t="s">
        <v>5696</v>
      </c>
      <c r="J377" s="5" t="s">
        <v>5707</v>
      </c>
      <c r="K377" s="5" t="s">
        <v>5799</v>
      </c>
      <c r="L377" s="11">
        <v>2</v>
      </c>
      <c r="M377" s="5" t="s">
        <v>5539</v>
      </c>
    </row>
    <row r="378" spans="2:13" ht="52.5" customHeight="1" x14ac:dyDescent="0.35">
      <c r="B378" s="12">
        <v>35</v>
      </c>
      <c r="C378" s="7" t="s">
        <v>5693</v>
      </c>
      <c r="D378" s="12">
        <v>37</v>
      </c>
      <c r="E378" s="7" t="s">
        <v>5851</v>
      </c>
      <c r="F378" s="7" t="s">
        <v>5852</v>
      </c>
      <c r="G378" s="7" t="s">
        <v>445</v>
      </c>
      <c r="H378" s="7" t="s">
        <v>1355</v>
      </c>
      <c r="I378" s="7" t="s">
        <v>5853</v>
      </c>
      <c r="J378" s="7" t="s">
        <v>5707</v>
      </c>
      <c r="K378" s="7" t="s">
        <v>5854</v>
      </c>
      <c r="L378" s="12">
        <v>2</v>
      </c>
      <c r="M378" s="7" t="s">
        <v>5539</v>
      </c>
    </row>
    <row r="379" spans="2:13" ht="37.5" customHeight="1" x14ac:dyDescent="0.35">
      <c r="B379" s="11">
        <v>35</v>
      </c>
      <c r="C379" s="5" t="s">
        <v>5693</v>
      </c>
      <c r="D379" s="11">
        <v>38</v>
      </c>
      <c r="E379" s="5" t="s">
        <v>5855</v>
      </c>
      <c r="F379" s="5" t="s">
        <v>5856</v>
      </c>
      <c r="G379" s="5" t="s">
        <v>24</v>
      </c>
      <c r="H379" s="5" t="s">
        <v>1349</v>
      </c>
      <c r="I379" s="5" t="s">
        <v>5857</v>
      </c>
      <c r="J379" s="5" t="s">
        <v>5858</v>
      </c>
      <c r="K379" s="5" t="s">
        <v>5859</v>
      </c>
      <c r="L379" s="11">
        <v>2</v>
      </c>
      <c r="M379" s="5" t="s">
        <v>5539</v>
      </c>
    </row>
    <row r="380" spans="2:13" ht="37.5" customHeight="1" x14ac:dyDescent="0.35">
      <c r="B380" s="12">
        <v>35</v>
      </c>
      <c r="C380" s="7" t="s">
        <v>5693</v>
      </c>
      <c r="D380" s="12">
        <v>39</v>
      </c>
      <c r="E380" s="7" t="s">
        <v>5860</v>
      </c>
      <c r="F380" s="7" t="s">
        <v>5861</v>
      </c>
      <c r="G380" s="7" t="s">
        <v>279</v>
      </c>
      <c r="H380" s="7" t="s">
        <v>45</v>
      </c>
      <c r="I380" s="7" t="s">
        <v>5862</v>
      </c>
      <c r="J380" s="7" t="s">
        <v>5863</v>
      </c>
      <c r="K380" s="7" t="s">
        <v>5864</v>
      </c>
      <c r="L380" s="12">
        <v>2</v>
      </c>
      <c r="M380" s="7" t="s">
        <v>5539</v>
      </c>
    </row>
    <row r="381" spans="2:13" ht="37.5" customHeight="1" x14ac:dyDescent="0.35">
      <c r="B381" s="11">
        <v>35</v>
      </c>
      <c r="C381" s="5" t="s">
        <v>5693</v>
      </c>
      <c r="D381" s="11">
        <v>40</v>
      </c>
      <c r="E381" s="5" t="s">
        <v>5865</v>
      </c>
      <c r="F381" s="5" t="s">
        <v>5866</v>
      </c>
      <c r="G381" s="5" t="s">
        <v>402</v>
      </c>
      <c r="H381" s="5" t="s">
        <v>45</v>
      </c>
      <c r="I381" s="5" t="s">
        <v>5862</v>
      </c>
      <c r="J381" s="5" t="s">
        <v>5863</v>
      </c>
      <c r="K381" s="5" t="s">
        <v>5864</v>
      </c>
      <c r="L381" s="11">
        <v>2</v>
      </c>
      <c r="M381" s="5" t="s">
        <v>5539</v>
      </c>
    </row>
    <row r="382" spans="2:13" ht="52.5" customHeight="1" x14ac:dyDescent="0.35">
      <c r="B382" s="12">
        <v>35</v>
      </c>
      <c r="C382" s="7" t="s">
        <v>5693</v>
      </c>
      <c r="D382" s="12">
        <v>41</v>
      </c>
      <c r="E382" s="7" t="s">
        <v>5867</v>
      </c>
      <c r="F382" s="7" t="s">
        <v>5868</v>
      </c>
      <c r="G382" s="7" t="s">
        <v>531</v>
      </c>
      <c r="H382" s="7" t="s">
        <v>5869</v>
      </c>
      <c r="I382" s="7" t="s">
        <v>5870</v>
      </c>
      <c r="J382" s="7" t="s">
        <v>5769</v>
      </c>
      <c r="K382" s="7" t="s">
        <v>5871</v>
      </c>
      <c r="L382" s="12">
        <v>3</v>
      </c>
      <c r="M382" s="7" t="s">
        <v>5539</v>
      </c>
    </row>
    <row r="383" spans="2:13" ht="37.5" customHeight="1" x14ac:dyDescent="0.35">
      <c r="B383" s="11">
        <v>35</v>
      </c>
      <c r="C383" s="5" t="s">
        <v>5693</v>
      </c>
      <c r="D383" s="11">
        <v>42</v>
      </c>
      <c r="E383" s="5" t="s">
        <v>5872</v>
      </c>
      <c r="F383" s="5" t="s">
        <v>5873</v>
      </c>
      <c r="G383" s="5" t="s">
        <v>31</v>
      </c>
      <c r="H383" s="5" t="s">
        <v>1355</v>
      </c>
      <c r="I383" s="5" t="s">
        <v>5874</v>
      </c>
      <c r="J383" s="5" t="s">
        <v>5707</v>
      </c>
      <c r="K383" s="5" t="s">
        <v>5875</v>
      </c>
      <c r="L383" s="11">
        <v>2</v>
      </c>
      <c r="M383" s="5" t="s">
        <v>5539</v>
      </c>
    </row>
    <row r="384" spans="2:13" ht="67.5" customHeight="1" x14ac:dyDescent="0.35">
      <c r="B384" s="12">
        <v>35</v>
      </c>
      <c r="C384" s="7" t="s">
        <v>5693</v>
      </c>
      <c r="D384" s="12">
        <v>43</v>
      </c>
      <c r="E384" s="7" t="s">
        <v>5876</v>
      </c>
      <c r="F384" s="7" t="s">
        <v>5877</v>
      </c>
      <c r="G384" s="7" t="s">
        <v>439</v>
      </c>
      <c r="H384" s="7" t="s">
        <v>5878</v>
      </c>
      <c r="I384" s="7" t="s">
        <v>5879</v>
      </c>
      <c r="J384" s="7" t="s">
        <v>5880</v>
      </c>
      <c r="K384" s="7" t="s">
        <v>5881</v>
      </c>
      <c r="L384" s="12">
        <v>3</v>
      </c>
      <c r="M384" s="7" t="s">
        <v>5539</v>
      </c>
    </row>
    <row r="385" spans="2:13" ht="37.5" customHeight="1" x14ac:dyDescent="0.35">
      <c r="B385" s="11">
        <v>35</v>
      </c>
      <c r="C385" s="5" t="s">
        <v>5693</v>
      </c>
      <c r="D385" s="11">
        <v>44</v>
      </c>
      <c r="E385" s="5" t="s">
        <v>5882</v>
      </c>
      <c r="F385" s="5" t="s">
        <v>5883</v>
      </c>
      <c r="G385" s="5" t="s">
        <v>653</v>
      </c>
      <c r="H385" s="5" t="s">
        <v>306</v>
      </c>
      <c r="I385" s="5" t="s">
        <v>5884</v>
      </c>
      <c r="J385" s="5" t="s">
        <v>5885</v>
      </c>
      <c r="K385" s="5" t="s">
        <v>5886</v>
      </c>
      <c r="L385" s="11">
        <v>2</v>
      </c>
      <c r="M385" s="5" t="s">
        <v>5539</v>
      </c>
    </row>
    <row r="386" spans="2:13" ht="52.5" customHeight="1" x14ac:dyDescent="0.35">
      <c r="B386" s="12">
        <v>35</v>
      </c>
      <c r="C386" s="7" t="s">
        <v>5693</v>
      </c>
      <c r="D386" s="12">
        <v>45</v>
      </c>
      <c r="E386" s="7" t="s">
        <v>5887</v>
      </c>
      <c r="F386" s="7" t="s">
        <v>5888</v>
      </c>
      <c r="G386" s="7" t="s">
        <v>25</v>
      </c>
      <c r="H386" s="7" t="s">
        <v>5808</v>
      </c>
      <c r="I386" s="7" t="s">
        <v>5889</v>
      </c>
      <c r="J386" s="7" t="s">
        <v>5832</v>
      </c>
      <c r="K386" s="7" t="s">
        <v>5890</v>
      </c>
      <c r="L386" s="12">
        <v>3</v>
      </c>
      <c r="M386" s="7" t="s">
        <v>5539</v>
      </c>
    </row>
    <row r="387" spans="2:13" ht="52.5" customHeight="1" x14ac:dyDescent="0.35">
      <c r="B387" s="11">
        <v>35</v>
      </c>
      <c r="C387" s="5" t="s">
        <v>5693</v>
      </c>
      <c r="D387" s="11">
        <v>46</v>
      </c>
      <c r="E387" s="5" t="s">
        <v>5891</v>
      </c>
      <c r="F387" s="5" t="s">
        <v>5892</v>
      </c>
      <c r="G387" s="5" t="s">
        <v>32</v>
      </c>
      <c r="H387" s="5" t="s">
        <v>5808</v>
      </c>
      <c r="I387" s="5" t="s">
        <v>5893</v>
      </c>
      <c r="J387" s="5" t="s">
        <v>5832</v>
      </c>
      <c r="K387" s="5" t="s">
        <v>5894</v>
      </c>
      <c r="L387" s="11">
        <v>3</v>
      </c>
      <c r="M387" s="5" t="s">
        <v>5539</v>
      </c>
    </row>
    <row r="388" spans="2:13" ht="37.5" customHeight="1" x14ac:dyDescent="0.35">
      <c r="B388" s="12">
        <v>35</v>
      </c>
      <c r="C388" s="7" t="s">
        <v>5693</v>
      </c>
      <c r="D388" s="12">
        <v>47</v>
      </c>
      <c r="E388" s="7" t="s">
        <v>5895</v>
      </c>
      <c r="F388" s="7" t="s">
        <v>5896</v>
      </c>
      <c r="G388" s="7" t="s">
        <v>576</v>
      </c>
      <c r="H388" s="7" t="s">
        <v>36</v>
      </c>
      <c r="I388" s="7" t="s">
        <v>48</v>
      </c>
      <c r="J388" s="7" t="s">
        <v>5782</v>
      </c>
      <c r="K388" s="7" t="s">
        <v>5796</v>
      </c>
      <c r="L388" s="12">
        <v>1</v>
      </c>
      <c r="M388" s="7" t="s">
        <v>5539</v>
      </c>
    </row>
    <row r="389" spans="2:13" ht="37.5" customHeight="1" x14ac:dyDescent="0.35">
      <c r="B389" s="11">
        <v>35</v>
      </c>
      <c r="C389" s="5" t="s">
        <v>5693</v>
      </c>
      <c r="D389" s="11">
        <v>48</v>
      </c>
      <c r="E389" s="5" t="s">
        <v>5897</v>
      </c>
      <c r="F389" s="5" t="s">
        <v>5898</v>
      </c>
      <c r="G389" s="5" t="s">
        <v>552</v>
      </c>
      <c r="H389" s="5" t="s">
        <v>37</v>
      </c>
      <c r="I389" s="5" t="s">
        <v>5559</v>
      </c>
      <c r="J389" s="5" t="s">
        <v>5899</v>
      </c>
      <c r="K389" s="5" t="s">
        <v>5900</v>
      </c>
      <c r="L389" s="11">
        <v>1</v>
      </c>
      <c r="M389" s="5" t="s">
        <v>5539</v>
      </c>
    </row>
    <row r="390" spans="2:13" ht="52.5" customHeight="1" x14ac:dyDescent="0.35">
      <c r="B390" s="12">
        <v>35</v>
      </c>
      <c r="C390" s="7" t="s">
        <v>5693</v>
      </c>
      <c r="D390" s="12">
        <v>49</v>
      </c>
      <c r="E390" s="7" t="s">
        <v>5901</v>
      </c>
      <c r="F390" s="7" t="s">
        <v>5902</v>
      </c>
      <c r="G390" s="7" t="s">
        <v>585</v>
      </c>
      <c r="H390" s="7" t="s">
        <v>5808</v>
      </c>
      <c r="I390" s="7" t="s">
        <v>5893</v>
      </c>
      <c r="J390" s="7" t="s">
        <v>5832</v>
      </c>
      <c r="K390" s="7" t="s">
        <v>5894</v>
      </c>
      <c r="L390" s="12">
        <v>3</v>
      </c>
      <c r="M390" s="7" t="s">
        <v>5539</v>
      </c>
    </row>
    <row r="391" spans="2:13" ht="52.5" customHeight="1" x14ac:dyDescent="0.35">
      <c r="B391" s="11">
        <v>35</v>
      </c>
      <c r="C391" s="5" t="s">
        <v>5693</v>
      </c>
      <c r="D391" s="11">
        <v>50</v>
      </c>
      <c r="E391" s="5" t="s">
        <v>5903</v>
      </c>
      <c r="F391" s="5" t="s">
        <v>5904</v>
      </c>
      <c r="G391" s="5" t="s">
        <v>573</v>
      </c>
      <c r="H391" s="5" t="s">
        <v>5802</v>
      </c>
      <c r="I391" s="5" t="s">
        <v>5905</v>
      </c>
      <c r="J391" s="5" t="s">
        <v>5804</v>
      </c>
      <c r="K391" s="5" t="s">
        <v>5906</v>
      </c>
      <c r="L391" s="11">
        <v>2</v>
      </c>
      <c r="M391" s="5" t="s">
        <v>5539</v>
      </c>
    </row>
    <row r="392" spans="2:13" ht="37.5" customHeight="1" x14ac:dyDescent="0.35">
      <c r="B392" s="12">
        <v>35</v>
      </c>
      <c r="C392" s="7" t="s">
        <v>5693</v>
      </c>
      <c r="D392" s="12">
        <v>51</v>
      </c>
      <c r="E392" s="7" t="s">
        <v>5907</v>
      </c>
      <c r="F392" s="7" t="s">
        <v>5908</v>
      </c>
      <c r="G392" s="7" t="s">
        <v>722</v>
      </c>
      <c r="H392" s="7" t="s">
        <v>306</v>
      </c>
      <c r="I392" s="7" t="s">
        <v>5884</v>
      </c>
      <c r="J392" s="7" t="s">
        <v>5885</v>
      </c>
      <c r="K392" s="7" t="s">
        <v>5886</v>
      </c>
      <c r="L392" s="12">
        <v>2</v>
      </c>
      <c r="M392" s="7" t="s">
        <v>5539</v>
      </c>
    </row>
    <row r="393" spans="2:13" ht="37.5" customHeight="1" x14ac:dyDescent="0.35">
      <c r="B393" s="11">
        <v>35</v>
      </c>
      <c r="C393" s="5" t="s">
        <v>5693</v>
      </c>
      <c r="D393" s="11">
        <v>52</v>
      </c>
      <c r="E393" s="5" t="s">
        <v>5909</v>
      </c>
      <c r="F393" s="5" t="s">
        <v>5910</v>
      </c>
      <c r="G393" s="5" t="s">
        <v>185</v>
      </c>
      <c r="H393" s="5" t="s">
        <v>45</v>
      </c>
      <c r="I393" s="5" t="s">
        <v>5911</v>
      </c>
      <c r="J393" s="5" t="s">
        <v>5912</v>
      </c>
      <c r="K393" s="5" t="s">
        <v>5913</v>
      </c>
      <c r="L393" s="11">
        <v>1</v>
      </c>
      <c r="M393" s="5" t="s">
        <v>5539</v>
      </c>
    </row>
    <row r="394" spans="2:13" ht="21.75" customHeight="1" x14ac:dyDescent="0.35">
      <c r="B394" s="12">
        <v>35</v>
      </c>
      <c r="C394" s="7" t="s">
        <v>5693</v>
      </c>
      <c r="D394" s="12">
        <v>53</v>
      </c>
      <c r="E394" s="7" t="s">
        <v>5914</v>
      </c>
      <c r="F394" s="7" t="s">
        <v>5915</v>
      </c>
      <c r="G394" s="7" t="s">
        <v>686</v>
      </c>
      <c r="H394" s="7" t="s">
        <v>36</v>
      </c>
      <c r="I394" s="7" t="s">
        <v>48</v>
      </c>
      <c r="J394" s="7" t="s">
        <v>5782</v>
      </c>
      <c r="K394" s="7" t="s">
        <v>5796</v>
      </c>
      <c r="L394" s="12">
        <v>1</v>
      </c>
      <c r="M394" s="7" t="s">
        <v>5539</v>
      </c>
    </row>
    <row r="395" spans="2:13" ht="37.5" customHeight="1" x14ac:dyDescent="0.35">
      <c r="B395" s="11">
        <v>35</v>
      </c>
      <c r="C395" s="5" t="s">
        <v>5693</v>
      </c>
      <c r="D395" s="11">
        <v>54</v>
      </c>
      <c r="E395" s="5" t="s">
        <v>5916</v>
      </c>
      <c r="F395" s="5" t="s">
        <v>5917</v>
      </c>
      <c r="G395" s="5" t="s">
        <v>372</v>
      </c>
      <c r="H395" s="5" t="s">
        <v>36</v>
      </c>
      <c r="I395" s="5" t="s">
        <v>48</v>
      </c>
      <c r="J395" s="5" t="s">
        <v>5702</v>
      </c>
      <c r="K395" s="5" t="s">
        <v>5722</v>
      </c>
      <c r="L395" s="11">
        <v>1</v>
      </c>
      <c r="M395" s="5" t="s">
        <v>5539</v>
      </c>
    </row>
    <row r="396" spans="2:13" ht="37.5" customHeight="1" x14ac:dyDescent="0.35">
      <c r="B396" s="12">
        <v>35</v>
      </c>
      <c r="C396" s="7" t="s">
        <v>5693</v>
      </c>
      <c r="D396" s="12">
        <v>55</v>
      </c>
      <c r="E396" s="7" t="s">
        <v>5918</v>
      </c>
      <c r="F396" s="7" t="s">
        <v>5919</v>
      </c>
      <c r="G396" s="7" t="s">
        <v>761</v>
      </c>
      <c r="H396" s="7" t="s">
        <v>36</v>
      </c>
      <c r="I396" s="7" t="s">
        <v>48</v>
      </c>
      <c r="J396" s="7" t="s">
        <v>5782</v>
      </c>
      <c r="K396" s="7" t="s">
        <v>5796</v>
      </c>
      <c r="L396" s="12">
        <v>1</v>
      </c>
      <c r="M396" s="7" t="s">
        <v>5539</v>
      </c>
    </row>
    <row r="397" spans="2:13" ht="52.5" customHeight="1" x14ac:dyDescent="0.35">
      <c r="B397" s="11">
        <v>35</v>
      </c>
      <c r="C397" s="5" t="s">
        <v>5693</v>
      </c>
      <c r="D397" s="11">
        <v>56</v>
      </c>
      <c r="E397" s="5" t="s">
        <v>5920</v>
      </c>
      <c r="F397" s="5" t="s">
        <v>5921</v>
      </c>
      <c r="G397" s="5" t="s">
        <v>625</v>
      </c>
      <c r="H397" s="5" t="s">
        <v>5786</v>
      </c>
      <c r="I397" s="5" t="s">
        <v>5922</v>
      </c>
      <c r="J397" s="5" t="s">
        <v>5923</v>
      </c>
      <c r="K397" s="5" t="s">
        <v>5924</v>
      </c>
      <c r="L397" s="11">
        <v>3</v>
      </c>
      <c r="M397" s="5" t="s">
        <v>5539</v>
      </c>
    </row>
    <row r="398" spans="2:13" ht="37.5" customHeight="1" x14ac:dyDescent="0.35">
      <c r="B398" s="12">
        <v>35</v>
      </c>
      <c r="C398" s="7" t="s">
        <v>5693</v>
      </c>
      <c r="D398" s="12">
        <v>57</v>
      </c>
      <c r="E398" s="7" t="s">
        <v>5925</v>
      </c>
      <c r="F398" s="7" t="s">
        <v>5926</v>
      </c>
      <c r="G398" s="7" t="s">
        <v>285</v>
      </c>
      <c r="H398" s="7" t="s">
        <v>5802</v>
      </c>
      <c r="I398" s="7" t="s">
        <v>5927</v>
      </c>
      <c r="J398" s="7" t="s">
        <v>5804</v>
      </c>
      <c r="K398" s="7" t="s">
        <v>5928</v>
      </c>
      <c r="L398" s="12">
        <v>2</v>
      </c>
      <c r="M398" s="7" t="s">
        <v>5539</v>
      </c>
    </row>
    <row r="399" spans="2:13" ht="21.75" customHeight="1" x14ac:dyDescent="0.35">
      <c r="B399" s="11">
        <v>35</v>
      </c>
      <c r="C399" s="5" t="s">
        <v>5693</v>
      </c>
      <c r="D399" s="11">
        <v>58</v>
      </c>
      <c r="E399" s="5" t="s">
        <v>5929</v>
      </c>
      <c r="F399" s="5" t="s">
        <v>5930</v>
      </c>
      <c r="G399" s="5" t="s">
        <v>402</v>
      </c>
      <c r="H399" s="5" t="s">
        <v>37</v>
      </c>
      <c r="I399" s="5" t="s">
        <v>5559</v>
      </c>
      <c r="J399" s="5" t="s">
        <v>5899</v>
      </c>
      <c r="K399" s="5" t="s">
        <v>5900</v>
      </c>
      <c r="L399" s="11">
        <v>1</v>
      </c>
      <c r="M399" s="5" t="s">
        <v>5539</v>
      </c>
    </row>
    <row r="400" spans="2:13" ht="37.5" customHeight="1" x14ac:dyDescent="0.35">
      <c r="B400" s="12">
        <v>35</v>
      </c>
      <c r="C400" s="7" t="s">
        <v>5693</v>
      </c>
      <c r="D400" s="12">
        <v>59</v>
      </c>
      <c r="E400" s="7" t="s">
        <v>5931</v>
      </c>
      <c r="F400" s="7" t="s">
        <v>5932</v>
      </c>
      <c r="G400" s="7" t="s">
        <v>3946</v>
      </c>
      <c r="H400" s="7" t="s">
        <v>37</v>
      </c>
      <c r="I400" s="7" t="s">
        <v>5559</v>
      </c>
      <c r="J400" s="7" t="s">
        <v>5933</v>
      </c>
      <c r="K400" s="7" t="s">
        <v>5934</v>
      </c>
      <c r="L400" s="12">
        <v>1</v>
      </c>
      <c r="M400" s="7" t="s">
        <v>5539</v>
      </c>
    </row>
    <row r="401" spans="2:13" ht="52.5" customHeight="1" x14ac:dyDescent="0.35">
      <c r="B401" s="11">
        <v>35</v>
      </c>
      <c r="C401" s="5" t="s">
        <v>5693</v>
      </c>
      <c r="D401" s="11">
        <v>60</v>
      </c>
      <c r="E401" s="5" t="s">
        <v>5935</v>
      </c>
      <c r="F401" s="5" t="s">
        <v>5936</v>
      </c>
      <c r="G401" s="5" t="s">
        <v>29</v>
      </c>
      <c r="H401" s="5" t="s">
        <v>306</v>
      </c>
      <c r="I401" s="5" t="s">
        <v>5937</v>
      </c>
      <c r="J401" s="5" t="s">
        <v>5938</v>
      </c>
      <c r="K401" s="5" t="s">
        <v>5939</v>
      </c>
      <c r="L401" s="11">
        <v>3</v>
      </c>
      <c r="M401" s="5" t="s">
        <v>5539</v>
      </c>
    </row>
    <row r="402" spans="2:13" ht="21.75" customHeight="1" x14ac:dyDescent="0.35">
      <c r="B402" s="12">
        <v>35</v>
      </c>
      <c r="C402" s="7" t="s">
        <v>5693</v>
      </c>
      <c r="D402" s="12">
        <v>61</v>
      </c>
      <c r="E402" s="7" t="s">
        <v>5940</v>
      </c>
      <c r="F402" s="7" t="s">
        <v>5941</v>
      </c>
      <c r="G402" s="7" t="s">
        <v>631</v>
      </c>
      <c r="H402" s="7" t="s">
        <v>37</v>
      </c>
      <c r="I402" s="7" t="s">
        <v>5559</v>
      </c>
      <c r="J402" s="7" t="s">
        <v>5933</v>
      </c>
      <c r="K402" s="7" t="s">
        <v>5934</v>
      </c>
      <c r="L402" s="12">
        <v>1</v>
      </c>
      <c r="M402" s="7" t="s">
        <v>5539</v>
      </c>
    </row>
    <row r="403" spans="2:13" ht="37.5" customHeight="1" x14ac:dyDescent="0.35">
      <c r="B403" s="11">
        <v>35</v>
      </c>
      <c r="C403" s="5" t="s">
        <v>5693</v>
      </c>
      <c r="D403" s="11">
        <v>62</v>
      </c>
      <c r="E403" s="5" t="s">
        <v>5942</v>
      </c>
      <c r="F403" s="5" t="s">
        <v>5943</v>
      </c>
      <c r="G403" s="5" t="s">
        <v>395</v>
      </c>
      <c r="H403" s="5" t="s">
        <v>5802</v>
      </c>
      <c r="I403" s="5" t="s">
        <v>5944</v>
      </c>
      <c r="J403" s="5" t="s">
        <v>5804</v>
      </c>
      <c r="K403" s="5" t="s">
        <v>5945</v>
      </c>
      <c r="L403" s="11">
        <v>2</v>
      </c>
      <c r="M403" s="5" t="s">
        <v>5539</v>
      </c>
    </row>
    <row r="404" spans="2:13" ht="37.5" customHeight="1" x14ac:dyDescent="0.35">
      <c r="B404" s="12">
        <v>35</v>
      </c>
      <c r="C404" s="7" t="s">
        <v>5693</v>
      </c>
      <c r="D404" s="12">
        <v>63</v>
      </c>
      <c r="E404" s="7" t="s">
        <v>5946</v>
      </c>
      <c r="F404" s="7" t="s">
        <v>5947</v>
      </c>
      <c r="G404" s="7" t="s">
        <v>573</v>
      </c>
      <c r="H404" s="7" t="s">
        <v>36</v>
      </c>
      <c r="I404" s="7" t="s">
        <v>48</v>
      </c>
      <c r="J404" s="7" t="s">
        <v>5702</v>
      </c>
      <c r="K404" s="7" t="s">
        <v>5722</v>
      </c>
      <c r="L404" s="12">
        <v>1</v>
      </c>
      <c r="M404" s="7" t="s">
        <v>5539</v>
      </c>
    </row>
    <row r="405" spans="2:13" ht="52.5" customHeight="1" x14ac:dyDescent="0.35">
      <c r="B405" s="11">
        <v>35</v>
      </c>
      <c r="C405" s="5" t="s">
        <v>5693</v>
      </c>
      <c r="D405" s="11">
        <v>64</v>
      </c>
      <c r="E405" s="5" t="s">
        <v>5948</v>
      </c>
      <c r="F405" s="5" t="s">
        <v>5949</v>
      </c>
      <c r="G405" s="5" t="s">
        <v>566</v>
      </c>
      <c r="H405" s="5" t="s">
        <v>1355</v>
      </c>
      <c r="I405" s="5" t="s">
        <v>5950</v>
      </c>
      <c r="J405" s="5" t="s">
        <v>5951</v>
      </c>
      <c r="K405" s="5" t="s">
        <v>5952</v>
      </c>
      <c r="L405" s="11">
        <v>2</v>
      </c>
      <c r="M405" s="5" t="s">
        <v>5539</v>
      </c>
    </row>
    <row r="406" spans="2:13" ht="37.5" customHeight="1" x14ac:dyDescent="0.35">
      <c r="B406" s="12">
        <v>35</v>
      </c>
      <c r="C406" s="7" t="s">
        <v>5693</v>
      </c>
      <c r="D406" s="12">
        <v>65</v>
      </c>
      <c r="E406" s="7" t="s">
        <v>5953</v>
      </c>
      <c r="F406" s="7" t="s">
        <v>5954</v>
      </c>
      <c r="G406" s="7" t="s">
        <v>825</v>
      </c>
      <c r="H406" s="7" t="s">
        <v>36</v>
      </c>
      <c r="I406" s="7" t="s">
        <v>48</v>
      </c>
      <c r="J406" s="7" t="s">
        <v>5702</v>
      </c>
      <c r="K406" s="7" t="s">
        <v>5722</v>
      </c>
      <c r="L406" s="12">
        <v>1</v>
      </c>
      <c r="M406" s="7" t="s">
        <v>5539</v>
      </c>
    </row>
    <row r="407" spans="2:13" ht="37.5" customHeight="1" x14ac:dyDescent="0.35">
      <c r="B407" s="11">
        <v>35</v>
      </c>
      <c r="C407" s="5" t="s">
        <v>5693</v>
      </c>
      <c r="D407" s="11">
        <v>66</v>
      </c>
      <c r="E407" s="5" t="s">
        <v>5955</v>
      </c>
      <c r="F407" s="5" t="s">
        <v>5956</v>
      </c>
      <c r="G407" s="5" t="s">
        <v>698</v>
      </c>
      <c r="H407" s="5" t="s">
        <v>36</v>
      </c>
      <c r="I407" s="5" t="s">
        <v>48</v>
      </c>
      <c r="J407" s="5" t="s">
        <v>5702</v>
      </c>
      <c r="K407" s="5" t="s">
        <v>5722</v>
      </c>
      <c r="L407" s="11">
        <v>1</v>
      </c>
      <c r="M407" s="5" t="s">
        <v>5539</v>
      </c>
    </row>
    <row r="408" spans="2:13" ht="37.5" customHeight="1" x14ac:dyDescent="0.35">
      <c r="B408" s="12">
        <v>35</v>
      </c>
      <c r="C408" s="7" t="s">
        <v>5693</v>
      </c>
      <c r="D408" s="12">
        <v>67</v>
      </c>
      <c r="E408" s="7" t="s">
        <v>5957</v>
      </c>
      <c r="F408" s="7" t="s">
        <v>5958</v>
      </c>
      <c r="G408" s="7" t="s">
        <v>973</v>
      </c>
      <c r="H408" s="7" t="s">
        <v>1521</v>
      </c>
      <c r="I408" s="7" t="s">
        <v>5959</v>
      </c>
      <c r="J408" s="7" t="s">
        <v>5960</v>
      </c>
      <c r="K408" s="7" t="s">
        <v>5961</v>
      </c>
      <c r="L408" s="12">
        <v>2</v>
      </c>
      <c r="M408" s="7" t="s">
        <v>5539</v>
      </c>
    </row>
    <row r="409" spans="2:13" ht="21.75" customHeight="1" x14ac:dyDescent="0.35">
      <c r="B409" s="11">
        <v>35</v>
      </c>
      <c r="C409" s="5" t="s">
        <v>5693</v>
      </c>
      <c r="D409" s="11">
        <v>68</v>
      </c>
      <c r="E409" s="5" t="s">
        <v>5962</v>
      </c>
      <c r="F409" s="5" t="s">
        <v>5963</v>
      </c>
      <c r="G409" s="5" t="s">
        <v>5964</v>
      </c>
      <c r="H409" s="5" t="s">
        <v>38</v>
      </c>
      <c r="I409" s="5" t="s">
        <v>268</v>
      </c>
      <c r="J409" s="5" t="s">
        <v>5782</v>
      </c>
      <c r="K409" s="5" t="s">
        <v>5965</v>
      </c>
      <c r="L409" s="11">
        <v>1</v>
      </c>
      <c r="M409" s="5" t="s">
        <v>5539</v>
      </c>
    </row>
    <row r="410" spans="2:13" ht="21.75" customHeight="1" x14ac:dyDescent="0.35">
      <c r="B410" s="12">
        <v>35</v>
      </c>
      <c r="C410" s="7" t="s">
        <v>5693</v>
      </c>
      <c r="D410" s="12">
        <v>69</v>
      </c>
      <c r="E410" s="7" t="s">
        <v>5966</v>
      </c>
      <c r="F410" s="7" t="s">
        <v>5967</v>
      </c>
      <c r="G410" s="7" t="s">
        <v>1961</v>
      </c>
      <c r="H410" s="7" t="s">
        <v>38</v>
      </c>
      <c r="I410" s="7" t="s">
        <v>268</v>
      </c>
      <c r="J410" s="7" t="s">
        <v>5782</v>
      </c>
      <c r="K410" s="7" t="s">
        <v>5965</v>
      </c>
      <c r="L410" s="12">
        <v>1</v>
      </c>
      <c r="M410" s="7" t="s">
        <v>5539</v>
      </c>
    </row>
    <row r="411" spans="2:13" ht="21.75" customHeight="1" x14ac:dyDescent="0.35">
      <c r="B411" s="11">
        <v>35</v>
      </c>
      <c r="C411" s="5" t="s">
        <v>5693</v>
      </c>
      <c r="D411" s="11">
        <v>70</v>
      </c>
      <c r="E411" s="5" t="s">
        <v>5968</v>
      </c>
      <c r="F411" s="5" t="s">
        <v>5969</v>
      </c>
      <c r="G411" s="5" t="s">
        <v>1203</v>
      </c>
      <c r="H411" s="5" t="s">
        <v>38</v>
      </c>
      <c r="I411" s="5" t="s">
        <v>268</v>
      </c>
      <c r="J411" s="5" t="s">
        <v>5782</v>
      </c>
      <c r="K411" s="5" t="s">
        <v>5965</v>
      </c>
      <c r="L411" s="11">
        <v>1</v>
      </c>
      <c r="M411" s="5" t="s">
        <v>5539</v>
      </c>
    </row>
    <row r="412" spans="2:13" ht="37.5" customHeight="1" x14ac:dyDescent="0.35">
      <c r="B412" s="12">
        <v>35</v>
      </c>
      <c r="C412" s="7" t="s">
        <v>5693</v>
      </c>
      <c r="D412" s="12">
        <v>71</v>
      </c>
      <c r="E412" s="7" t="s">
        <v>5970</v>
      </c>
      <c r="F412" s="7" t="s">
        <v>5971</v>
      </c>
      <c r="G412" s="7" t="s">
        <v>27</v>
      </c>
      <c r="H412" s="7" t="s">
        <v>1521</v>
      </c>
      <c r="I412" s="7" t="s">
        <v>5959</v>
      </c>
      <c r="J412" s="7" t="s">
        <v>5960</v>
      </c>
      <c r="K412" s="7" t="s">
        <v>5961</v>
      </c>
      <c r="L412" s="12">
        <v>2</v>
      </c>
      <c r="M412" s="7" t="s">
        <v>5539</v>
      </c>
    </row>
    <row r="413" spans="2:13" ht="52.5" customHeight="1" x14ac:dyDescent="0.35">
      <c r="B413" s="11">
        <v>35</v>
      </c>
      <c r="C413" s="5" t="s">
        <v>5693</v>
      </c>
      <c r="D413" s="11">
        <v>72</v>
      </c>
      <c r="E413" s="5" t="s">
        <v>5972</v>
      </c>
      <c r="F413" s="5" t="s">
        <v>5973</v>
      </c>
      <c r="G413" s="5" t="s">
        <v>536</v>
      </c>
      <c r="H413" s="5" t="s">
        <v>5725</v>
      </c>
      <c r="I413" s="5" t="s">
        <v>5974</v>
      </c>
      <c r="J413" s="5" t="s">
        <v>5975</v>
      </c>
      <c r="K413" s="5" t="s">
        <v>5976</v>
      </c>
      <c r="L413" s="11">
        <v>3</v>
      </c>
      <c r="M413" s="5" t="s">
        <v>5539</v>
      </c>
    </row>
    <row r="414" spans="2:13" ht="37.5" customHeight="1" x14ac:dyDescent="0.35">
      <c r="B414" s="12">
        <v>35</v>
      </c>
      <c r="C414" s="7" t="s">
        <v>5693</v>
      </c>
      <c r="D414" s="12">
        <v>72</v>
      </c>
      <c r="E414" s="7" t="s">
        <v>5977</v>
      </c>
      <c r="F414" s="7" t="s">
        <v>5978</v>
      </c>
      <c r="G414" s="7" t="s">
        <v>442</v>
      </c>
      <c r="H414" s="7" t="s">
        <v>1521</v>
      </c>
      <c r="I414" s="7" t="s">
        <v>5959</v>
      </c>
      <c r="J414" s="7" t="s">
        <v>5960</v>
      </c>
      <c r="K414" s="7" t="s">
        <v>5961</v>
      </c>
      <c r="L414" s="12">
        <v>2</v>
      </c>
      <c r="M414" s="7" t="s">
        <v>5539</v>
      </c>
    </row>
    <row r="415" spans="2:13" ht="37.5" customHeight="1" x14ac:dyDescent="0.35">
      <c r="B415" s="11">
        <v>35</v>
      </c>
      <c r="C415" s="5" t="s">
        <v>5693</v>
      </c>
      <c r="D415" s="11">
        <v>74</v>
      </c>
      <c r="E415" s="5" t="s">
        <v>5979</v>
      </c>
      <c r="F415" s="5" t="s">
        <v>5980</v>
      </c>
      <c r="G415" s="5" t="s">
        <v>576</v>
      </c>
      <c r="H415" s="5" t="s">
        <v>36</v>
      </c>
      <c r="I415" s="5" t="s">
        <v>1885</v>
      </c>
      <c r="J415" s="5" t="s">
        <v>5782</v>
      </c>
      <c r="K415" s="5" t="s">
        <v>5981</v>
      </c>
      <c r="L415" s="11">
        <v>1</v>
      </c>
      <c r="M415" s="5" t="s">
        <v>5539</v>
      </c>
    </row>
    <row r="416" spans="2:13" ht="37.5" customHeight="1" x14ac:dyDescent="0.35">
      <c r="B416" s="12">
        <v>35</v>
      </c>
      <c r="C416" s="7" t="s">
        <v>5693</v>
      </c>
      <c r="D416" s="12">
        <v>75</v>
      </c>
      <c r="E416" s="7" t="s">
        <v>5982</v>
      </c>
      <c r="F416" s="7" t="s">
        <v>5983</v>
      </c>
      <c r="G416" s="7" t="s">
        <v>766</v>
      </c>
      <c r="H416" s="7" t="s">
        <v>36</v>
      </c>
      <c r="I416" s="7" t="s">
        <v>5253</v>
      </c>
      <c r="J416" s="7" t="s">
        <v>5782</v>
      </c>
      <c r="K416" s="7" t="s">
        <v>5783</v>
      </c>
      <c r="L416" s="12">
        <v>1</v>
      </c>
      <c r="M416" s="7" t="s">
        <v>5539</v>
      </c>
    </row>
    <row r="417" spans="2:13" ht="37.5" customHeight="1" x14ac:dyDescent="0.35">
      <c r="B417" s="11">
        <v>35</v>
      </c>
      <c r="C417" s="5" t="s">
        <v>5693</v>
      </c>
      <c r="D417" s="11">
        <v>76</v>
      </c>
      <c r="E417" s="5" t="s">
        <v>5984</v>
      </c>
      <c r="F417" s="5" t="s">
        <v>5985</v>
      </c>
      <c r="G417" s="5" t="s">
        <v>33</v>
      </c>
      <c r="H417" s="5" t="s">
        <v>1521</v>
      </c>
      <c r="I417" s="5" t="s">
        <v>5959</v>
      </c>
      <c r="J417" s="5" t="s">
        <v>5986</v>
      </c>
      <c r="K417" s="5" t="s">
        <v>5987</v>
      </c>
      <c r="L417" s="11">
        <v>2</v>
      </c>
      <c r="M417" s="5" t="s">
        <v>5539</v>
      </c>
    </row>
    <row r="418" spans="2:13" ht="37.5" customHeight="1" x14ac:dyDescent="0.35">
      <c r="B418" s="12">
        <v>35</v>
      </c>
      <c r="C418" s="7" t="s">
        <v>5693</v>
      </c>
      <c r="D418" s="12">
        <v>77</v>
      </c>
      <c r="E418" s="7" t="s">
        <v>5988</v>
      </c>
      <c r="F418" s="7" t="s">
        <v>5989</v>
      </c>
      <c r="G418" s="7" t="s">
        <v>742</v>
      </c>
      <c r="H418" s="7" t="s">
        <v>1521</v>
      </c>
      <c r="I418" s="7" t="s">
        <v>5990</v>
      </c>
      <c r="J418" s="7" t="s">
        <v>5960</v>
      </c>
      <c r="K418" s="7" t="s">
        <v>5991</v>
      </c>
      <c r="L418" s="12">
        <v>2</v>
      </c>
      <c r="M418" s="7" t="s">
        <v>5539</v>
      </c>
    </row>
    <row r="419" spans="2:13" ht="37.5" customHeight="1" x14ac:dyDescent="0.35">
      <c r="B419" s="11">
        <v>35</v>
      </c>
      <c r="C419" s="5" t="s">
        <v>5693</v>
      </c>
      <c r="D419" s="11">
        <v>78</v>
      </c>
      <c r="E419" s="5" t="s">
        <v>5992</v>
      </c>
      <c r="F419" s="5" t="s">
        <v>5993</v>
      </c>
      <c r="G419" s="5" t="s">
        <v>5418</v>
      </c>
      <c r="H419" s="5" t="s">
        <v>36</v>
      </c>
      <c r="I419" s="5" t="s">
        <v>5536</v>
      </c>
      <c r="J419" s="5" t="s">
        <v>5782</v>
      </c>
      <c r="K419" s="5" t="s">
        <v>5994</v>
      </c>
      <c r="L419" s="11">
        <v>2</v>
      </c>
      <c r="M419" s="5" t="s">
        <v>5539</v>
      </c>
    </row>
    <row r="420" spans="2:13" ht="37.5" customHeight="1" x14ac:dyDescent="0.35">
      <c r="B420" s="12">
        <v>35</v>
      </c>
      <c r="C420" s="7" t="s">
        <v>5693</v>
      </c>
      <c r="D420" s="12">
        <v>79</v>
      </c>
      <c r="E420" s="7" t="s">
        <v>5995</v>
      </c>
      <c r="F420" s="7" t="s">
        <v>5996</v>
      </c>
      <c r="G420" s="7" t="s">
        <v>766</v>
      </c>
      <c r="H420" s="7" t="s">
        <v>36</v>
      </c>
      <c r="I420" s="7" t="s">
        <v>5253</v>
      </c>
      <c r="J420" s="7" t="s">
        <v>5702</v>
      </c>
      <c r="K420" s="7" t="s">
        <v>5997</v>
      </c>
      <c r="L420" s="12">
        <v>1</v>
      </c>
      <c r="M420" s="7" t="s">
        <v>5539</v>
      </c>
    </row>
    <row r="421" spans="2:13" ht="37.5" customHeight="1" x14ac:dyDescent="0.35">
      <c r="B421" s="11">
        <v>35</v>
      </c>
      <c r="C421" s="5" t="s">
        <v>5693</v>
      </c>
      <c r="D421" s="11">
        <v>80</v>
      </c>
      <c r="E421" s="5" t="s">
        <v>5998</v>
      </c>
      <c r="F421" s="5" t="s">
        <v>5999</v>
      </c>
      <c r="G421" s="5" t="s">
        <v>825</v>
      </c>
      <c r="H421" s="5" t="s">
        <v>1521</v>
      </c>
      <c r="I421" s="5" t="s">
        <v>6000</v>
      </c>
      <c r="J421" s="5" t="s">
        <v>6001</v>
      </c>
      <c r="K421" s="5" t="s">
        <v>6002</v>
      </c>
      <c r="L421" s="11">
        <v>2</v>
      </c>
      <c r="M421" s="5" t="s">
        <v>5539</v>
      </c>
    </row>
    <row r="422" spans="2:13" ht="37.5" customHeight="1" x14ac:dyDescent="0.35">
      <c r="B422" s="12">
        <v>35</v>
      </c>
      <c r="C422" s="7" t="s">
        <v>5693</v>
      </c>
      <c r="D422" s="12">
        <v>81</v>
      </c>
      <c r="E422" s="7" t="s">
        <v>6003</v>
      </c>
      <c r="F422" s="7" t="s">
        <v>6004</v>
      </c>
      <c r="G422" s="7" t="s">
        <v>939</v>
      </c>
      <c r="H422" s="7" t="s">
        <v>36</v>
      </c>
      <c r="I422" s="7" t="s">
        <v>1885</v>
      </c>
      <c r="J422" s="7" t="s">
        <v>5782</v>
      </c>
      <c r="K422" s="7" t="s">
        <v>5981</v>
      </c>
      <c r="L422" s="12">
        <v>1</v>
      </c>
      <c r="M422" s="7" t="s">
        <v>5539</v>
      </c>
    </row>
    <row r="423" spans="2:13" ht="37.5" customHeight="1" x14ac:dyDescent="0.35">
      <c r="B423" s="11">
        <v>35</v>
      </c>
      <c r="C423" s="5" t="s">
        <v>5693</v>
      </c>
      <c r="D423" s="11">
        <v>82</v>
      </c>
      <c r="E423" s="5" t="s">
        <v>6005</v>
      </c>
      <c r="F423" s="5" t="s">
        <v>6006</v>
      </c>
      <c r="G423" s="5" t="s">
        <v>206</v>
      </c>
      <c r="H423" s="5" t="s">
        <v>36</v>
      </c>
      <c r="I423" s="5" t="s">
        <v>6007</v>
      </c>
      <c r="J423" s="5" t="s">
        <v>6008</v>
      </c>
      <c r="K423" s="5" t="s">
        <v>6009</v>
      </c>
      <c r="L423" s="11">
        <v>1</v>
      </c>
      <c r="M423" s="5" t="s">
        <v>5539</v>
      </c>
    </row>
    <row r="424" spans="2:13" ht="37.5" customHeight="1" x14ac:dyDescent="0.35">
      <c r="B424" s="12">
        <v>35</v>
      </c>
      <c r="C424" s="7" t="s">
        <v>5693</v>
      </c>
      <c r="D424" s="12">
        <v>83</v>
      </c>
      <c r="E424" s="7" t="s">
        <v>6010</v>
      </c>
      <c r="F424" s="7" t="s">
        <v>6011</v>
      </c>
      <c r="G424" s="7" t="s">
        <v>648</v>
      </c>
      <c r="H424" s="7" t="s">
        <v>306</v>
      </c>
      <c r="I424" s="7" t="s">
        <v>5884</v>
      </c>
      <c r="J424" s="7" t="s">
        <v>5885</v>
      </c>
      <c r="K424" s="7" t="s">
        <v>5886</v>
      </c>
      <c r="L424" s="12">
        <v>2</v>
      </c>
      <c r="M424" s="7" t="s">
        <v>5539</v>
      </c>
    </row>
    <row r="425" spans="2:13" ht="37.5" customHeight="1" x14ac:dyDescent="0.35">
      <c r="B425" s="11">
        <v>35</v>
      </c>
      <c r="C425" s="5" t="s">
        <v>5693</v>
      </c>
      <c r="D425" s="11">
        <v>84</v>
      </c>
      <c r="E425" s="5" t="s">
        <v>6012</v>
      </c>
      <c r="F425" s="5" t="s">
        <v>6013</v>
      </c>
      <c r="G425" s="5" t="s">
        <v>582</v>
      </c>
      <c r="H425" s="5" t="s">
        <v>37</v>
      </c>
      <c r="I425" s="5" t="s">
        <v>5559</v>
      </c>
      <c r="J425" s="5" t="s">
        <v>5899</v>
      </c>
      <c r="K425" s="5" t="s">
        <v>5900</v>
      </c>
      <c r="L425" s="11">
        <v>1</v>
      </c>
      <c r="M425" s="5" t="s">
        <v>5539</v>
      </c>
    </row>
    <row r="426" spans="2:13" ht="37.5" customHeight="1" x14ac:dyDescent="0.35">
      <c r="B426" s="12">
        <v>35</v>
      </c>
      <c r="C426" s="7" t="s">
        <v>5693</v>
      </c>
      <c r="D426" s="12">
        <v>85</v>
      </c>
      <c r="E426" s="7" t="s">
        <v>6014</v>
      </c>
      <c r="F426" s="7" t="s">
        <v>6015</v>
      </c>
      <c r="G426" s="7" t="s">
        <v>678</v>
      </c>
      <c r="H426" s="7" t="s">
        <v>5802</v>
      </c>
      <c r="I426" s="7" t="s">
        <v>5927</v>
      </c>
      <c r="J426" s="7" t="s">
        <v>5804</v>
      </c>
      <c r="K426" s="7" t="s">
        <v>5928</v>
      </c>
      <c r="L426" s="12">
        <v>2</v>
      </c>
      <c r="M426" s="7" t="s">
        <v>5539</v>
      </c>
    </row>
    <row r="427" spans="2:13" ht="37.5" customHeight="1" x14ac:dyDescent="0.35">
      <c r="B427" s="11">
        <v>35</v>
      </c>
      <c r="C427" s="5" t="s">
        <v>5693</v>
      </c>
      <c r="D427" s="11">
        <v>86</v>
      </c>
      <c r="E427" s="5" t="s">
        <v>6016</v>
      </c>
      <c r="F427" s="5" t="s">
        <v>6017</v>
      </c>
      <c r="G427" s="5" t="s">
        <v>645</v>
      </c>
      <c r="H427" s="5" t="s">
        <v>306</v>
      </c>
      <c r="I427" s="5" t="s">
        <v>5884</v>
      </c>
      <c r="J427" s="5" t="s">
        <v>5885</v>
      </c>
      <c r="K427" s="5" t="s">
        <v>5886</v>
      </c>
      <c r="L427" s="11">
        <v>2</v>
      </c>
      <c r="M427" s="5" t="s">
        <v>5539</v>
      </c>
    </row>
    <row r="428" spans="2:13" ht="21.75" customHeight="1" x14ac:dyDescent="0.35">
      <c r="B428" s="12">
        <v>35</v>
      </c>
      <c r="C428" s="7" t="s">
        <v>5693</v>
      </c>
      <c r="D428" s="12">
        <v>87</v>
      </c>
      <c r="E428" s="7" t="s">
        <v>6018</v>
      </c>
      <c r="F428" s="7" t="s">
        <v>6019</v>
      </c>
      <c r="G428" s="7" t="s">
        <v>755</v>
      </c>
      <c r="H428" s="7" t="s">
        <v>37</v>
      </c>
      <c r="I428" s="7" t="s">
        <v>5559</v>
      </c>
      <c r="J428" s="7" t="s">
        <v>5899</v>
      </c>
      <c r="K428" s="7" t="s">
        <v>5900</v>
      </c>
      <c r="L428" s="12">
        <v>1</v>
      </c>
      <c r="M428" s="7" t="s">
        <v>5539</v>
      </c>
    </row>
    <row r="429" spans="2:13" ht="37.5" customHeight="1" x14ac:dyDescent="0.35">
      <c r="B429" s="11">
        <v>35</v>
      </c>
      <c r="C429" s="5" t="s">
        <v>5693</v>
      </c>
      <c r="D429" s="11">
        <v>88</v>
      </c>
      <c r="E429" s="5" t="s">
        <v>6020</v>
      </c>
      <c r="F429" s="5" t="s">
        <v>6021</v>
      </c>
      <c r="G429" s="5" t="s">
        <v>631</v>
      </c>
      <c r="H429" s="5" t="s">
        <v>306</v>
      </c>
      <c r="I429" s="5" t="s">
        <v>5884</v>
      </c>
      <c r="J429" s="5" t="s">
        <v>5885</v>
      </c>
      <c r="K429" s="5" t="s">
        <v>5886</v>
      </c>
      <c r="L429" s="11">
        <v>2</v>
      </c>
      <c r="M429" s="5" t="s">
        <v>5539</v>
      </c>
    </row>
    <row r="430" spans="2:13" ht="21.75" customHeight="1" x14ac:dyDescent="0.35">
      <c r="B430" s="12">
        <v>35</v>
      </c>
      <c r="C430" s="7" t="s">
        <v>5693</v>
      </c>
      <c r="D430" s="12">
        <v>89</v>
      </c>
      <c r="E430" s="7" t="s">
        <v>6022</v>
      </c>
      <c r="F430" s="7" t="s">
        <v>6023</v>
      </c>
      <c r="G430" s="7" t="s">
        <v>212</v>
      </c>
      <c r="H430" s="7" t="s">
        <v>37</v>
      </c>
      <c r="I430" s="7" t="s">
        <v>5559</v>
      </c>
      <c r="J430" s="7" t="s">
        <v>5899</v>
      </c>
      <c r="K430" s="7" t="s">
        <v>5900</v>
      </c>
      <c r="L430" s="12">
        <v>1</v>
      </c>
      <c r="M430" s="7" t="s">
        <v>5539</v>
      </c>
    </row>
    <row r="431" spans="2:13" ht="37.5" customHeight="1" x14ac:dyDescent="0.35">
      <c r="B431" s="11">
        <v>35</v>
      </c>
      <c r="C431" s="5" t="s">
        <v>5693</v>
      </c>
      <c r="D431" s="11">
        <v>90</v>
      </c>
      <c r="E431" s="5" t="s">
        <v>6024</v>
      </c>
      <c r="F431" s="5" t="s">
        <v>6025</v>
      </c>
      <c r="G431" s="5" t="s">
        <v>648</v>
      </c>
      <c r="H431" s="5" t="s">
        <v>37</v>
      </c>
      <c r="I431" s="5" t="s">
        <v>5559</v>
      </c>
      <c r="J431" s="5" t="s">
        <v>5899</v>
      </c>
      <c r="K431" s="5" t="s">
        <v>5900</v>
      </c>
      <c r="L431" s="11">
        <v>1</v>
      </c>
      <c r="M431" s="5" t="s">
        <v>5539</v>
      </c>
    </row>
    <row r="432" spans="2:13" ht="37.5" customHeight="1" x14ac:dyDescent="0.35">
      <c r="B432" s="12">
        <v>35</v>
      </c>
      <c r="C432" s="7" t="s">
        <v>5693</v>
      </c>
      <c r="D432" s="12">
        <v>91</v>
      </c>
      <c r="E432" s="7" t="s">
        <v>6026</v>
      </c>
      <c r="F432" s="7" t="s">
        <v>6027</v>
      </c>
      <c r="G432" s="7" t="s">
        <v>244</v>
      </c>
      <c r="H432" s="7" t="s">
        <v>37</v>
      </c>
      <c r="I432" s="7" t="s">
        <v>5559</v>
      </c>
      <c r="J432" s="7" t="s">
        <v>5899</v>
      </c>
      <c r="K432" s="7" t="s">
        <v>5900</v>
      </c>
      <c r="L432" s="12">
        <v>1</v>
      </c>
      <c r="M432" s="7" t="s">
        <v>5539</v>
      </c>
    </row>
    <row r="433" spans="2:13" ht="37.5" customHeight="1" x14ac:dyDescent="0.35">
      <c r="B433" s="11">
        <v>35</v>
      </c>
      <c r="C433" s="5" t="s">
        <v>5693</v>
      </c>
      <c r="D433" s="11">
        <v>92</v>
      </c>
      <c r="E433" s="5" t="s">
        <v>6028</v>
      </c>
      <c r="F433" s="5" t="s">
        <v>6029</v>
      </c>
      <c r="G433" s="5" t="s">
        <v>865</v>
      </c>
      <c r="H433" s="5" t="s">
        <v>1167</v>
      </c>
      <c r="I433" s="5" t="s">
        <v>6030</v>
      </c>
      <c r="J433" s="5" t="s">
        <v>5782</v>
      </c>
      <c r="K433" s="5" t="s">
        <v>6031</v>
      </c>
      <c r="L433" s="11">
        <v>2</v>
      </c>
      <c r="M433" s="5" t="s">
        <v>5539</v>
      </c>
    </row>
    <row r="434" spans="2:13" ht="21.75" customHeight="1" x14ac:dyDescent="0.35">
      <c r="B434" s="12">
        <v>35</v>
      </c>
      <c r="C434" s="7" t="s">
        <v>5693</v>
      </c>
      <c r="D434" s="12">
        <v>93</v>
      </c>
      <c r="E434" s="7" t="s">
        <v>6032</v>
      </c>
      <c r="F434" s="7" t="s">
        <v>6033</v>
      </c>
      <c r="G434" s="7" t="s">
        <v>635</v>
      </c>
      <c r="H434" s="7" t="s">
        <v>36</v>
      </c>
      <c r="I434" s="7" t="s">
        <v>48</v>
      </c>
      <c r="J434" s="7" t="s">
        <v>5782</v>
      </c>
      <c r="K434" s="7" t="s">
        <v>5796</v>
      </c>
      <c r="L434" s="12">
        <v>1</v>
      </c>
      <c r="M434" s="7" t="s">
        <v>5539</v>
      </c>
    </row>
    <row r="435" spans="2:13" ht="37.5" customHeight="1" x14ac:dyDescent="0.35">
      <c r="B435" s="11">
        <v>35</v>
      </c>
      <c r="C435" s="5" t="s">
        <v>5693</v>
      </c>
      <c r="D435" s="11">
        <v>94</v>
      </c>
      <c r="E435" s="5" t="s">
        <v>6034</v>
      </c>
      <c r="F435" s="5" t="s">
        <v>6035</v>
      </c>
      <c r="G435" s="5" t="s">
        <v>552</v>
      </c>
      <c r="H435" s="5" t="s">
        <v>36</v>
      </c>
      <c r="I435" s="5" t="s">
        <v>48</v>
      </c>
      <c r="J435" s="5" t="s">
        <v>5702</v>
      </c>
      <c r="K435" s="5" t="s">
        <v>5722</v>
      </c>
      <c r="L435" s="11">
        <v>1</v>
      </c>
      <c r="M435" s="5" t="s">
        <v>5539</v>
      </c>
    </row>
    <row r="436" spans="2:13" ht="37.5" customHeight="1" x14ac:dyDescent="0.35">
      <c r="B436" s="12">
        <v>35</v>
      </c>
      <c r="C436" s="7" t="s">
        <v>5693</v>
      </c>
      <c r="D436" s="12">
        <v>95</v>
      </c>
      <c r="E436" s="7" t="s">
        <v>6036</v>
      </c>
      <c r="F436" s="7" t="s">
        <v>6037</v>
      </c>
      <c r="G436" s="7" t="s">
        <v>701</v>
      </c>
      <c r="H436" s="7" t="s">
        <v>36</v>
      </c>
      <c r="I436" s="7" t="s">
        <v>1885</v>
      </c>
      <c r="J436" s="7" t="s">
        <v>5782</v>
      </c>
      <c r="K436" s="7" t="s">
        <v>5981</v>
      </c>
      <c r="L436" s="12">
        <v>1</v>
      </c>
      <c r="M436" s="7" t="s">
        <v>5539</v>
      </c>
    </row>
    <row r="437" spans="2:13" ht="37.5" customHeight="1" x14ac:dyDescent="0.35">
      <c r="B437" s="11">
        <v>35</v>
      </c>
      <c r="C437" s="5" t="s">
        <v>5693</v>
      </c>
      <c r="D437" s="11">
        <v>96</v>
      </c>
      <c r="E437" s="5" t="s">
        <v>6038</v>
      </c>
      <c r="F437" s="5" t="s">
        <v>6039</v>
      </c>
      <c r="G437" s="5" t="s">
        <v>176</v>
      </c>
      <c r="H437" s="5" t="s">
        <v>45</v>
      </c>
      <c r="I437" s="5" t="s">
        <v>6040</v>
      </c>
      <c r="J437" s="5" t="s">
        <v>5863</v>
      </c>
      <c r="K437" s="5" t="s">
        <v>6041</v>
      </c>
      <c r="L437" s="11">
        <v>1</v>
      </c>
      <c r="M437" s="5" t="s">
        <v>5539</v>
      </c>
    </row>
    <row r="438" spans="2:13" ht="37.5" customHeight="1" x14ac:dyDescent="0.35">
      <c r="B438" s="12">
        <v>35</v>
      </c>
      <c r="C438" s="7" t="s">
        <v>5693</v>
      </c>
      <c r="D438" s="12">
        <v>97</v>
      </c>
      <c r="E438" s="7" t="s">
        <v>6042</v>
      </c>
      <c r="F438" s="7" t="s">
        <v>6043</v>
      </c>
      <c r="G438" s="7" t="s">
        <v>6044</v>
      </c>
      <c r="H438" s="7" t="s">
        <v>36</v>
      </c>
      <c r="I438" s="7" t="s">
        <v>48</v>
      </c>
      <c r="J438" s="7" t="s">
        <v>5782</v>
      </c>
      <c r="K438" s="7" t="s">
        <v>5796</v>
      </c>
      <c r="L438" s="12">
        <v>1</v>
      </c>
      <c r="M438" s="7" t="s">
        <v>5539</v>
      </c>
    </row>
    <row r="439" spans="2:13" ht="37.5" customHeight="1" x14ac:dyDescent="0.35">
      <c r="B439" s="11">
        <v>35</v>
      </c>
      <c r="C439" s="5" t="s">
        <v>5693</v>
      </c>
      <c r="D439" s="11">
        <v>98</v>
      </c>
      <c r="E439" s="5" t="s">
        <v>6045</v>
      </c>
      <c r="F439" s="5" t="s">
        <v>6046</v>
      </c>
      <c r="G439" s="5" t="s">
        <v>24</v>
      </c>
      <c r="H439" s="5" t="s">
        <v>36</v>
      </c>
      <c r="I439" s="5" t="s">
        <v>48</v>
      </c>
      <c r="J439" s="5" t="s">
        <v>5782</v>
      </c>
      <c r="K439" s="5" t="s">
        <v>5796</v>
      </c>
      <c r="L439" s="11">
        <v>1</v>
      </c>
      <c r="M439" s="5" t="s">
        <v>5539</v>
      </c>
    </row>
    <row r="440" spans="2:13" ht="21.75" customHeight="1" x14ac:dyDescent="0.35">
      <c r="B440" s="12">
        <v>35</v>
      </c>
      <c r="C440" s="7" t="s">
        <v>5693</v>
      </c>
      <c r="D440" s="12">
        <v>99</v>
      </c>
      <c r="E440" s="7" t="s">
        <v>6047</v>
      </c>
      <c r="F440" s="7" t="s">
        <v>6048</v>
      </c>
      <c r="G440" s="7" t="s">
        <v>1164</v>
      </c>
      <c r="H440" s="7" t="s">
        <v>36</v>
      </c>
      <c r="I440" s="7" t="s">
        <v>48</v>
      </c>
      <c r="J440" s="7" t="s">
        <v>5782</v>
      </c>
      <c r="K440" s="7" t="s">
        <v>5796</v>
      </c>
      <c r="L440" s="12">
        <v>1</v>
      </c>
      <c r="M440" s="7" t="s">
        <v>5539</v>
      </c>
    </row>
    <row r="441" spans="2:13" ht="21.75" customHeight="1" x14ac:dyDescent="0.35">
      <c r="B441" s="11">
        <v>35</v>
      </c>
      <c r="C441" s="5" t="s">
        <v>5693</v>
      </c>
      <c r="D441" s="11">
        <v>100</v>
      </c>
      <c r="E441" s="5" t="s">
        <v>6049</v>
      </c>
      <c r="F441" s="5" t="s">
        <v>6050</v>
      </c>
      <c r="G441" s="5" t="s">
        <v>541</v>
      </c>
      <c r="H441" s="5" t="s">
        <v>36</v>
      </c>
      <c r="I441" s="5" t="s">
        <v>48</v>
      </c>
      <c r="J441" s="5" t="s">
        <v>5702</v>
      </c>
      <c r="K441" s="5" t="s">
        <v>5722</v>
      </c>
      <c r="L441" s="11">
        <v>1</v>
      </c>
      <c r="M441" s="5" t="s">
        <v>5539</v>
      </c>
    </row>
    <row r="442" spans="2:13" ht="37.5" customHeight="1" x14ac:dyDescent="0.35">
      <c r="B442" s="12">
        <v>35</v>
      </c>
      <c r="C442" s="7" t="s">
        <v>5693</v>
      </c>
      <c r="D442" s="12">
        <v>101</v>
      </c>
      <c r="E442" s="7" t="s">
        <v>6051</v>
      </c>
      <c r="F442" s="7" t="s">
        <v>6052</v>
      </c>
      <c r="G442" s="7" t="s">
        <v>848</v>
      </c>
      <c r="H442" s="7" t="s">
        <v>36</v>
      </c>
      <c r="I442" s="7" t="s">
        <v>48</v>
      </c>
      <c r="J442" s="7" t="s">
        <v>5782</v>
      </c>
      <c r="K442" s="7" t="s">
        <v>5796</v>
      </c>
      <c r="L442" s="12">
        <v>1</v>
      </c>
      <c r="M442" s="7" t="s">
        <v>5539</v>
      </c>
    </row>
    <row r="443" spans="2:13" ht="21.75" customHeight="1" x14ac:dyDescent="0.35">
      <c r="B443" s="11">
        <v>35</v>
      </c>
      <c r="C443" s="5" t="s">
        <v>5693</v>
      </c>
      <c r="D443" s="11">
        <v>102</v>
      </c>
      <c r="E443" s="5" t="s">
        <v>6053</v>
      </c>
      <c r="F443" s="5" t="s">
        <v>6054</v>
      </c>
      <c r="G443" s="5" t="s">
        <v>800</v>
      </c>
      <c r="H443" s="5" t="s">
        <v>37</v>
      </c>
      <c r="I443" s="5" t="s">
        <v>5559</v>
      </c>
      <c r="J443" s="5" t="s">
        <v>5899</v>
      </c>
      <c r="K443" s="5" t="s">
        <v>5900</v>
      </c>
      <c r="L443" s="11">
        <v>1</v>
      </c>
      <c r="M443" s="5" t="s">
        <v>5539</v>
      </c>
    </row>
    <row r="444" spans="2:13" ht="21.75" customHeight="1" x14ac:dyDescent="0.35">
      <c r="B444" s="12">
        <v>35</v>
      </c>
      <c r="C444" s="7" t="s">
        <v>5693</v>
      </c>
      <c r="D444" s="12">
        <v>103</v>
      </c>
      <c r="E444" s="7" t="s">
        <v>6055</v>
      </c>
      <c r="F444" s="7" t="s">
        <v>6056</v>
      </c>
      <c r="G444" s="7" t="s">
        <v>888</v>
      </c>
      <c r="H444" s="7" t="s">
        <v>37</v>
      </c>
      <c r="I444" s="7" t="s">
        <v>5559</v>
      </c>
      <c r="J444" s="7" t="s">
        <v>5899</v>
      </c>
      <c r="K444" s="7" t="s">
        <v>5900</v>
      </c>
      <c r="L444" s="12">
        <v>1</v>
      </c>
      <c r="M444" s="7" t="s">
        <v>5539</v>
      </c>
    </row>
    <row r="445" spans="2:13" ht="21.75" customHeight="1" x14ac:dyDescent="0.35">
      <c r="B445" s="11">
        <v>35</v>
      </c>
      <c r="C445" s="5" t="s">
        <v>5693</v>
      </c>
      <c r="D445" s="11">
        <v>104</v>
      </c>
      <c r="E445" s="5" t="s">
        <v>6057</v>
      </c>
      <c r="F445" s="5" t="s">
        <v>6058</v>
      </c>
      <c r="G445" s="5" t="s">
        <v>862</v>
      </c>
      <c r="H445" s="5" t="s">
        <v>45</v>
      </c>
      <c r="I445" s="5" t="s">
        <v>6040</v>
      </c>
      <c r="J445" s="5" t="s">
        <v>5912</v>
      </c>
      <c r="K445" s="5" t="s">
        <v>6059</v>
      </c>
      <c r="L445" s="11">
        <v>1</v>
      </c>
      <c r="M445" s="5" t="s">
        <v>5539</v>
      </c>
    </row>
    <row r="446" spans="2:13" ht="37.5" customHeight="1" x14ac:dyDescent="0.35">
      <c r="B446" s="12">
        <v>35</v>
      </c>
      <c r="C446" s="7" t="s">
        <v>5693</v>
      </c>
      <c r="D446" s="12">
        <v>105</v>
      </c>
      <c r="E446" s="7" t="s">
        <v>6060</v>
      </c>
      <c r="F446" s="7" t="s">
        <v>6061</v>
      </c>
      <c r="G446" s="7" t="s">
        <v>880</v>
      </c>
      <c r="H446" s="7" t="s">
        <v>37</v>
      </c>
      <c r="I446" s="7" t="s">
        <v>5559</v>
      </c>
      <c r="J446" s="7" t="s">
        <v>5899</v>
      </c>
      <c r="K446" s="7" t="s">
        <v>5900</v>
      </c>
      <c r="L446" s="12">
        <v>1</v>
      </c>
      <c r="M446" s="7" t="s">
        <v>5539</v>
      </c>
    </row>
    <row r="447" spans="2:13" ht="21.75" customHeight="1" x14ac:dyDescent="0.35">
      <c r="B447" s="11">
        <v>35</v>
      </c>
      <c r="C447" s="5" t="s">
        <v>5693</v>
      </c>
      <c r="D447" s="11">
        <v>106</v>
      </c>
      <c r="E447" s="5" t="s">
        <v>6062</v>
      </c>
      <c r="F447" s="5" t="s">
        <v>6063</v>
      </c>
      <c r="G447" s="5" t="s">
        <v>32</v>
      </c>
      <c r="H447" s="5" t="s">
        <v>36</v>
      </c>
      <c r="I447" s="5" t="s">
        <v>48</v>
      </c>
      <c r="J447" s="5" t="s">
        <v>5702</v>
      </c>
      <c r="K447" s="5" t="s">
        <v>5722</v>
      </c>
      <c r="L447" s="11">
        <v>1</v>
      </c>
      <c r="M447" s="5" t="s">
        <v>5539</v>
      </c>
    </row>
    <row r="448" spans="2:13" ht="37.5" customHeight="1" x14ac:dyDescent="0.35">
      <c r="B448" s="12">
        <v>35</v>
      </c>
      <c r="C448" s="7" t="s">
        <v>5693</v>
      </c>
      <c r="D448" s="12">
        <v>107</v>
      </c>
      <c r="E448" s="7" t="s">
        <v>6064</v>
      </c>
      <c r="F448" s="7" t="s">
        <v>6065</v>
      </c>
      <c r="G448" s="7" t="s">
        <v>656</v>
      </c>
      <c r="H448" s="7" t="s">
        <v>37</v>
      </c>
      <c r="I448" s="7" t="s">
        <v>5559</v>
      </c>
      <c r="J448" s="7" t="s">
        <v>5899</v>
      </c>
      <c r="K448" s="7" t="s">
        <v>5900</v>
      </c>
      <c r="L448" s="12">
        <v>1</v>
      </c>
      <c r="M448" s="7" t="s">
        <v>5539</v>
      </c>
    </row>
    <row r="449" spans="2:13" ht="21.75" customHeight="1" x14ac:dyDescent="0.35">
      <c r="B449" s="11">
        <v>35</v>
      </c>
      <c r="C449" s="5" t="s">
        <v>5693</v>
      </c>
      <c r="D449" s="11">
        <v>108</v>
      </c>
      <c r="E449" s="5" t="s">
        <v>6066</v>
      </c>
      <c r="F449" s="5" t="s">
        <v>6067</v>
      </c>
      <c r="G449" s="5" t="s">
        <v>924</v>
      </c>
      <c r="H449" s="5" t="s">
        <v>37</v>
      </c>
      <c r="I449" s="5" t="s">
        <v>5559</v>
      </c>
      <c r="J449" s="5" t="s">
        <v>5899</v>
      </c>
      <c r="K449" s="5" t="s">
        <v>5900</v>
      </c>
      <c r="L449" s="11">
        <v>1</v>
      </c>
      <c r="M449" s="5" t="s">
        <v>5539</v>
      </c>
    </row>
    <row r="450" spans="2:13" ht="37.5" customHeight="1" x14ac:dyDescent="0.35">
      <c r="B450" s="12">
        <v>35</v>
      </c>
      <c r="C450" s="7" t="s">
        <v>5693</v>
      </c>
      <c r="D450" s="12">
        <v>109</v>
      </c>
      <c r="E450" s="7" t="s">
        <v>6068</v>
      </c>
      <c r="F450" s="7" t="s">
        <v>6069</v>
      </c>
      <c r="G450" s="7" t="s">
        <v>856</v>
      </c>
      <c r="H450" s="7" t="s">
        <v>1995</v>
      </c>
      <c r="I450" s="7" t="s">
        <v>6070</v>
      </c>
      <c r="J450" s="7" t="s">
        <v>6071</v>
      </c>
      <c r="K450" s="7" t="s">
        <v>6072</v>
      </c>
      <c r="L450" s="12">
        <v>2</v>
      </c>
      <c r="M450" s="7" t="s">
        <v>5539</v>
      </c>
    </row>
    <row r="451" spans="2:13" ht="37.5" customHeight="1" x14ac:dyDescent="0.35">
      <c r="B451" s="11">
        <v>35</v>
      </c>
      <c r="C451" s="5" t="s">
        <v>5693</v>
      </c>
      <c r="D451" s="11">
        <v>110</v>
      </c>
      <c r="E451" s="5" t="s">
        <v>6073</v>
      </c>
      <c r="F451" s="5" t="s">
        <v>6074</v>
      </c>
      <c r="G451" s="5" t="s">
        <v>662</v>
      </c>
      <c r="H451" s="5" t="s">
        <v>37</v>
      </c>
      <c r="I451" s="5" t="s">
        <v>5559</v>
      </c>
      <c r="J451" s="5" t="s">
        <v>5899</v>
      </c>
      <c r="K451" s="5" t="s">
        <v>5900</v>
      </c>
      <c r="L451" s="11">
        <v>1</v>
      </c>
      <c r="M451" s="5" t="s">
        <v>5539</v>
      </c>
    </row>
    <row r="452" spans="2:13" ht="37.5" customHeight="1" x14ac:dyDescent="0.35">
      <c r="B452" s="12">
        <v>35</v>
      </c>
      <c r="C452" s="7" t="s">
        <v>5693</v>
      </c>
      <c r="D452" s="12">
        <v>111</v>
      </c>
      <c r="E452" s="7" t="s">
        <v>6075</v>
      </c>
      <c r="F452" s="7" t="s">
        <v>6076</v>
      </c>
      <c r="G452" s="7" t="s">
        <v>2608</v>
      </c>
      <c r="H452" s="7" t="s">
        <v>1167</v>
      </c>
      <c r="I452" s="7" t="s">
        <v>6030</v>
      </c>
      <c r="J452" s="7" t="s">
        <v>6077</v>
      </c>
      <c r="K452" s="7" t="s">
        <v>6078</v>
      </c>
      <c r="L452" s="12">
        <v>2</v>
      </c>
      <c r="M452" s="7" t="s">
        <v>5539</v>
      </c>
    </row>
    <row r="453" spans="2:13" ht="21.75" customHeight="1" x14ac:dyDescent="0.35">
      <c r="B453" s="11">
        <v>35</v>
      </c>
      <c r="C453" s="5" t="s">
        <v>5693</v>
      </c>
      <c r="D453" s="11">
        <v>112</v>
      </c>
      <c r="E453" s="5" t="s">
        <v>6079</v>
      </c>
      <c r="F453" s="5" t="s">
        <v>6080</v>
      </c>
      <c r="G453" s="5" t="s">
        <v>6081</v>
      </c>
      <c r="H453" s="5" t="s">
        <v>38</v>
      </c>
      <c r="I453" s="5" t="s">
        <v>268</v>
      </c>
      <c r="J453" s="5" t="s">
        <v>6082</v>
      </c>
      <c r="K453" s="5" t="s">
        <v>6083</v>
      </c>
      <c r="L453" s="11">
        <v>1</v>
      </c>
      <c r="M453" s="5" t="s">
        <v>5539</v>
      </c>
    </row>
    <row r="454" spans="2:13" ht="37.5" customHeight="1" x14ac:dyDescent="0.35">
      <c r="B454" s="12">
        <v>35</v>
      </c>
      <c r="C454" s="7" t="s">
        <v>5693</v>
      </c>
      <c r="D454" s="12">
        <v>113</v>
      </c>
      <c r="E454" s="7" t="s">
        <v>6084</v>
      </c>
      <c r="F454" s="7" t="s">
        <v>6085</v>
      </c>
      <c r="G454" s="7" t="s">
        <v>557</v>
      </c>
      <c r="H454" s="7" t="s">
        <v>36</v>
      </c>
      <c r="I454" s="7" t="s">
        <v>48</v>
      </c>
      <c r="J454" s="7" t="s">
        <v>5782</v>
      </c>
      <c r="K454" s="7" t="s">
        <v>5796</v>
      </c>
      <c r="L454" s="12">
        <v>1</v>
      </c>
      <c r="M454" s="7" t="s">
        <v>5539</v>
      </c>
    </row>
    <row r="455" spans="2:13" ht="37.5" customHeight="1" x14ac:dyDescent="0.35">
      <c r="B455" s="11">
        <v>35</v>
      </c>
      <c r="C455" s="5" t="s">
        <v>5693</v>
      </c>
      <c r="D455" s="11">
        <v>114</v>
      </c>
      <c r="E455" s="5" t="s">
        <v>6086</v>
      </c>
      <c r="F455" s="5" t="s">
        <v>6087</v>
      </c>
      <c r="G455" s="5" t="s">
        <v>573</v>
      </c>
      <c r="H455" s="5" t="s">
        <v>1521</v>
      </c>
      <c r="I455" s="5" t="s">
        <v>5959</v>
      </c>
      <c r="J455" s="5" t="s">
        <v>5960</v>
      </c>
      <c r="K455" s="5" t="s">
        <v>5961</v>
      </c>
      <c r="L455" s="11">
        <v>2</v>
      </c>
      <c r="M455" s="5" t="s">
        <v>5539</v>
      </c>
    </row>
    <row r="456" spans="2:13" ht="37.5" customHeight="1" x14ac:dyDescent="0.35">
      <c r="B456" s="12">
        <v>35</v>
      </c>
      <c r="C456" s="7" t="s">
        <v>5693</v>
      </c>
      <c r="D456" s="12">
        <v>115</v>
      </c>
      <c r="E456" s="7" t="s">
        <v>6088</v>
      </c>
      <c r="F456" s="7" t="s">
        <v>6089</v>
      </c>
      <c r="G456" s="7" t="s">
        <v>6090</v>
      </c>
      <c r="H456" s="7" t="s">
        <v>36</v>
      </c>
      <c r="I456" s="7" t="s">
        <v>48</v>
      </c>
      <c r="J456" s="7" t="s">
        <v>5782</v>
      </c>
      <c r="K456" s="7" t="s">
        <v>5796</v>
      </c>
      <c r="L456" s="12">
        <v>1</v>
      </c>
      <c r="M456" s="7" t="s">
        <v>5539</v>
      </c>
    </row>
    <row r="457" spans="2:13" ht="37.5" customHeight="1" x14ac:dyDescent="0.35">
      <c r="B457" s="11">
        <v>35</v>
      </c>
      <c r="C457" s="5" t="s">
        <v>5693</v>
      </c>
      <c r="D457" s="11">
        <v>116</v>
      </c>
      <c r="E457" s="5" t="s">
        <v>6091</v>
      </c>
      <c r="F457" s="5" t="s">
        <v>6092</v>
      </c>
      <c r="G457" s="5" t="s">
        <v>678</v>
      </c>
      <c r="H457" s="5" t="s">
        <v>36</v>
      </c>
      <c r="I457" s="5" t="s">
        <v>48</v>
      </c>
      <c r="J457" s="5" t="s">
        <v>5702</v>
      </c>
      <c r="K457" s="5" t="s">
        <v>5722</v>
      </c>
      <c r="L457" s="11">
        <v>1</v>
      </c>
      <c r="M457" s="5" t="s">
        <v>5539</v>
      </c>
    </row>
    <row r="458" spans="2:13" ht="37.5" customHeight="1" x14ac:dyDescent="0.35">
      <c r="B458" s="12">
        <v>35</v>
      </c>
      <c r="C458" s="7" t="s">
        <v>5693</v>
      </c>
      <c r="D458" s="12">
        <v>117</v>
      </c>
      <c r="E458" s="7" t="s">
        <v>6093</v>
      </c>
      <c r="F458" s="7" t="s">
        <v>6094</v>
      </c>
      <c r="G458" s="7" t="s">
        <v>6095</v>
      </c>
      <c r="H458" s="7" t="s">
        <v>1355</v>
      </c>
      <c r="I458" s="7" t="s">
        <v>6096</v>
      </c>
      <c r="J458" s="7" t="s">
        <v>5707</v>
      </c>
      <c r="K458" s="7" t="s">
        <v>6097</v>
      </c>
      <c r="L458" s="12">
        <v>2</v>
      </c>
      <c r="M458" s="7" t="s">
        <v>5539</v>
      </c>
    </row>
    <row r="459" spans="2:13" ht="21.75" customHeight="1" x14ac:dyDescent="0.35">
      <c r="B459" s="11">
        <v>35</v>
      </c>
      <c r="C459" s="5" t="s">
        <v>5693</v>
      </c>
      <c r="D459" s="11">
        <v>118</v>
      </c>
      <c r="E459" s="5" t="s">
        <v>6098</v>
      </c>
      <c r="F459" s="5" t="s">
        <v>6099</v>
      </c>
      <c r="G459" s="5" t="s">
        <v>813</v>
      </c>
      <c r="H459" s="5" t="s">
        <v>36</v>
      </c>
      <c r="I459" s="5" t="s">
        <v>5409</v>
      </c>
      <c r="J459" s="5" t="s">
        <v>5782</v>
      </c>
      <c r="K459" s="5" t="s">
        <v>6100</v>
      </c>
      <c r="L459" s="11">
        <v>1</v>
      </c>
      <c r="M459" s="5" t="s">
        <v>5539</v>
      </c>
    </row>
    <row r="460" spans="2:13" ht="37.5" customHeight="1" x14ac:dyDescent="0.35">
      <c r="B460" s="12">
        <v>35</v>
      </c>
      <c r="C460" s="7" t="s">
        <v>5693</v>
      </c>
      <c r="D460" s="12">
        <v>119</v>
      </c>
      <c r="E460" s="7" t="s">
        <v>6101</v>
      </c>
      <c r="F460" s="7" t="s">
        <v>6102</v>
      </c>
      <c r="G460" s="7" t="s">
        <v>3135</v>
      </c>
      <c r="H460" s="7" t="s">
        <v>45</v>
      </c>
      <c r="I460" s="7" t="s">
        <v>6103</v>
      </c>
      <c r="J460" s="7" t="s">
        <v>5912</v>
      </c>
      <c r="K460" s="7" t="s">
        <v>6104</v>
      </c>
      <c r="L460" s="12">
        <v>1</v>
      </c>
      <c r="M460" s="7" t="s">
        <v>5539</v>
      </c>
    </row>
    <row r="461" spans="2:13" ht="37.5" customHeight="1" x14ac:dyDescent="0.35">
      <c r="B461" s="11">
        <v>35</v>
      </c>
      <c r="C461" s="5" t="s">
        <v>5693</v>
      </c>
      <c r="D461" s="11">
        <v>120</v>
      </c>
      <c r="E461" s="5" t="s">
        <v>6105</v>
      </c>
      <c r="F461" s="5" t="s">
        <v>6106</v>
      </c>
      <c r="G461" s="5" t="s">
        <v>698</v>
      </c>
      <c r="H461" s="5" t="s">
        <v>36</v>
      </c>
      <c r="I461" s="5" t="s">
        <v>48</v>
      </c>
      <c r="J461" s="5" t="s">
        <v>5782</v>
      </c>
      <c r="K461" s="5" t="s">
        <v>5796</v>
      </c>
      <c r="L461" s="11">
        <v>1</v>
      </c>
      <c r="M461" s="5" t="s">
        <v>5539</v>
      </c>
    </row>
    <row r="462" spans="2:13" ht="21.75" customHeight="1" x14ac:dyDescent="0.35">
      <c r="B462" s="12">
        <v>35</v>
      </c>
      <c r="C462" s="7" t="s">
        <v>5693</v>
      </c>
      <c r="D462" s="12">
        <v>121</v>
      </c>
      <c r="E462" s="7" t="s">
        <v>6107</v>
      </c>
      <c r="F462" s="7" t="s">
        <v>6108</v>
      </c>
      <c r="G462" s="7" t="s">
        <v>1647</v>
      </c>
      <c r="H462" s="7" t="s">
        <v>36</v>
      </c>
      <c r="I462" s="7" t="s">
        <v>48</v>
      </c>
      <c r="J462" s="7" t="s">
        <v>5782</v>
      </c>
      <c r="K462" s="7" t="s">
        <v>5796</v>
      </c>
      <c r="L462" s="12">
        <v>1</v>
      </c>
      <c r="M462" s="7" t="s">
        <v>5539</v>
      </c>
    </row>
    <row r="463" spans="2:13" ht="21.75" customHeight="1" x14ac:dyDescent="0.35">
      <c r="B463" s="11">
        <v>35</v>
      </c>
      <c r="C463" s="5" t="s">
        <v>5693</v>
      </c>
      <c r="D463" s="11">
        <v>122</v>
      </c>
      <c r="E463" s="5" t="s">
        <v>6109</v>
      </c>
      <c r="F463" s="5" t="s">
        <v>6110</v>
      </c>
      <c r="G463" s="5" t="s">
        <v>3185</v>
      </c>
      <c r="H463" s="5" t="s">
        <v>45</v>
      </c>
      <c r="I463" s="5" t="s">
        <v>6040</v>
      </c>
      <c r="J463" s="5" t="s">
        <v>5912</v>
      </c>
      <c r="K463" s="5" t="s">
        <v>6059</v>
      </c>
      <c r="L463" s="11">
        <v>1</v>
      </c>
      <c r="M463" s="5" t="s">
        <v>5539</v>
      </c>
    </row>
    <row r="464" spans="2:13" ht="37.5" customHeight="1" x14ac:dyDescent="0.35">
      <c r="B464" s="12">
        <v>35</v>
      </c>
      <c r="C464" s="7" t="s">
        <v>5693</v>
      </c>
      <c r="D464" s="12">
        <v>123</v>
      </c>
      <c r="E464" s="7" t="s">
        <v>6111</v>
      </c>
      <c r="F464" s="7" t="s">
        <v>6112</v>
      </c>
      <c r="G464" s="7" t="s">
        <v>653</v>
      </c>
      <c r="H464" s="7" t="s">
        <v>45</v>
      </c>
      <c r="I464" s="7" t="s">
        <v>6113</v>
      </c>
      <c r="J464" s="7" t="s">
        <v>5912</v>
      </c>
      <c r="K464" s="7" t="s">
        <v>6114</v>
      </c>
      <c r="L464" s="12">
        <v>1</v>
      </c>
      <c r="M464" s="7" t="s">
        <v>5539</v>
      </c>
    </row>
    <row r="465" spans="2:13" ht="37.5" customHeight="1" x14ac:dyDescent="0.35">
      <c r="B465" s="11">
        <v>35</v>
      </c>
      <c r="C465" s="5" t="s">
        <v>5693</v>
      </c>
      <c r="D465" s="11">
        <v>124</v>
      </c>
      <c r="E465" s="5" t="s">
        <v>6115</v>
      </c>
      <c r="F465" s="5" t="s">
        <v>6116</v>
      </c>
      <c r="G465" s="5" t="s">
        <v>752</v>
      </c>
      <c r="H465" s="5" t="s">
        <v>37</v>
      </c>
      <c r="I465" s="5" t="s">
        <v>5559</v>
      </c>
      <c r="J465" s="5" t="s">
        <v>5899</v>
      </c>
      <c r="K465" s="5" t="s">
        <v>5900</v>
      </c>
      <c r="L465" s="11">
        <v>1</v>
      </c>
      <c r="M465" s="5" t="s">
        <v>5539</v>
      </c>
    </row>
    <row r="466" spans="2:13" ht="37.5" customHeight="1" x14ac:dyDescent="0.35">
      <c r="B466" s="12">
        <v>35</v>
      </c>
      <c r="C466" s="7" t="s">
        <v>5693</v>
      </c>
      <c r="D466" s="12">
        <v>125</v>
      </c>
      <c r="E466" s="7" t="s">
        <v>6117</v>
      </c>
      <c r="F466" s="7" t="s">
        <v>6118</v>
      </c>
      <c r="G466" s="7" t="s">
        <v>6119</v>
      </c>
      <c r="H466" s="7" t="s">
        <v>37</v>
      </c>
      <c r="I466" s="7" t="s">
        <v>5559</v>
      </c>
      <c r="J466" s="7" t="s">
        <v>5899</v>
      </c>
      <c r="K466" s="7" t="s">
        <v>5900</v>
      </c>
      <c r="L466" s="12">
        <v>1</v>
      </c>
      <c r="M466" s="7" t="s">
        <v>5539</v>
      </c>
    </row>
    <row r="467" spans="2:13" ht="37.5" customHeight="1" x14ac:dyDescent="0.35">
      <c r="B467" s="11">
        <v>35</v>
      </c>
      <c r="C467" s="5" t="s">
        <v>5693</v>
      </c>
      <c r="D467" s="11">
        <v>126</v>
      </c>
      <c r="E467" s="5" t="s">
        <v>6120</v>
      </c>
      <c r="F467" s="5" t="s">
        <v>6121</v>
      </c>
      <c r="G467" s="5" t="s">
        <v>6122</v>
      </c>
      <c r="H467" s="5" t="s">
        <v>37</v>
      </c>
      <c r="I467" s="5" t="s">
        <v>5559</v>
      </c>
      <c r="J467" s="5" t="s">
        <v>5899</v>
      </c>
      <c r="K467" s="5" t="s">
        <v>5900</v>
      </c>
      <c r="L467" s="11">
        <v>1</v>
      </c>
      <c r="M467" s="5" t="s">
        <v>5539</v>
      </c>
    </row>
    <row r="468" spans="2:13" ht="21.75" customHeight="1" x14ac:dyDescent="0.35">
      <c r="B468" s="12">
        <v>35</v>
      </c>
      <c r="C468" s="7" t="s">
        <v>5693</v>
      </c>
      <c r="D468" s="12">
        <v>127</v>
      </c>
      <c r="E468" s="7" t="s">
        <v>6123</v>
      </c>
      <c r="F468" s="7" t="s">
        <v>6124</v>
      </c>
      <c r="G468" s="7" t="s">
        <v>1653</v>
      </c>
      <c r="H468" s="7" t="s">
        <v>37</v>
      </c>
      <c r="I468" s="7" t="s">
        <v>5559</v>
      </c>
      <c r="J468" s="7" t="s">
        <v>5899</v>
      </c>
      <c r="K468" s="7" t="s">
        <v>5900</v>
      </c>
      <c r="L468" s="12">
        <v>1</v>
      </c>
      <c r="M468" s="7" t="s">
        <v>5539</v>
      </c>
    </row>
    <row r="469" spans="2:13" ht="37.5" customHeight="1" x14ac:dyDescent="0.35">
      <c r="B469" s="11">
        <v>35</v>
      </c>
      <c r="C469" s="5" t="s">
        <v>5693</v>
      </c>
      <c r="D469" s="11">
        <v>128</v>
      </c>
      <c r="E469" s="5" t="s">
        <v>6125</v>
      </c>
      <c r="F469" s="5" t="s">
        <v>6126</v>
      </c>
      <c r="G469" s="5" t="s">
        <v>6127</v>
      </c>
      <c r="H469" s="5" t="s">
        <v>36</v>
      </c>
      <c r="I469" s="5" t="s">
        <v>48</v>
      </c>
      <c r="J469" s="5" t="s">
        <v>5782</v>
      </c>
      <c r="K469" s="5" t="s">
        <v>5796</v>
      </c>
      <c r="L469" s="11">
        <v>1</v>
      </c>
      <c r="M469" s="5" t="s">
        <v>5539</v>
      </c>
    </row>
    <row r="470" spans="2:13" ht="37.5" customHeight="1" x14ac:dyDescent="0.35">
      <c r="B470" s="12">
        <v>35</v>
      </c>
      <c r="C470" s="7" t="s">
        <v>5693</v>
      </c>
      <c r="D470" s="12">
        <v>129</v>
      </c>
      <c r="E470" s="7" t="s">
        <v>6128</v>
      </c>
      <c r="F470" s="7" t="s">
        <v>6129</v>
      </c>
      <c r="G470" s="7" t="s">
        <v>1685</v>
      </c>
      <c r="H470" s="7" t="s">
        <v>36</v>
      </c>
      <c r="I470" s="7" t="s">
        <v>48</v>
      </c>
      <c r="J470" s="7" t="s">
        <v>5782</v>
      </c>
      <c r="K470" s="7" t="s">
        <v>5796</v>
      </c>
      <c r="L470" s="12">
        <v>1</v>
      </c>
      <c r="M470" s="7" t="s">
        <v>5539</v>
      </c>
    </row>
    <row r="471" spans="2:13" ht="37.5" customHeight="1" x14ac:dyDescent="0.35">
      <c r="B471" s="11">
        <v>35</v>
      </c>
      <c r="C471" s="5" t="s">
        <v>5693</v>
      </c>
      <c r="D471" s="11">
        <v>130</v>
      </c>
      <c r="E471" s="5" t="s">
        <v>6130</v>
      </c>
      <c r="F471" s="5" t="s">
        <v>6131</v>
      </c>
      <c r="G471" s="5" t="s">
        <v>28</v>
      </c>
      <c r="H471" s="5" t="s">
        <v>36</v>
      </c>
      <c r="I471" s="5" t="s">
        <v>48</v>
      </c>
      <c r="J471" s="5" t="s">
        <v>5702</v>
      </c>
      <c r="K471" s="5" t="s">
        <v>5722</v>
      </c>
      <c r="L471" s="11">
        <v>1</v>
      </c>
      <c r="M471" s="5" t="s">
        <v>5539</v>
      </c>
    </row>
    <row r="472" spans="2:13" ht="21.75" customHeight="1" x14ac:dyDescent="0.35">
      <c r="B472" s="12">
        <v>35</v>
      </c>
      <c r="C472" s="7" t="s">
        <v>5693</v>
      </c>
      <c r="D472" s="12">
        <v>131</v>
      </c>
      <c r="E472" s="7" t="s">
        <v>6132</v>
      </c>
      <c r="F472" s="7" t="s">
        <v>6133</v>
      </c>
      <c r="G472" s="7" t="s">
        <v>1713</v>
      </c>
      <c r="H472" s="7" t="s">
        <v>36</v>
      </c>
      <c r="I472" s="7" t="s">
        <v>48</v>
      </c>
      <c r="J472" s="7" t="s">
        <v>5782</v>
      </c>
      <c r="K472" s="7" t="s">
        <v>5796</v>
      </c>
      <c r="L472" s="12">
        <v>1</v>
      </c>
      <c r="M472" s="7" t="s">
        <v>5539</v>
      </c>
    </row>
    <row r="473" spans="2:13" ht="37.5" customHeight="1" x14ac:dyDescent="0.35">
      <c r="B473" s="11">
        <v>35</v>
      </c>
      <c r="C473" s="5" t="s">
        <v>5693</v>
      </c>
      <c r="D473" s="11">
        <v>132</v>
      </c>
      <c r="E473" s="5" t="s">
        <v>6134</v>
      </c>
      <c r="F473" s="5" t="s">
        <v>6135</v>
      </c>
      <c r="G473" s="5" t="s">
        <v>837</v>
      </c>
      <c r="H473" s="5" t="s">
        <v>36</v>
      </c>
      <c r="I473" s="5" t="s">
        <v>48</v>
      </c>
      <c r="J473" s="5" t="s">
        <v>5782</v>
      </c>
      <c r="K473" s="5" t="s">
        <v>5796</v>
      </c>
      <c r="L473" s="11">
        <v>1</v>
      </c>
      <c r="M473" s="5" t="s">
        <v>5539</v>
      </c>
    </row>
    <row r="474" spans="2:13" ht="37.5" customHeight="1" x14ac:dyDescent="0.35">
      <c r="B474" s="12">
        <v>35</v>
      </c>
      <c r="C474" s="7" t="s">
        <v>5693</v>
      </c>
      <c r="D474" s="12">
        <v>133</v>
      </c>
      <c r="E474" s="7" t="s">
        <v>6136</v>
      </c>
      <c r="F474" s="7" t="s">
        <v>6137</v>
      </c>
      <c r="G474" s="7" t="s">
        <v>805</v>
      </c>
      <c r="H474" s="7" t="s">
        <v>36</v>
      </c>
      <c r="I474" s="7" t="s">
        <v>5409</v>
      </c>
      <c r="J474" s="7" t="s">
        <v>5702</v>
      </c>
      <c r="K474" s="7" t="s">
        <v>6138</v>
      </c>
      <c r="L474" s="12">
        <v>1</v>
      </c>
      <c r="M474" s="7" t="s">
        <v>5539</v>
      </c>
    </row>
    <row r="475" spans="2:13" ht="21.75" customHeight="1" x14ac:dyDescent="0.35">
      <c r="B475" s="11">
        <v>35</v>
      </c>
      <c r="C475" s="5" t="s">
        <v>5693</v>
      </c>
      <c r="D475" s="11">
        <v>134</v>
      </c>
      <c r="E475" s="5" t="s">
        <v>6139</v>
      </c>
      <c r="F475" s="5" t="s">
        <v>6140</v>
      </c>
      <c r="G475" s="5" t="s">
        <v>26</v>
      </c>
      <c r="H475" s="5" t="s">
        <v>38</v>
      </c>
      <c r="I475" s="5" t="s">
        <v>268</v>
      </c>
      <c r="J475" s="5" t="s">
        <v>6141</v>
      </c>
      <c r="K475" s="5" t="s">
        <v>6142</v>
      </c>
      <c r="L475" s="11">
        <v>1</v>
      </c>
      <c r="M475" s="5" t="s">
        <v>5539</v>
      </c>
    </row>
    <row r="476" spans="2:13" ht="37.5" customHeight="1" x14ac:dyDescent="0.35">
      <c r="B476" s="12">
        <v>35</v>
      </c>
      <c r="C476" s="7" t="s">
        <v>5693</v>
      </c>
      <c r="D476" s="12">
        <v>135</v>
      </c>
      <c r="E476" s="7" t="s">
        <v>6143</v>
      </c>
      <c r="F476" s="7" t="s">
        <v>6144</v>
      </c>
      <c r="G476" s="7" t="s">
        <v>224</v>
      </c>
      <c r="H476" s="7" t="s">
        <v>5802</v>
      </c>
      <c r="I476" s="7" t="s">
        <v>5927</v>
      </c>
      <c r="J476" s="7" t="s">
        <v>5804</v>
      </c>
      <c r="K476" s="7" t="s">
        <v>5928</v>
      </c>
      <c r="L476" s="12">
        <v>2</v>
      </c>
      <c r="M476" s="7" t="s">
        <v>5539</v>
      </c>
    </row>
    <row r="477" spans="2:13" ht="37.5" customHeight="1" x14ac:dyDescent="0.35">
      <c r="B477" s="11">
        <v>35</v>
      </c>
      <c r="C477" s="5" t="s">
        <v>5693</v>
      </c>
      <c r="D477" s="11">
        <v>136</v>
      </c>
      <c r="E477" s="5" t="s">
        <v>6145</v>
      </c>
      <c r="F477" s="5" t="s">
        <v>6146</v>
      </c>
      <c r="G477" s="5" t="s">
        <v>6147</v>
      </c>
      <c r="H477" s="5" t="s">
        <v>37</v>
      </c>
      <c r="I477" s="5" t="s">
        <v>5559</v>
      </c>
      <c r="J477" s="5" t="s">
        <v>5899</v>
      </c>
      <c r="K477" s="5" t="s">
        <v>5900</v>
      </c>
      <c r="L477" s="11">
        <v>1</v>
      </c>
      <c r="M477" s="5" t="s">
        <v>5539</v>
      </c>
    </row>
    <row r="478" spans="2:13" ht="37.5" customHeight="1" x14ac:dyDescent="0.35">
      <c r="B478" s="12">
        <v>35</v>
      </c>
      <c r="C478" s="7" t="s">
        <v>5693</v>
      </c>
      <c r="D478" s="12">
        <v>137</v>
      </c>
      <c r="E478" s="7" t="s">
        <v>6148</v>
      </c>
      <c r="F478" s="7" t="s">
        <v>6149</v>
      </c>
      <c r="G478" s="7" t="s">
        <v>372</v>
      </c>
      <c r="H478" s="7" t="s">
        <v>37</v>
      </c>
      <c r="I478" s="7" t="s">
        <v>5559</v>
      </c>
      <c r="J478" s="7" t="s">
        <v>5899</v>
      </c>
      <c r="K478" s="7" t="s">
        <v>5900</v>
      </c>
      <c r="L478" s="12">
        <v>1</v>
      </c>
      <c r="M478" s="7" t="s">
        <v>5539</v>
      </c>
    </row>
    <row r="479" spans="2:13" ht="21.75" customHeight="1" x14ac:dyDescent="0.35">
      <c r="B479" s="11">
        <v>35</v>
      </c>
      <c r="C479" s="5" t="s">
        <v>5693</v>
      </c>
      <c r="D479" s="11">
        <v>138</v>
      </c>
      <c r="E479" s="5" t="s">
        <v>6150</v>
      </c>
      <c r="F479" s="5" t="s">
        <v>6151</v>
      </c>
      <c r="G479" s="5" t="s">
        <v>1790</v>
      </c>
      <c r="H479" s="5" t="s">
        <v>37</v>
      </c>
      <c r="I479" s="5" t="s">
        <v>5559</v>
      </c>
      <c r="J479" s="5" t="s">
        <v>5899</v>
      </c>
      <c r="K479" s="5" t="s">
        <v>5900</v>
      </c>
      <c r="L479" s="11">
        <v>1</v>
      </c>
      <c r="M479" s="5" t="s">
        <v>5539</v>
      </c>
    </row>
    <row r="480" spans="2:13" ht="21.75" customHeight="1" x14ac:dyDescent="0.35">
      <c r="B480" s="12">
        <v>35</v>
      </c>
      <c r="C480" s="7" t="s">
        <v>5693</v>
      </c>
      <c r="D480" s="12">
        <v>139</v>
      </c>
      <c r="E480" s="7" t="s">
        <v>6152</v>
      </c>
      <c r="F480" s="7" t="s">
        <v>6153</v>
      </c>
      <c r="G480" s="7" t="s">
        <v>970</v>
      </c>
      <c r="H480" s="7" t="s">
        <v>36</v>
      </c>
      <c r="I480" s="7" t="s">
        <v>48</v>
      </c>
      <c r="J480" s="7" t="s">
        <v>5782</v>
      </c>
      <c r="K480" s="7" t="s">
        <v>5796</v>
      </c>
      <c r="L480" s="12">
        <v>1</v>
      </c>
      <c r="M480" s="7" t="s">
        <v>5539</v>
      </c>
    </row>
    <row r="481" spans="2:13" ht="37.5" customHeight="1" x14ac:dyDescent="0.35">
      <c r="B481" s="11">
        <v>35</v>
      </c>
      <c r="C481" s="5" t="s">
        <v>5693</v>
      </c>
      <c r="D481" s="11">
        <v>140</v>
      </c>
      <c r="E481" s="5" t="s">
        <v>6154</v>
      </c>
      <c r="F481" s="5" t="s">
        <v>6155</v>
      </c>
      <c r="G481" s="5" t="s">
        <v>244</v>
      </c>
      <c r="H481" s="5" t="s">
        <v>36</v>
      </c>
      <c r="I481" s="5" t="s">
        <v>48</v>
      </c>
      <c r="J481" s="5" t="s">
        <v>5702</v>
      </c>
      <c r="K481" s="5" t="s">
        <v>5722</v>
      </c>
      <c r="L481" s="11">
        <v>1</v>
      </c>
      <c r="M481" s="5" t="s">
        <v>5539</v>
      </c>
    </row>
    <row r="482" spans="2:13" ht="21.75" customHeight="1" x14ac:dyDescent="0.35">
      <c r="B482" s="12">
        <v>35</v>
      </c>
      <c r="C482" s="7" t="s">
        <v>5693</v>
      </c>
      <c r="D482" s="12">
        <v>141</v>
      </c>
      <c r="E482" s="7" t="s">
        <v>6156</v>
      </c>
      <c r="F482" s="7" t="s">
        <v>6157</v>
      </c>
      <c r="G482" s="7" t="s">
        <v>828</v>
      </c>
      <c r="H482" s="7" t="s">
        <v>36</v>
      </c>
      <c r="I482" s="7" t="s">
        <v>5409</v>
      </c>
      <c r="J482" s="7" t="s">
        <v>5782</v>
      </c>
      <c r="K482" s="7" t="s">
        <v>6100</v>
      </c>
      <c r="L482" s="12">
        <v>1</v>
      </c>
      <c r="M482" s="7" t="s">
        <v>5539</v>
      </c>
    </row>
    <row r="483" spans="2:13" ht="37.5" customHeight="1" x14ac:dyDescent="0.35">
      <c r="B483" s="11">
        <v>35</v>
      </c>
      <c r="C483" s="5" t="s">
        <v>5693</v>
      </c>
      <c r="D483" s="11">
        <v>142</v>
      </c>
      <c r="E483" s="5" t="s">
        <v>6158</v>
      </c>
      <c r="F483" s="5" t="s">
        <v>6159</v>
      </c>
      <c r="G483" s="5" t="s">
        <v>26</v>
      </c>
      <c r="H483" s="5" t="s">
        <v>1521</v>
      </c>
      <c r="I483" s="5" t="s">
        <v>6160</v>
      </c>
      <c r="J483" s="5" t="s">
        <v>5960</v>
      </c>
      <c r="K483" s="5" t="s">
        <v>6161</v>
      </c>
      <c r="L483" s="11">
        <v>2</v>
      </c>
      <c r="M483" s="5" t="s">
        <v>5539</v>
      </c>
    </row>
    <row r="484" spans="2:13" ht="52.5" customHeight="1" x14ac:dyDescent="0.35">
      <c r="B484" s="12">
        <v>35</v>
      </c>
      <c r="C484" s="7" t="s">
        <v>5693</v>
      </c>
      <c r="D484" s="12">
        <v>143</v>
      </c>
      <c r="E484" s="7" t="s">
        <v>6162</v>
      </c>
      <c r="F484" s="7" t="s">
        <v>6163</v>
      </c>
      <c r="G484" s="7" t="s">
        <v>1269</v>
      </c>
      <c r="H484" s="7" t="s">
        <v>5716</v>
      </c>
      <c r="I484" s="7" t="s">
        <v>6164</v>
      </c>
      <c r="J484" s="7" t="s">
        <v>5718</v>
      </c>
      <c r="K484" s="7" t="s">
        <v>6165</v>
      </c>
      <c r="L484" s="12">
        <v>3</v>
      </c>
      <c r="M484" s="7" t="s">
        <v>5539</v>
      </c>
    </row>
    <row r="485" spans="2:13" ht="37.5" customHeight="1" x14ac:dyDescent="0.35">
      <c r="B485" s="11">
        <v>35</v>
      </c>
      <c r="C485" s="5" t="s">
        <v>5693</v>
      </c>
      <c r="D485" s="11">
        <v>144</v>
      </c>
      <c r="E485" s="5" t="s">
        <v>6166</v>
      </c>
      <c r="F485" s="5" t="s">
        <v>6167</v>
      </c>
      <c r="G485" s="5" t="s">
        <v>6147</v>
      </c>
      <c r="H485" s="5" t="s">
        <v>36</v>
      </c>
      <c r="I485" s="5" t="s">
        <v>5409</v>
      </c>
      <c r="J485" s="5" t="s">
        <v>6168</v>
      </c>
      <c r="K485" s="5" t="s">
        <v>6169</v>
      </c>
      <c r="L485" s="11">
        <v>1</v>
      </c>
      <c r="M485" s="5" t="s">
        <v>5539</v>
      </c>
    </row>
    <row r="486" spans="2:13" ht="52.5" customHeight="1" x14ac:dyDescent="0.35">
      <c r="B486" s="12">
        <v>35</v>
      </c>
      <c r="C486" s="7" t="s">
        <v>5693</v>
      </c>
      <c r="D486" s="12">
        <v>145</v>
      </c>
      <c r="E486" s="7" t="s">
        <v>6170</v>
      </c>
      <c r="F486" s="7" t="s">
        <v>6171</v>
      </c>
      <c r="G486" s="7" t="s">
        <v>865</v>
      </c>
      <c r="H486" s="7" t="s">
        <v>1349</v>
      </c>
      <c r="I486" s="7" t="s">
        <v>6172</v>
      </c>
      <c r="J486" s="7" t="s">
        <v>5769</v>
      </c>
      <c r="K486" s="7" t="s">
        <v>6173</v>
      </c>
      <c r="L486" s="12">
        <v>2</v>
      </c>
      <c r="M486" s="7" t="s">
        <v>5539</v>
      </c>
    </row>
    <row r="487" spans="2:13" ht="37.5" customHeight="1" x14ac:dyDescent="0.35">
      <c r="B487" s="11">
        <v>35</v>
      </c>
      <c r="C487" s="5" t="s">
        <v>5693</v>
      </c>
      <c r="D487" s="11">
        <v>146</v>
      </c>
      <c r="E487" s="5" t="s">
        <v>6174</v>
      </c>
      <c r="F487" s="5" t="s">
        <v>6175</v>
      </c>
      <c r="G487" s="5" t="s">
        <v>862</v>
      </c>
      <c r="H487" s="5" t="s">
        <v>1349</v>
      </c>
      <c r="I487" s="5" t="s">
        <v>6176</v>
      </c>
      <c r="J487" s="5" t="s">
        <v>5769</v>
      </c>
      <c r="K487" s="5" t="s">
        <v>6177</v>
      </c>
      <c r="L487" s="11">
        <v>2</v>
      </c>
      <c r="M487" s="5" t="s">
        <v>5539</v>
      </c>
    </row>
    <row r="488" spans="2:13" ht="37.5" customHeight="1" x14ac:dyDescent="0.35">
      <c r="B488" s="12">
        <v>35</v>
      </c>
      <c r="C488" s="7" t="s">
        <v>5693</v>
      </c>
      <c r="D488" s="12">
        <v>147</v>
      </c>
      <c r="E488" s="7" t="s">
        <v>6178</v>
      </c>
      <c r="F488" s="7" t="s">
        <v>6179</v>
      </c>
      <c r="G488" s="7" t="s">
        <v>3166</v>
      </c>
      <c r="H488" s="7" t="s">
        <v>45</v>
      </c>
      <c r="I488" s="7" t="s">
        <v>6180</v>
      </c>
      <c r="J488" s="7" t="s">
        <v>5912</v>
      </c>
      <c r="K488" s="7" t="s">
        <v>6181</v>
      </c>
      <c r="L488" s="12">
        <v>1</v>
      </c>
      <c r="M488" s="7" t="s">
        <v>5539</v>
      </c>
    </row>
    <row r="489" spans="2:13" ht="21.75" customHeight="1" x14ac:dyDescent="0.35">
      <c r="B489" s="11">
        <v>35</v>
      </c>
      <c r="C489" s="5" t="s">
        <v>5693</v>
      </c>
      <c r="D489" s="11">
        <v>148</v>
      </c>
      <c r="E489" s="5" t="s">
        <v>6182</v>
      </c>
      <c r="F489" s="5" t="s">
        <v>6183</v>
      </c>
      <c r="G489" s="5" t="s">
        <v>549</v>
      </c>
      <c r="H489" s="5" t="s">
        <v>38</v>
      </c>
      <c r="I489" s="5" t="s">
        <v>268</v>
      </c>
      <c r="J489" s="5" t="s">
        <v>6168</v>
      </c>
      <c r="K489" s="5" t="s">
        <v>6184</v>
      </c>
      <c r="L489" s="11">
        <v>1</v>
      </c>
      <c r="M489" s="5" t="s">
        <v>5539</v>
      </c>
    </row>
    <row r="490" spans="2:13" ht="21.75" customHeight="1" x14ac:dyDescent="0.35">
      <c r="B490" s="12">
        <v>35</v>
      </c>
      <c r="C490" s="7" t="s">
        <v>5693</v>
      </c>
      <c r="D490" s="12">
        <v>149</v>
      </c>
      <c r="E490" s="7" t="s">
        <v>6185</v>
      </c>
      <c r="F490" s="7" t="s">
        <v>6186</v>
      </c>
      <c r="G490" s="7" t="s">
        <v>3703</v>
      </c>
      <c r="H490" s="7" t="s">
        <v>36</v>
      </c>
      <c r="I490" s="7" t="s">
        <v>48</v>
      </c>
      <c r="J490" s="7" t="s">
        <v>5782</v>
      </c>
      <c r="K490" s="7" t="s">
        <v>5796</v>
      </c>
      <c r="L490" s="12">
        <v>1</v>
      </c>
      <c r="M490" s="7" t="s">
        <v>5539</v>
      </c>
    </row>
    <row r="491" spans="2:13" ht="37.5" customHeight="1" x14ac:dyDescent="0.35">
      <c r="B491" s="11">
        <v>35</v>
      </c>
      <c r="C491" s="5" t="s">
        <v>5693</v>
      </c>
      <c r="D491" s="11">
        <v>150</v>
      </c>
      <c r="E491" s="5" t="s">
        <v>6187</v>
      </c>
      <c r="F491" s="5" t="s">
        <v>6188</v>
      </c>
      <c r="G491" s="5" t="s">
        <v>842</v>
      </c>
      <c r="H491" s="5" t="s">
        <v>36</v>
      </c>
      <c r="I491" s="5" t="s">
        <v>48</v>
      </c>
      <c r="J491" s="5" t="s">
        <v>5782</v>
      </c>
      <c r="K491" s="5" t="s">
        <v>5796</v>
      </c>
      <c r="L491" s="11">
        <v>1</v>
      </c>
      <c r="M491" s="5" t="s">
        <v>5539</v>
      </c>
    </row>
    <row r="492" spans="2:13" ht="37.5" customHeight="1" x14ac:dyDescent="0.35">
      <c r="B492" s="12">
        <v>35</v>
      </c>
      <c r="C492" s="7" t="s">
        <v>5693</v>
      </c>
      <c r="D492" s="12">
        <v>151</v>
      </c>
      <c r="E492" s="7" t="s">
        <v>6189</v>
      </c>
      <c r="F492" s="7" t="s">
        <v>6190</v>
      </c>
      <c r="G492" s="7" t="s">
        <v>871</v>
      </c>
      <c r="H492" s="7" t="s">
        <v>36</v>
      </c>
      <c r="I492" s="7" t="s">
        <v>48</v>
      </c>
      <c r="J492" s="7" t="s">
        <v>5782</v>
      </c>
      <c r="K492" s="7" t="s">
        <v>5796</v>
      </c>
      <c r="L492" s="12">
        <v>1</v>
      </c>
      <c r="M492" s="7" t="s">
        <v>5539</v>
      </c>
    </row>
    <row r="493" spans="2:13" ht="37.5" customHeight="1" x14ac:dyDescent="0.35">
      <c r="B493" s="11">
        <v>35</v>
      </c>
      <c r="C493" s="5" t="s">
        <v>5693</v>
      </c>
      <c r="D493" s="11">
        <v>152</v>
      </c>
      <c r="E493" s="5" t="s">
        <v>6191</v>
      </c>
      <c r="F493" s="5" t="s">
        <v>6192</v>
      </c>
      <c r="G493" s="5" t="s">
        <v>31</v>
      </c>
      <c r="H493" s="5" t="s">
        <v>36</v>
      </c>
      <c r="I493" s="5" t="s">
        <v>48</v>
      </c>
      <c r="J493" s="5" t="s">
        <v>5702</v>
      </c>
      <c r="K493" s="5" t="s">
        <v>5722</v>
      </c>
      <c r="L493" s="11">
        <v>1</v>
      </c>
      <c r="M493" s="5" t="s">
        <v>5539</v>
      </c>
    </row>
    <row r="494" spans="2:13" ht="21.75" customHeight="1" x14ac:dyDescent="0.35">
      <c r="B494" s="12">
        <v>35</v>
      </c>
      <c r="C494" s="7" t="s">
        <v>5693</v>
      </c>
      <c r="D494" s="12">
        <v>153</v>
      </c>
      <c r="E494" s="7" t="s">
        <v>6193</v>
      </c>
      <c r="F494" s="7" t="s">
        <v>6194</v>
      </c>
      <c r="G494" s="7" t="s">
        <v>950</v>
      </c>
      <c r="H494" s="7" t="s">
        <v>36</v>
      </c>
      <c r="I494" s="7" t="s">
        <v>48</v>
      </c>
      <c r="J494" s="7" t="s">
        <v>5782</v>
      </c>
      <c r="K494" s="7" t="s">
        <v>5796</v>
      </c>
      <c r="L494" s="12">
        <v>1</v>
      </c>
      <c r="M494" s="7" t="s">
        <v>5539</v>
      </c>
    </row>
    <row r="495" spans="2:13" ht="21.75" customHeight="1" x14ac:dyDescent="0.35">
      <c r="B495" s="11">
        <v>35</v>
      </c>
      <c r="C495" s="5" t="s">
        <v>5693</v>
      </c>
      <c r="D495" s="11">
        <v>154</v>
      </c>
      <c r="E495" s="5" t="s">
        <v>6195</v>
      </c>
      <c r="F495" s="5" t="s">
        <v>6196</v>
      </c>
      <c r="G495" s="5" t="s">
        <v>905</v>
      </c>
      <c r="H495" s="5" t="s">
        <v>36</v>
      </c>
      <c r="I495" s="5" t="s">
        <v>48</v>
      </c>
      <c r="J495" s="5" t="s">
        <v>5782</v>
      </c>
      <c r="K495" s="5" t="s">
        <v>5796</v>
      </c>
      <c r="L495" s="11">
        <v>1</v>
      </c>
      <c r="M495" s="5" t="s">
        <v>5539</v>
      </c>
    </row>
    <row r="496" spans="2:13" ht="21.75" customHeight="1" x14ac:dyDescent="0.35">
      <c r="B496" s="12">
        <v>35</v>
      </c>
      <c r="C496" s="7" t="s">
        <v>5693</v>
      </c>
      <c r="D496" s="12">
        <v>155</v>
      </c>
      <c r="E496" s="7" t="s">
        <v>6197</v>
      </c>
      <c r="F496" s="7" t="s">
        <v>6198</v>
      </c>
      <c r="G496" s="7" t="s">
        <v>791</v>
      </c>
      <c r="H496" s="7" t="s">
        <v>36</v>
      </c>
      <c r="I496" s="7" t="s">
        <v>48</v>
      </c>
      <c r="J496" s="7" t="s">
        <v>5782</v>
      </c>
      <c r="K496" s="7" t="s">
        <v>5796</v>
      </c>
      <c r="L496" s="12">
        <v>1</v>
      </c>
      <c r="M496" s="7" t="s">
        <v>5539</v>
      </c>
    </row>
    <row r="497" spans="2:13" ht="21.75" customHeight="1" x14ac:dyDescent="0.35">
      <c r="B497" s="11">
        <v>35</v>
      </c>
      <c r="C497" s="5" t="s">
        <v>5693</v>
      </c>
      <c r="D497" s="11">
        <v>156</v>
      </c>
      <c r="E497" s="5" t="s">
        <v>6199</v>
      </c>
      <c r="F497" s="5" t="s">
        <v>6200</v>
      </c>
      <c r="G497" s="5" t="s">
        <v>749</v>
      </c>
      <c r="H497" s="5" t="s">
        <v>36</v>
      </c>
      <c r="I497" s="5" t="s">
        <v>48</v>
      </c>
      <c r="J497" s="5" t="s">
        <v>5782</v>
      </c>
      <c r="K497" s="5" t="s">
        <v>5796</v>
      </c>
      <c r="L497" s="11">
        <v>1</v>
      </c>
      <c r="M497" s="5" t="s">
        <v>5539</v>
      </c>
    </row>
    <row r="498" spans="2:13" ht="21.75" customHeight="1" x14ac:dyDescent="0.35">
      <c r="B498" s="12">
        <v>35</v>
      </c>
      <c r="C498" s="7" t="s">
        <v>5693</v>
      </c>
      <c r="D498" s="12">
        <v>157</v>
      </c>
      <c r="E498" s="7" t="s">
        <v>6201</v>
      </c>
      <c r="F498" s="7" t="s">
        <v>6202</v>
      </c>
      <c r="G498" s="7" t="s">
        <v>845</v>
      </c>
      <c r="H498" s="7" t="s">
        <v>36</v>
      </c>
      <c r="I498" s="7" t="s">
        <v>48</v>
      </c>
      <c r="J498" s="7" t="s">
        <v>5782</v>
      </c>
      <c r="K498" s="7" t="s">
        <v>5796</v>
      </c>
      <c r="L498" s="12">
        <v>1</v>
      </c>
      <c r="M498" s="7" t="s">
        <v>5539</v>
      </c>
    </row>
    <row r="499" spans="2:13" ht="21.75" customHeight="1" x14ac:dyDescent="0.35">
      <c r="B499" s="11">
        <v>35</v>
      </c>
      <c r="C499" s="5" t="s">
        <v>5693</v>
      </c>
      <c r="D499" s="11">
        <v>158</v>
      </c>
      <c r="E499" s="5" t="s">
        <v>6203</v>
      </c>
      <c r="F499" s="5" t="s">
        <v>6204</v>
      </c>
      <c r="G499" s="5" t="s">
        <v>4634</v>
      </c>
      <c r="H499" s="5" t="s">
        <v>37</v>
      </c>
      <c r="I499" s="5" t="s">
        <v>5559</v>
      </c>
      <c r="J499" s="5" t="s">
        <v>5899</v>
      </c>
      <c r="K499" s="5" t="s">
        <v>5900</v>
      </c>
      <c r="L499" s="11">
        <v>1</v>
      </c>
      <c r="M499" s="5" t="s">
        <v>5539</v>
      </c>
    </row>
    <row r="500" spans="2:13" ht="21.75" customHeight="1" x14ac:dyDescent="0.35">
      <c r="B500" s="12">
        <v>35</v>
      </c>
      <c r="C500" s="7" t="s">
        <v>5693</v>
      </c>
      <c r="D500" s="12">
        <v>159</v>
      </c>
      <c r="E500" s="7" t="s">
        <v>6205</v>
      </c>
      <c r="F500" s="7" t="s">
        <v>6206</v>
      </c>
      <c r="G500" s="7" t="s">
        <v>1606</v>
      </c>
      <c r="H500" s="7" t="s">
        <v>37</v>
      </c>
      <c r="I500" s="7" t="s">
        <v>5559</v>
      </c>
      <c r="J500" s="7" t="s">
        <v>5899</v>
      </c>
      <c r="K500" s="7" t="s">
        <v>5900</v>
      </c>
      <c r="L500" s="12">
        <v>1</v>
      </c>
      <c r="M500" s="7" t="s">
        <v>5539</v>
      </c>
    </row>
    <row r="501" spans="2:13" ht="21.75" customHeight="1" x14ac:dyDescent="0.35">
      <c r="B501" s="11">
        <v>35</v>
      </c>
      <c r="C501" s="5" t="s">
        <v>5693</v>
      </c>
      <c r="D501" s="11">
        <v>160</v>
      </c>
      <c r="E501" s="5" t="s">
        <v>6207</v>
      </c>
      <c r="F501" s="5" t="s">
        <v>6208</v>
      </c>
      <c r="G501" s="5" t="s">
        <v>813</v>
      </c>
      <c r="H501" s="5" t="s">
        <v>37</v>
      </c>
      <c r="I501" s="5" t="s">
        <v>5559</v>
      </c>
      <c r="J501" s="5" t="s">
        <v>5899</v>
      </c>
      <c r="K501" s="5" t="s">
        <v>5900</v>
      </c>
      <c r="L501" s="11">
        <v>1</v>
      </c>
      <c r="M501" s="5" t="s">
        <v>5539</v>
      </c>
    </row>
    <row r="502" spans="2:13" ht="21.75" customHeight="1" x14ac:dyDescent="0.35">
      <c r="B502" s="12">
        <v>35</v>
      </c>
      <c r="C502" s="7" t="s">
        <v>5693</v>
      </c>
      <c r="D502" s="12">
        <v>161</v>
      </c>
      <c r="E502" s="7" t="s">
        <v>6209</v>
      </c>
      <c r="F502" s="7" t="s">
        <v>6210</v>
      </c>
      <c r="G502" s="7" t="s">
        <v>6211</v>
      </c>
      <c r="H502" s="7" t="s">
        <v>37</v>
      </c>
      <c r="I502" s="7" t="s">
        <v>5559</v>
      </c>
      <c r="J502" s="7" t="s">
        <v>5899</v>
      </c>
      <c r="K502" s="7" t="s">
        <v>5900</v>
      </c>
      <c r="L502" s="12">
        <v>1</v>
      </c>
      <c r="M502" s="7" t="s">
        <v>5539</v>
      </c>
    </row>
    <row r="503" spans="2:13" ht="37.5" customHeight="1" x14ac:dyDescent="0.35">
      <c r="B503" s="11">
        <v>35</v>
      </c>
      <c r="C503" s="5" t="s">
        <v>5693</v>
      </c>
      <c r="D503" s="11">
        <v>162</v>
      </c>
      <c r="E503" s="5" t="s">
        <v>6212</v>
      </c>
      <c r="F503" s="5" t="s">
        <v>6213</v>
      </c>
      <c r="G503" s="5" t="s">
        <v>959</v>
      </c>
      <c r="H503" s="5" t="s">
        <v>37</v>
      </c>
      <c r="I503" s="5" t="s">
        <v>5559</v>
      </c>
      <c r="J503" s="5" t="s">
        <v>5899</v>
      </c>
      <c r="K503" s="5" t="s">
        <v>5900</v>
      </c>
      <c r="L503" s="11">
        <v>1</v>
      </c>
      <c r="M503" s="5" t="s">
        <v>5539</v>
      </c>
    </row>
    <row r="504" spans="2:13" ht="21.75" customHeight="1" x14ac:dyDescent="0.35">
      <c r="B504" s="12">
        <v>35</v>
      </c>
      <c r="C504" s="7" t="s">
        <v>5693</v>
      </c>
      <c r="D504" s="12">
        <v>163</v>
      </c>
      <c r="E504" s="7" t="s">
        <v>6214</v>
      </c>
      <c r="F504" s="7" t="s">
        <v>6215</v>
      </c>
      <c r="G504" s="7" t="s">
        <v>4855</v>
      </c>
      <c r="H504" s="7" t="s">
        <v>36</v>
      </c>
      <c r="I504" s="7" t="s">
        <v>48</v>
      </c>
      <c r="J504" s="7" t="s">
        <v>5782</v>
      </c>
      <c r="K504" s="7" t="s">
        <v>5796</v>
      </c>
      <c r="L504" s="12">
        <v>1</v>
      </c>
      <c r="M504" s="7" t="s">
        <v>5539</v>
      </c>
    </row>
    <row r="505" spans="2:13" ht="21.75" customHeight="1" x14ac:dyDescent="0.35">
      <c r="B505" s="11">
        <v>35</v>
      </c>
      <c r="C505" s="5" t="s">
        <v>5693</v>
      </c>
      <c r="D505" s="11">
        <v>164</v>
      </c>
      <c r="E505" s="5" t="s">
        <v>6216</v>
      </c>
      <c r="F505" s="5" t="s">
        <v>6217</v>
      </c>
      <c r="G505" s="5" t="s">
        <v>924</v>
      </c>
      <c r="H505" s="5" t="s">
        <v>36</v>
      </c>
      <c r="I505" s="5" t="s">
        <v>48</v>
      </c>
      <c r="J505" s="5" t="s">
        <v>5782</v>
      </c>
      <c r="K505" s="5" t="s">
        <v>5796</v>
      </c>
      <c r="L505" s="11">
        <v>1</v>
      </c>
      <c r="M505" s="5" t="s">
        <v>5539</v>
      </c>
    </row>
    <row r="506" spans="2:13" ht="21.75" customHeight="1" x14ac:dyDescent="0.35">
      <c r="B506" s="12">
        <v>35</v>
      </c>
      <c r="C506" s="7" t="s">
        <v>5693</v>
      </c>
      <c r="D506" s="12">
        <v>165</v>
      </c>
      <c r="E506" s="7" t="s">
        <v>6218</v>
      </c>
      <c r="F506" s="7" t="s">
        <v>6219</v>
      </c>
      <c r="G506" s="7" t="s">
        <v>2768</v>
      </c>
      <c r="H506" s="7" t="s">
        <v>36</v>
      </c>
      <c r="I506" s="7" t="s">
        <v>48</v>
      </c>
      <c r="J506" s="7" t="s">
        <v>5782</v>
      </c>
      <c r="K506" s="7" t="s">
        <v>5796</v>
      </c>
      <c r="L506" s="12">
        <v>1</v>
      </c>
      <c r="M506" s="7" t="s">
        <v>5539</v>
      </c>
    </row>
    <row r="507" spans="2:13" ht="37.5" customHeight="1" x14ac:dyDescent="0.35">
      <c r="B507" s="11">
        <v>35</v>
      </c>
      <c r="C507" s="5" t="s">
        <v>5693</v>
      </c>
      <c r="D507" s="11">
        <v>166</v>
      </c>
      <c r="E507" s="5" t="s">
        <v>6220</v>
      </c>
      <c r="F507" s="5" t="s">
        <v>6221</v>
      </c>
      <c r="G507" s="5" t="s">
        <v>6222</v>
      </c>
      <c r="H507" s="5" t="s">
        <v>37</v>
      </c>
      <c r="I507" s="5" t="s">
        <v>5559</v>
      </c>
      <c r="J507" s="5" t="s">
        <v>5899</v>
      </c>
      <c r="K507" s="5" t="s">
        <v>5900</v>
      </c>
      <c r="L507" s="11">
        <v>1</v>
      </c>
      <c r="M507" s="5" t="s">
        <v>5539</v>
      </c>
    </row>
    <row r="508" spans="2:13" ht="21.75" customHeight="1" x14ac:dyDescent="0.35">
      <c r="B508" s="12">
        <v>35</v>
      </c>
      <c r="C508" s="7" t="s">
        <v>5693</v>
      </c>
      <c r="D508" s="12">
        <v>167</v>
      </c>
      <c r="E508" s="7" t="s">
        <v>6223</v>
      </c>
      <c r="F508" s="7" t="s">
        <v>6224</v>
      </c>
      <c r="G508" s="7" t="s">
        <v>6225</v>
      </c>
      <c r="H508" s="7" t="s">
        <v>37</v>
      </c>
      <c r="I508" s="7" t="s">
        <v>5559</v>
      </c>
      <c r="J508" s="7" t="s">
        <v>5899</v>
      </c>
      <c r="K508" s="7" t="s">
        <v>5900</v>
      </c>
      <c r="L508" s="12">
        <v>1</v>
      </c>
      <c r="M508" s="7" t="s">
        <v>5539</v>
      </c>
    </row>
    <row r="509" spans="2:13" ht="37.5" customHeight="1" x14ac:dyDescent="0.35">
      <c r="B509" s="11">
        <v>35</v>
      </c>
      <c r="C509" s="5" t="s">
        <v>5693</v>
      </c>
      <c r="D509" s="11">
        <v>168</v>
      </c>
      <c r="E509" s="5" t="s">
        <v>6226</v>
      </c>
      <c r="F509" s="5" t="s">
        <v>6227</v>
      </c>
      <c r="G509" s="5" t="s">
        <v>176</v>
      </c>
      <c r="H509" s="5" t="s">
        <v>37</v>
      </c>
      <c r="I509" s="5" t="s">
        <v>5559</v>
      </c>
      <c r="J509" s="5" t="s">
        <v>5899</v>
      </c>
      <c r="K509" s="5" t="s">
        <v>5900</v>
      </c>
      <c r="L509" s="11">
        <v>1</v>
      </c>
      <c r="M509" s="5" t="s">
        <v>5539</v>
      </c>
    </row>
    <row r="510" spans="2:13" ht="21.75" customHeight="1" x14ac:dyDescent="0.35">
      <c r="B510" s="12">
        <v>35</v>
      </c>
      <c r="C510" s="7" t="s">
        <v>5693</v>
      </c>
      <c r="D510" s="12">
        <v>169</v>
      </c>
      <c r="E510" s="7" t="s">
        <v>6228</v>
      </c>
      <c r="F510" s="7" t="s">
        <v>6229</v>
      </c>
      <c r="G510" s="7" t="s">
        <v>6230</v>
      </c>
      <c r="H510" s="7" t="s">
        <v>37</v>
      </c>
      <c r="I510" s="7" t="s">
        <v>5559</v>
      </c>
      <c r="J510" s="7" t="s">
        <v>5899</v>
      </c>
      <c r="K510" s="7" t="s">
        <v>5900</v>
      </c>
      <c r="L510" s="12">
        <v>1</v>
      </c>
      <c r="M510" s="7" t="s">
        <v>5539</v>
      </c>
    </row>
    <row r="511" spans="2:13" ht="37.5" customHeight="1" x14ac:dyDescent="0.35">
      <c r="B511" s="11">
        <v>35</v>
      </c>
      <c r="C511" s="5" t="s">
        <v>5693</v>
      </c>
      <c r="D511" s="11">
        <v>170</v>
      </c>
      <c r="E511" s="5" t="s">
        <v>6231</v>
      </c>
      <c r="F511" s="5" t="s">
        <v>6232</v>
      </c>
      <c r="G511" s="5" t="s">
        <v>560</v>
      </c>
      <c r="H511" s="5" t="s">
        <v>37</v>
      </c>
      <c r="I511" s="5" t="s">
        <v>5559</v>
      </c>
      <c r="J511" s="5" t="s">
        <v>5899</v>
      </c>
      <c r="K511" s="5" t="s">
        <v>5900</v>
      </c>
      <c r="L511" s="11">
        <v>1</v>
      </c>
      <c r="M511" s="5" t="s">
        <v>5539</v>
      </c>
    </row>
    <row r="512" spans="2:13" ht="21.75" customHeight="1" x14ac:dyDescent="0.35">
      <c r="B512" s="12">
        <v>35</v>
      </c>
      <c r="C512" s="7" t="s">
        <v>5693</v>
      </c>
      <c r="D512" s="12">
        <v>171</v>
      </c>
      <c r="E512" s="7" t="s">
        <v>6233</v>
      </c>
      <c r="F512" s="7" t="s">
        <v>6234</v>
      </c>
      <c r="G512" s="7" t="s">
        <v>727</v>
      </c>
      <c r="H512" s="7" t="s">
        <v>45</v>
      </c>
      <c r="I512" s="7" t="s">
        <v>6180</v>
      </c>
      <c r="J512" s="7" t="s">
        <v>5912</v>
      </c>
      <c r="K512" s="7" t="s">
        <v>6181</v>
      </c>
      <c r="L512" s="12">
        <v>1</v>
      </c>
      <c r="M512" s="7" t="s">
        <v>5539</v>
      </c>
    </row>
    <row r="513" spans="2:13" ht="21.75" customHeight="1" x14ac:dyDescent="0.35">
      <c r="B513" s="11">
        <v>35</v>
      </c>
      <c r="C513" s="5" t="s">
        <v>5693</v>
      </c>
      <c r="D513" s="11">
        <v>172</v>
      </c>
      <c r="E513" s="5" t="s">
        <v>6235</v>
      </c>
      <c r="F513" s="5" t="s">
        <v>6236</v>
      </c>
      <c r="G513" s="5" t="s">
        <v>877</v>
      </c>
      <c r="H513" s="5" t="s">
        <v>36</v>
      </c>
      <c r="I513" s="5" t="s">
        <v>48</v>
      </c>
      <c r="J513" s="5" t="s">
        <v>5782</v>
      </c>
      <c r="K513" s="5" t="s">
        <v>5796</v>
      </c>
      <c r="L513" s="11">
        <v>1</v>
      </c>
      <c r="M513" s="5" t="s">
        <v>5539</v>
      </c>
    </row>
    <row r="514" spans="2:13" ht="37.5" customHeight="1" x14ac:dyDescent="0.35">
      <c r="B514" s="12">
        <v>35</v>
      </c>
      <c r="C514" s="7" t="s">
        <v>5693</v>
      </c>
      <c r="D514" s="12">
        <v>173</v>
      </c>
      <c r="E514" s="7" t="s">
        <v>6237</v>
      </c>
      <c r="F514" s="7" t="s">
        <v>6238</v>
      </c>
      <c r="G514" s="7" t="s">
        <v>1593</v>
      </c>
      <c r="H514" s="7" t="s">
        <v>36</v>
      </c>
      <c r="I514" s="7" t="s">
        <v>48</v>
      </c>
      <c r="J514" s="7" t="s">
        <v>5782</v>
      </c>
      <c r="K514" s="7" t="s">
        <v>5796</v>
      </c>
      <c r="L514" s="12">
        <v>1</v>
      </c>
      <c r="M514" s="7" t="s">
        <v>5539</v>
      </c>
    </row>
    <row r="515" spans="2:13" ht="21.75" customHeight="1" x14ac:dyDescent="0.35">
      <c r="B515" s="11">
        <v>35</v>
      </c>
      <c r="C515" s="5" t="s">
        <v>5693</v>
      </c>
      <c r="D515" s="11">
        <v>174</v>
      </c>
      <c r="E515" s="5" t="s">
        <v>6239</v>
      </c>
      <c r="F515" s="5" t="s">
        <v>6240</v>
      </c>
      <c r="G515" s="5" t="s">
        <v>6241</v>
      </c>
      <c r="H515" s="5" t="s">
        <v>37</v>
      </c>
      <c r="I515" s="5" t="s">
        <v>5559</v>
      </c>
      <c r="J515" s="5" t="s">
        <v>5899</v>
      </c>
      <c r="K515" s="5" t="s">
        <v>5900</v>
      </c>
      <c r="L515" s="11">
        <v>1</v>
      </c>
      <c r="M515" s="5" t="s">
        <v>5539</v>
      </c>
    </row>
    <row r="516" spans="2:13" ht="37.5" customHeight="1" x14ac:dyDescent="0.35">
      <c r="B516" s="12">
        <v>35</v>
      </c>
      <c r="C516" s="7" t="s">
        <v>5693</v>
      </c>
      <c r="D516" s="12">
        <v>175</v>
      </c>
      <c r="E516" s="7" t="s">
        <v>6242</v>
      </c>
      <c r="F516" s="7" t="s">
        <v>6243</v>
      </c>
      <c r="G516" s="7" t="s">
        <v>6244</v>
      </c>
      <c r="H516" s="7" t="s">
        <v>36</v>
      </c>
      <c r="I516" s="7" t="s">
        <v>5409</v>
      </c>
      <c r="J516" s="7" t="s">
        <v>5782</v>
      </c>
      <c r="K516" s="7" t="s">
        <v>6100</v>
      </c>
      <c r="L516" s="12">
        <v>1</v>
      </c>
      <c r="M516" s="7" t="s">
        <v>5539</v>
      </c>
    </row>
    <row r="517" spans="2:13" ht="21.75" customHeight="1" x14ac:dyDescent="0.35">
      <c r="B517" s="11">
        <v>35</v>
      </c>
      <c r="C517" s="5" t="s">
        <v>5693</v>
      </c>
      <c r="D517" s="11">
        <v>176</v>
      </c>
      <c r="E517" s="5" t="s">
        <v>6245</v>
      </c>
      <c r="F517" s="5" t="s">
        <v>6246</v>
      </c>
      <c r="G517" s="5" t="s">
        <v>1680</v>
      </c>
      <c r="H517" s="5" t="s">
        <v>36</v>
      </c>
      <c r="I517" s="5" t="s">
        <v>48</v>
      </c>
      <c r="J517" s="5" t="s">
        <v>5782</v>
      </c>
      <c r="K517" s="5" t="s">
        <v>5796</v>
      </c>
      <c r="L517" s="11">
        <v>1</v>
      </c>
      <c r="M517" s="5" t="s">
        <v>5539</v>
      </c>
    </row>
    <row r="518" spans="2:13" ht="21.75" customHeight="1" x14ac:dyDescent="0.35">
      <c r="B518" s="12">
        <v>35</v>
      </c>
      <c r="C518" s="7" t="s">
        <v>5693</v>
      </c>
      <c r="D518" s="12">
        <v>177</v>
      </c>
      <c r="E518" s="7" t="s">
        <v>6247</v>
      </c>
      <c r="F518" s="7" t="s">
        <v>6248</v>
      </c>
      <c r="G518" s="7" t="s">
        <v>859</v>
      </c>
      <c r="H518" s="7" t="s">
        <v>36</v>
      </c>
      <c r="I518" s="7" t="s">
        <v>5409</v>
      </c>
      <c r="J518" s="7" t="s">
        <v>5782</v>
      </c>
      <c r="K518" s="7" t="s">
        <v>6100</v>
      </c>
      <c r="L518" s="12">
        <v>1</v>
      </c>
      <c r="M518" s="7" t="s">
        <v>5539</v>
      </c>
    </row>
    <row r="519" spans="2:13" ht="37.5" customHeight="1" x14ac:dyDescent="0.35">
      <c r="B519" s="11">
        <v>35</v>
      </c>
      <c r="C519" s="5" t="s">
        <v>5693</v>
      </c>
      <c r="D519" s="11">
        <v>178</v>
      </c>
      <c r="E519" s="5" t="s">
        <v>6249</v>
      </c>
      <c r="F519" s="5" t="s">
        <v>6250</v>
      </c>
      <c r="G519" s="5" t="s">
        <v>1742</v>
      </c>
      <c r="H519" s="5" t="s">
        <v>36</v>
      </c>
      <c r="I519" s="5" t="s">
        <v>48</v>
      </c>
      <c r="J519" s="5" t="s">
        <v>6251</v>
      </c>
      <c r="K519" s="5" t="s">
        <v>6252</v>
      </c>
      <c r="L519" s="11">
        <v>1</v>
      </c>
      <c r="M519" s="5" t="s">
        <v>5539</v>
      </c>
    </row>
    <row r="520" spans="2:13" ht="112.5" customHeight="1" x14ac:dyDescent="0.35">
      <c r="B520" s="12">
        <v>36</v>
      </c>
      <c r="C520" s="7" t="s">
        <v>6253</v>
      </c>
      <c r="D520" s="12">
        <v>1</v>
      </c>
      <c r="E520" s="7" t="s">
        <v>6254</v>
      </c>
      <c r="F520" s="7" t="s">
        <v>6255</v>
      </c>
      <c r="G520" s="7" t="s">
        <v>29</v>
      </c>
      <c r="H520" s="7" t="s">
        <v>6256</v>
      </c>
      <c r="I520" s="7" t="s">
        <v>6257</v>
      </c>
      <c r="J520" s="7" t="s">
        <v>6258</v>
      </c>
      <c r="K520" s="7" t="s">
        <v>6259</v>
      </c>
      <c r="L520" s="12">
        <v>5</v>
      </c>
      <c r="M520" s="7" t="s">
        <v>5539</v>
      </c>
    </row>
    <row r="521" spans="2:13" ht="37.5" customHeight="1" x14ac:dyDescent="0.35">
      <c r="B521" s="11">
        <v>36</v>
      </c>
      <c r="C521" s="5" t="s">
        <v>6253</v>
      </c>
      <c r="D521" s="11">
        <v>2</v>
      </c>
      <c r="E521" s="5" t="s">
        <v>6260</v>
      </c>
      <c r="F521" s="5" t="s">
        <v>6261</v>
      </c>
      <c r="G521" s="5" t="s">
        <v>168</v>
      </c>
      <c r="H521" s="5" t="s">
        <v>36</v>
      </c>
      <c r="I521" s="5" t="s">
        <v>1885</v>
      </c>
      <c r="J521" s="5" t="s">
        <v>6262</v>
      </c>
      <c r="K521" s="5" t="s">
        <v>6263</v>
      </c>
      <c r="L521" s="11">
        <v>1</v>
      </c>
      <c r="M521" s="5" t="s">
        <v>5539</v>
      </c>
    </row>
    <row r="522" spans="2:13" ht="67.5" customHeight="1" x14ac:dyDescent="0.35">
      <c r="B522" s="12">
        <v>36</v>
      </c>
      <c r="C522" s="7" t="s">
        <v>6253</v>
      </c>
      <c r="D522" s="12">
        <v>3</v>
      </c>
      <c r="E522" s="7" t="s">
        <v>6264</v>
      </c>
      <c r="F522" s="7" t="s">
        <v>6265</v>
      </c>
      <c r="G522" s="7" t="s">
        <v>6266</v>
      </c>
      <c r="H522" s="7" t="s">
        <v>5202</v>
      </c>
      <c r="I522" s="7" t="s">
        <v>6267</v>
      </c>
      <c r="J522" s="7" t="s">
        <v>6268</v>
      </c>
      <c r="K522" s="7" t="s">
        <v>6269</v>
      </c>
      <c r="L522" s="12">
        <v>4</v>
      </c>
      <c r="M522" s="7" t="s">
        <v>5539</v>
      </c>
    </row>
    <row r="523" spans="2:13" ht="67.5" customHeight="1" x14ac:dyDescent="0.35">
      <c r="B523" s="11">
        <v>36</v>
      </c>
      <c r="C523" s="5" t="s">
        <v>6253</v>
      </c>
      <c r="D523" s="11">
        <v>4</v>
      </c>
      <c r="E523" s="5" t="s">
        <v>6270</v>
      </c>
      <c r="F523" s="5" t="s">
        <v>6271</v>
      </c>
      <c r="G523" s="5" t="s">
        <v>1294</v>
      </c>
      <c r="H523" s="5" t="s">
        <v>5202</v>
      </c>
      <c r="I523" s="5" t="s">
        <v>6272</v>
      </c>
      <c r="J523" s="5" t="s">
        <v>6268</v>
      </c>
      <c r="K523" s="5" t="s">
        <v>6273</v>
      </c>
      <c r="L523" s="11">
        <v>4</v>
      </c>
      <c r="M523" s="5" t="s">
        <v>5539</v>
      </c>
    </row>
    <row r="524" spans="2:13" ht="52.5" customHeight="1" x14ac:dyDescent="0.35">
      <c r="B524" s="12">
        <v>36</v>
      </c>
      <c r="C524" s="7" t="s">
        <v>6253</v>
      </c>
      <c r="D524" s="12">
        <v>5</v>
      </c>
      <c r="E524" s="7" t="s">
        <v>6274</v>
      </c>
      <c r="F524" s="7" t="s">
        <v>6275</v>
      </c>
      <c r="G524" s="7" t="s">
        <v>2415</v>
      </c>
      <c r="H524" s="7" t="s">
        <v>36</v>
      </c>
      <c r="I524" s="7" t="s">
        <v>6276</v>
      </c>
      <c r="J524" s="7" t="s">
        <v>6268</v>
      </c>
      <c r="K524" s="7" t="s">
        <v>6277</v>
      </c>
      <c r="L524" s="12">
        <v>3</v>
      </c>
      <c r="M524" s="7" t="s">
        <v>5539</v>
      </c>
    </row>
    <row r="525" spans="2:13" ht="52.5" customHeight="1" x14ac:dyDescent="0.35">
      <c r="B525" s="11">
        <v>36</v>
      </c>
      <c r="C525" s="5" t="s">
        <v>6253</v>
      </c>
      <c r="D525" s="11">
        <v>6</v>
      </c>
      <c r="E525" s="5" t="s">
        <v>6278</v>
      </c>
      <c r="F525" s="5" t="s">
        <v>6279</v>
      </c>
      <c r="G525" s="5" t="s">
        <v>365</v>
      </c>
      <c r="H525" s="5" t="s">
        <v>6280</v>
      </c>
      <c r="I525" s="5" t="s">
        <v>6281</v>
      </c>
      <c r="J525" s="5" t="s">
        <v>6282</v>
      </c>
      <c r="K525" s="5" t="s">
        <v>6283</v>
      </c>
      <c r="L525" s="11">
        <v>3</v>
      </c>
      <c r="M525" s="5" t="s">
        <v>5539</v>
      </c>
    </row>
    <row r="526" spans="2:13" ht="37.5" customHeight="1" x14ac:dyDescent="0.35">
      <c r="B526" s="12">
        <v>36</v>
      </c>
      <c r="C526" s="7" t="s">
        <v>6253</v>
      </c>
      <c r="D526" s="12">
        <v>7</v>
      </c>
      <c r="E526" s="7" t="s">
        <v>6284</v>
      </c>
      <c r="F526" s="7" t="s">
        <v>6285</v>
      </c>
      <c r="G526" s="7" t="s">
        <v>30</v>
      </c>
      <c r="H526" s="7" t="s">
        <v>6286</v>
      </c>
      <c r="I526" s="7" t="s">
        <v>6287</v>
      </c>
      <c r="J526" s="7" t="s">
        <v>6288</v>
      </c>
      <c r="K526" s="7" t="s">
        <v>6289</v>
      </c>
      <c r="L526" s="12">
        <v>2</v>
      </c>
      <c r="M526" s="7" t="s">
        <v>5539</v>
      </c>
    </row>
    <row r="527" spans="2:13" ht="37.5" customHeight="1" x14ac:dyDescent="0.35">
      <c r="B527" s="11">
        <v>36</v>
      </c>
      <c r="C527" s="5" t="s">
        <v>6253</v>
      </c>
      <c r="D527" s="11">
        <v>8</v>
      </c>
      <c r="E527" s="5" t="s">
        <v>6290</v>
      </c>
      <c r="F527" s="5" t="s">
        <v>6291</v>
      </c>
      <c r="G527" s="5" t="s">
        <v>25</v>
      </c>
      <c r="H527" s="5" t="s">
        <v>5240</v>
      </c>
      <c r="I527" s="5" t="s">
        <v>5225</v>
      </c>
      <c r="J527" s="5" t="s">
        <v>2257</v>
      </c>
      <c r="K527" s="5" t="s">
        <v>6292</v>
      </c>
      <c r="L527" s="11">
        <v>2</v>
      </c>
      <c r="M527" s="5" t="s">
        <v>5539</v>
      </c>
    </row>
    <row r="528" spans="2:13" ht="37.5" customHeight="1" x14ac:dyDescent="0.35">
      <c r="B528" s="12">
        <v>36</v>
      </c>
      <c r="C528" s="7" t="s">
        <v>6253</v>
      </c>
      <c r="D528" s="12">
        <v>9</v>
      </c>
      <c r="E528" s="7" t="s">
        <v>6293</v>
      </c>
      <c r="F528" s="7" t="s">
        <v>6294</v>
      </c>
      <c r="G528" s="7" t="s">
        <v>28</v>
      </c>
      <c r="H528" s="7" t="s">
        <v>36</v>
      </c>
      <c r="I528" s="7" t="s">
        <v>4559</v>
      </c>
      <c r="J528" s="7" t="s">
        <v>6295</v>
      </c>
      <c r="K528" s="7" t="s">
        <v>6296</v>
      </c>
      <c r="L528" s="12">
        <v>2</v>
      </c>
      <c r="M528" s="7" t="s">
        <v>5539</v>
      </c>
    </row>
    <row r="529" spans="2:13" ht="52.5" customHeight="1" x14ac:dyDescent="0.35">
      <c r="B529" s="11">
        <v>36</v>
      </c>
      <c r="C529" s="5" t="s">
        <v>6253</v>
      </c>
      <c r="D529" s="11">
        <v>10</v>
      </c>
      <c r="E529" s="5" t="s">
        <v>6297</v>
      </c>
      <c r="F529" s="5" t="s">
        <v>6298</v>
      </c>
      <c r="G529" s="5" t="s">
        <v>531</v>
      </c>
      <c r="H529" s="5" t="s">
        <v>5240</v>
      </c>
      <c r="I529" s="5" t="s">
        <v>6299</v>
      </c>
      <c r="J529" s="5" t="s">
        <v>2257</v>
      </c>
      <c r="K529" s="5" t="s">
        <v>6300</v>
      </c>
      <c r="L529" s="11">
        <v>3</v>
      </c>
      <c r="M529" s="5" t="s">
        <v>5539</v>
      </c>
    </row>
    <row r="530" spans="2:13" ht="37.5" customHeight="1" x14ac:dyDescent="0.35">
      <c r="B530" s="12">
        <v>36</v>
      </c>
      <c r="C530" s="7" t="s">
        <v>6253</v>
      </c>
      <c r="D530" s="12">
        <v>11</v>
      </c>
      <c r="E530" s="7" t="s">
        <v>6301</v>
      </c>
      <c r="F530" s="7" t="s">
        <v>6302</v>
      </c>
      <c r="G530" s="7" t="s">
        <v>428</v>
      </c>
      <c r="H530" s="7" t="s">
        <v>1355</v>
      </c>
      <c r="I530" s="7" t="s">
        <v>6303</v>
      </c>
      <c r="J530" s="7" t="s">
        <v>6304</v>
      </c>
      <c r="K530" s="7" t="s">
        <v>6305</v>
      </c>
      <c r="L530" s="12">
        <v>2</v>
      </c>
      <c r="M530" s="7" t="s">
        <v>5539</v>
      </c>
    </row>
    <row r="531" spans="2:13" ht="21.75" customHeight="1" x14ac:dyDescent="0.35">
      <c r="B531" s="11">
        <v>36</v>
      </c>
      <c r="C531" s="5" t="s">
        <v>6253</v>
      </c>
      <c r="D531" s="11">
        <v>12</v>
      </c>
      <c r="E531" s="5" t="s">
        <v>6306</v>
      </c>
      <c r="F531" s="5" t="s">
        <v>6307</v>
      </c>
      <c r="G531" s="5" t="s">
        <v>810</v>
      </c>
      <c r="H531" s="5" t="s">
        <v>44</v>
      </c>
      <c r="I531" s="5" t="s">
        <v>49</v>
      </c>
      <c r="J531" s="5" t="s">
        <v>213</v>
      </c>
      <c r="K531" s="5" t="s">
        <v>6308</v>
      </c>
      <c r="L531" s="11">
        <v>1</v>
      </c>
      <c r="M531" s="5" t="s">
        <v>5539</v>
      </c>
    </row>
    <row r="532" spans="2:13" ht="37.5" customHeight="1" x14ac:dyDescent="0.35">
      <c r="B532" s="12">
        <v>36</v>
      </c>
      <c r="C532" s="7" t="s">
        <v>6253</v>
      </c>
      <c r="D532" s="12">
        <v>13</v>
      </c>
      <c r="E532" s="7" t="s">
        <v>6309</v>
      </c>
      <c r="F532" s="7" t="s">
        <v>6310</v>
      </c>
      <c r="G532" s="7" t="s">
        <v>560</v>
      </c>
      <c r="H532" s="7" t="s">
        <v>38</v>
      </c>
      <c r="I532" s="7" t="s">
        <v>49</v>
      </c>
      <c r="J532" s="7" t="s">
        <v>213</v>
      </c>
      <c r="K532" s="7" t="s">
        <v>6311</v>
      </c>
      <c r="L532" s="12">
        <v>1</v>
      </c>
      <c r="M532" s="7" t="s">
        <v>5539</v>
      </c>
    </row>
    <row r="533" spans="2:13" ht="37.5" customHeight="1" x14ac:dyDescent="0.35">
      <c r="B533" s="11">
        <v>36</v>
      </c>
      <c r="C533" s="5" t="s">
        <v>6253</v>
      </c>
      <c r="D533" s="11">
        <v>14</v>
      </c>
      <c r="E533" s="5" t="s">
        <v>6312</v>
      </c>
      <c r="F533" s="5" t="s">
        <v>6313</v>
      </c>
      <c r="G533" s="5" t="s">
        <v>185</v>
      </c>
      <c r="H533" s="5" t="s">
        <v>36</v>
      </c>
      <c r="I533" s="5" t="s">
        <v>4541</v>
      </c>
      <c r="J533" s="5" t="s">
        <v>6262</v>
      </c>
      <c r="K533" s="5" t="s">
        <v>6314</v>
      </c>
      <c r="L533" s="11">
        <v>1</v>
      </c>
      <c r="M533" s="5" t="s">
        <v>5539</v>
      </c>
    </row>
    <row r="534" spans="2:13" ht="37.5" customHeight="1" x14ac:dyDescent="0.35">
      <c r="B534" s="12">
        <v>36</v>
      </c>
      <c r="C534" s="7" t="s">
        <v>6253</v>
      </c>
      <c r="D534" s="12">
        <v>15</v>
      </c>
      <c r="E534" s="7" t="s">
        <v>6315</v>
      </c>
      <c r="F534" s="7" t="s">
        <v>6316</v>
      </c>
      <c r="G534" s="7" t="s">
        <v>805</v>
      </c>
      <c r="H534" s="7" t="s">
        <v>36</v>
      </c>
      <c r="I534" s="7" t="s">
        <v>4541</v>
      </c>
      <c r="J534" s="7" t="s">
        <v>177</v>
      </c>
      <c r="K534" s="7" t="s">
        <v>6317</v>
      </c>
      <c r="L534" s="12">
        <v>1</v>
      </c>
      <c r="M534" s="7" t="s">
        <v>5539</v>
      </c>
    </row>
    <row r="535" spans="2:13" ht="21.75" customHeight="1" x14ac:dyDescent="0.35">
      <c r="B535" s="11">
        <v>36</v>
      </c>
      <c r="C535" s="5" t="s">
        <v>6253</v>
      </c>
      <c r="D535" s="11">
        <v>16</v>
      </c>
      <c r="E535" s="5" t="s">
        <v>6318</v>
      </c>
      <c r="F535" s="5" t="s">
        <v>6319</v>
      </c>
      <c r="G535" s="5" t="s">
        <v>973</v>
      </c>
      <c r="H535" s="5" t="s">
        <v>37</v>
      </c>
      <c r="I535" s="5" t="s">
        <v>193</v>
      </c>
      <c r="J535" s="5" t="s">
        <v>1988</v>
      </c>
      <c r="K535" s="5" t="s">
        <v>6320</v>
      </c>
      <c r="L535" s="11">
        <v>1</v>
      </c>
      <c r="M535" s="5" t="s">
        <v>5539</v>
      </c>
    </row>
    <row r="536" spans="2:13" ht="37.5" customHeight="1" x14ac:dyDescent="0.35">
      <c r="B536" s="12">
        <v>36</v>
      </c>
      <c r="C536" s="7" t="s">
        <v>6253</v>
      </c>
      <c r="D536" s="12">
        <v>17</v>
      </c>
      <c r="E536" s="7" t="s">
        <v>6321</v>
      </c>
      <c r="F536" s="7" t="s">
        <v>6322</v>
      </c>
      <c r="G536" s="7" t="s">
        <v>880</v>
      </c>
      <c r="H536" s="7" t="s">
        <v>36</v>
      </c>
      <c r="I536" s="7" t="s">
        <v>1885</v>
      </c>
      <c r="J536" s="7" t="s">
        <v>177</v>
      </c>
      <c r="K536" s="7" t="s">
        <v>4796</v>
      </c>
      <c r="L536" s="12">
        <v>1</v>
      </c>
      <c r="M536" s="7" t="s">
        <v>5539</v>
      </c>
    </row>
    <row r="537" spans="2:13" ht="37.5" customHeight="1" x14ac:dyDescent="0.35">
      <c r="B537" s="11">
        <v>36</v>
      </c>
      <c r="C537" s="5" t="s">
        <v>6253</v>
      </c>
      <c r="D537" s="11">
        <v>18</v>
      </c>
      <c r="E537" s="5" t="s">
        <v>6323</v>
      </c>
      <c r="F537" s="5" t="s">
        <v>6324</v>
      </c>
      <c r="G537" s="5" t="s">
        <v>33</v>
      </c>
      <c r="H537" s="5" t="s">
        <v>36</v>
      </c>
      <c r="I537" s="5" t="s">
        <v>5253</v>
      </c>
      <c r="J537" s="5" t="s">
        <v>1988</v>
      </c>
      <c r="K537" s="5" t="s">
        <v>6325</v>
      </c>
      <c r="L537" s="11">
        <v>1</v>
      </c>
      <c r="M537" s="5" t="s">
        <v>5539</v>
      </c>
    </row>
    <row r="538" spans="2:13" ht="37.5" customHeight="1" x14ac:dyDescent="0.35">
      <c r="B538" s="12">
        <v>36</v>
      </c>
      <c r="C538" s="7" t="s">
        <v>6253</v>
      </c>
      <c r="D538" s="12">
        <v>19</v>
      </c>
      <c r="E538" s="7" t="s">
        <v>6326</v>
      </c>
      <c r="F538" s="7" t="s">
        <v>6327</v>
      </c>
      <c r="G538" s="7" t="s">
        <v>552</v>
      </c>
      <c r="H538" s="7" t="s">
        <v>36</v>
      </c>
      <c r="I538" s="7" t="s">
        <v>48</v>
      </c>
      <c r="J538" s="7" t="s">
        <v>177</v>
      </c>
      <c r="K538" s="7" t="s">
        <v>4570</v>
      </c>
      <c r="L538" s="12">
        <v>1</v>
      </c>
      <c r="M538" s="7" t="s">
        <v>5539</v>
      </c>
    </row>
    <row r="539" spans="2:13" ht="21.75" customHeight="1" x14ac:dyDescent="0.35">
      <c r="B539" s="11">
        <v>36</v>
      </c>
      <c r="C539" s="5" t="s">
        <v>6253</v>
      </c>
      <c r="D539" s="11">
        <v>20</v>
      </c>
      <c r="E539" s="5" t="s">
        <v>6328</v>
      </c>
      <c r="F539" s="5" t="s">
        <v>6329</v>
      </c>
      <c r="G539" s="5" t="s">
        <v>402</v>
      </c>
      <c r="H539" s="5" t="s">
        <v>36</v>
      </c>
      <c r="I539" s="5" t="s">
        <v>48</v>
      </c>
      <c r="J539" s="5" t="s">
        <v>177</v>
      </c>
      <c r="K539" s="5" t="s">
        <v>4570</v>
      </c>
      <c r="L539" s="11">
        <v>1</v>
      </c>
      <c r="M539" s="5" t="s">
        <v>5539</v>
      </c>
    </row>
    <row r="540" spans="2:13" ht="37.5" customHeight="1" x14ac:dyDescent="0.35">
      <c r="B540" s="12">
        <v>36</v>
      </c>
      <c r="C540" s="7" t="s">
        <v>6253</v>
      </c>
      <c r="D540" s="12">
        <v>21</v>
      </c>
      <c r="E540" s="7" t="s">
        <v>6330</v>
      </c>
      <c r="F540" s="7" t="s">
        <v>6331</v>
      </c>
      <c r="G540" s="7" t="s">
        <v>825</v>
      </c>
      <c r="H540" s="7" t="s">
        <v>36</v>
      </c>
      <c r="I540" s="7" t="s">
        <v>1885</v>
      </c>
      <c r="J540" s="7" t="s">
        <v>6262</v>
      </c>
      <c r="K540" s="7" t="s">
        <v>6263</v>
      </c>
      <c r="L540" s="12">
        <v>1</v>
      </c>
      <c r="M540" s="7" t="s">
        <v>5539</v>
      </c>
    </row>
    <row r="541" spans="2:13" ht="21.75" customHeight="1" x14ac:dyDescent="0.35">
      <c r="B541" s="11">
        <v>36</v>
      </c>
      <c r="C541" s="5" t="s">
        <v>6253</v>
      </c>
      <c r="D541" s="11">
        <v>22</v>
      </c>
      <c r="E541" s="5" t="s">
        <v>6332</v>
      </c>
      <c r="F541" s="5" t="s">
        <v>6333</v>
      </c>
      <c r="G541" s="5" t="s">
        <v>1373</v>
      </c>
      <c r="H541" s="5" t="s">
        <v>36</v>
      </c>
      <c r="I541" s="5" t="s">
        <v>1885</v>
      </c>
      <c r="J541" s="5" t="s">
        <v>6262</v>
      </c>
      <c r="K541" s="5" t="s">
        <v>6263</v>
      </c>
      <c r="L541" s="11">
        <v>1</v>
      </c>
      <c r="M541" s="5" t="s">
        <v>5539</v>
      </c>
    </row>
    <row r="542" spans="2:13" ht="37.5" customHeight="1" x14ac:dyDescent="0.35">
      <c r="B542" s="12">
        <v>36</v>
      </c>
      <c r="C542" s="7" t="s">
        <v>6253</v>
      </c>
      <c r="D542" s="12">
        <v>23</v>
      </c>
      <c r="E542" s="7" t="s">
        <v>6334</v>
      </c>
      <c r="F542" s="7" t="s">
        <v>6335</v>
      </c>
      <c r="G542" s="7" t="s">
        <v>766</v>
      </c>
      <c r="H542" s="7" t="s">
        <v>36</v>
      </c>
      <c r="I542" s="7" t="s">
        <v>48</v>
      </c>
      <c r="J542" s="7" t="s">
        <v>177</v>
      </c>
      <c r="K542" s="7" t="s">
        <v>4570</v>
      </c>
      <c r="L542" s="12">
        <v>1</v>
      </c>
      <c r="M542" s="7" t="s">
        <v>5539</v>
      </c>
    </row>
    <row r="543" spans="2:13" ht="37.5" customHeight="1" x14ac:dyDescent="0.35">
      <c r="B543" s="11">
        <v>37</v>
      </c>
      <c r="C543" s="5" t="s">
        <v>6336</v>
      </c>
      <c r="D543" s="11">
        <v>1</v>
      </c>
      <c r="E543" s="5" t="s">
        <v>6337</v>
      </c>
      <c r="F543" s="5" t="s">
        <v>6338</v>
      </c>
      <c r="G543" s="5" t="s">
        <v>727</v>
      </c>
      <c r="H543" s="5" t="s">
        <v>36</v>
      </c>
      <c r="I543" s="5" t="s">
        <v>48</v>
      </c>
      <c r="J543" s="5" t="s">
        <v>177</v>
      </c>
      <c r="K543" s="5" t="s">
        <v>4570</v>
      </c>
      <c r="L543" s="11">
        <v>1</v>
      </c>
      <c r="M543" s="5" t="s">
        <v>5539</v>
      </c>
    </row>
    <row r="544" spans="2:13" ht="37.5" customHeight="1" x14ac:dyDescent="0.35">
      <c r="B544" s="12">
        <v>37</v>
      </c>
      <c r="C544" s="7" t="s">
        <v>6336</v>
      </c>
      <c r="D544" s="12">
        <v>2</v>
      </c>
      <c r="E544" s="7" t="s">
        <v>6339</v>
      </c>
      <c r="F544" s="7" t="s">
        <v>6340</v>
      </c>
      <c r="G544" s="7" t="s">
        <v>188</v>
      </c>
      <c r="H544" s="7" t="s">
        <v>4676</v>
      </c>
      <c r="I544" s="7" t="s">
        <v>49</v>
      </c>
      <c r="J544" s="7" t="s">
        <v>1069</v>
      </c>
      <c r="K544" s="7" t="s">
        <v>6341</v>
      </c>
      <c r="L544" s="12">
        <v>1</v>
      </c>
      <c r="M544" s="7" t="s">
        <v>5539</v>
      </c>
    </row>
    <row r="545" spans="2:13" ht="82.5" customHeight="1" x14ac:dyDescent="0.35">
      <c r="B545" s="11">
        <v>38</v>
      </c>
      <c r="C545" s="5" t="s">
        <v>6342</v>
      </c>
      <c r="D545" s="11">
        <v>1</v>
      </c>
      <c r="E545" s="5" t="s">
        <v>6343</v>
      </c>
      <c r="F545" s="5" t="s">
        <v>6344</v>
      </c>
      <c r="G545" s="5" t="s">
        <v>30</v>
      </c>
      <c r="H545" s="5" t="s">
        <v>4720</v>
      </c>
      <c r="I545" s="5" t="s">
        <v>6345</v>
      </c>
      <c r="J545" s="5" t="s">
        <v>6346</v>
      </c>
      <c r="K545" s="5" t="s">
        <v>6347</v>
      </c>
      <c r="L545" s="11">
        <v>4</v>
      </c>
      <c r="M545" s="5" t="s">
        <v>6348</v>
      </c>
    </row>
    <row r="546" spans="2:13" ht="37.5" customHeight="1" x14ac:dyDescent="0.35">
      <c r="B546" s="12">
        <v>38</v>
      </c>
      <c r="C546" s="7" t="s">
        <v>6342</v>
      </c>
      <c r="D546" s="12">
        <v>2</v>
      </c>
      <c r="E546" s="7" t="s">
        <v>6349</v>
      </c>
      <c r="F546" s="7" t="s">
        <v>6350</v>
      </c>
      <c r="G546" s="7" t="s">
        <v>1294</v>
      </c>
      <c r="H546" s="7" t="s">
        <v>36</v>
      </c>
      <c r="I546" s="7" t="s">
        <v>1885</v>
      </c>
      <c r="J546" s="7" t="s">
        <v>6351</v>
      </c>
      <c r="K546" s="7" t="s">
        <v>6352</v>
      </c>
      <c r="L546" s="12">
        <v>1</v>
      </c>
      <c r="M546" s="7" t="s">
        <v>6348</v>
      </c>
    </row>
    <row r="547" spans="2:13" ht="37.5" customHeight="1" x14ac:dyDescent="0.35">
      <c r="B547" s="11">
        <v>38</v>
      </c>
      <c r="C547" s="5" t="s">
        <v>6342</v>
      </c>
      <c r="D547" s="11">
        <v>3</v>
      </c>
      <c r="E547" s="5" t="s">
        <v>6353</v>
      </c>
      <c r="F547" s="5" t="s">
        <v>6354</v>
      </c>
      <c r="G547" s="5" t="s">
        <v>1435</v>
      </c>
      <c r="H547" s="5" t="s">
        <v>36</v>
      </c>
      <c r="I547" s="5" t="s">
        <v>6355</v>
      </c>
      <c r="J547" s="5" t="s">
        <v>6356</v>
      </c>
      <c r="K547" s="5" t="s">
        <v>6357</v>
      </c>
      <c r="L547" s="11">
        <v>2</v>
      </c>
      <c r="M547" s="5" t="s">
        <v>6348</v>
      </c>
    </row>
    <row r="548" spans="2:13" ht="52.5" customHeight="1" x14ac:dyDescent="0.35">
      <c r="B548" s="12">
        <v>38</v>
      </c>
      <c r="C548" s="7" t="s">
        <v>6342</v>
      </c>
      <c r="D548" s="12">
        <v>4</v>
      </c>
      <c r="E548" s="7" t="s">
        <v>6358</v>
      </c>
      <c r="F548" s="7" t="s">
        <v>6359</v>
      </c>
      <c r="G548" s="7" t="s">
        <v>428</v>
      </c>
      <c r="H548" s="7" t="s">
        <v>36</v>
      </c>
      <c r="I548" s="7" t="s">
        <v>6360</v>
      </c>
      <c r="J548" s="7" t="s">
        <v>6361</v>
      </c>
      <c r="K548" s="7" t="s">
        <v>6362</v>
      </c>
      <c r="L548" s="12">
        <v>3</v>
      </c>
      <c r="M548" s="7" t="s">
        <v>6348</v>
      </c>
    </row>
    <row r="549" spans="2:13" ht="21.75" customHeight="1" x14ac:dyDescent="0.35">
      <c r="B549" s="11">
        <v>38</v>
      </c>
      <c r="C549" s="5" t="s">
        <v>6342</v>
      </c>
      <c r="D549" s="11">
        <v>5</v>
      </c>
      <c r="E549" s="5" t="s">
        <v>6363</v>
      </c>
      <c r="F549" s="5" t="s">
        <v>6364</v>
      </c>
      <c r="G549" s="5" t="s">
        <v>497</v>
      </c>
      <c r="H549" s="5" t="s">
        <v>36</v>
      </c>
      <c r="I549" s="5" t="s">
        <v>5253</v>
      </c>
      <c r="J549" s="5" t="s">
        <v>6365</v>
      </c>
      <c r="K549" s="5" t="s">
        <v>6366</v>
      </c>
      <c r="L549" s="11">
        <v>1</v>
      </c>
      <c r="M549" s="5" t="s">
        <v>6348</v>
      </c>
    </row>
    <row r="550" spans="2:13" ht="37.5" customHeight="1" x14ac:dyDescent="0.35">
      <c r="B550" s="12">
        <v>38</v>
      </c>
      <c r="C550" s="7" t="s">
        <v>6342</v>
      </c>
      <c r="D550" s="12">
        <v>6</v>
      </c>
      <c r="E550" s="7" t="s">
        <v>6367</v>
      </c>
      <c r="F550" s="7" t="s">
        <v>6368</v>
      </c>
      <c r="G550" s="7" t="s">
        <v>282</v>
      </c>
      <c r="H550" s="7" t="s">
        <v>36</v>
      </c>
      <c r="I550" s="7" t="s">
        <v>6369</v>
      </c>
      <c r="J550" s="7" t="s">
        <v>6370</v>
      </c>
      <c r="K550" s="7" t="s">
        <v>6371</v>
      </c>
      <c r="L550" s="12">
        <v>1</v>
      </c>
      <c r="M550" s="7" t="s">
        <v>6348</v>
      </c>
    </row>
    <row r="551" spans="2:13" ht="67.5" customHeight="1" x14ac:dyDescent="0.35">
      <c r="B551" s="11">
        <v>38</v>
      </c>
      <c r="C551" s="5" t="s">
        <v>6342</v>
      </c>
      <c r="D551" s="11">
        <v>7</v>
      </c>
      <c r="E551" s="5" t="s">
        <v>6372</v>
      </c>
      <c r="F551" s="5" t="s">
        <v>6373</v>
      </c>
      <c r="G551" s="5" t="s">
        <v>168</v>
      </c>
      <c r="H551" s="5" t="s">
        <v>5202</v>
      </c>
      <c r="I551" s="5" t="s">
        <v>6374</v>
      </c>
      <c r="J551" s="5" t="s">
        <v>6375</v>
      </c>
      <c r="K551" s="5" t="s">
        <v>6376</v>
      </c>
      <c r="L551" s="11">
        <v>4</v>
      </c>
      <c r="M551" s="5" t="s">
        <v>6348</v>
      </c>
    </row>
    <row r="552" spans="2:13" ht="37.5" customHeight="1" x14ac:dyDescent="0.35">
      <c r="B552" s="12">
        <v>38</v>
      </c>
      <c r="C552" s="7" t="s">
        <v>6342</v>
      </c>
      <c r="D552" s="12">
        <v>8</v>
      </c>
      <c r="E552" s="7" t="s">
        <v>6377</v>
      </c>
      <c r="F552" s="7" t="s">
        <v>6378</v>
      </c>
      <c r="G552" s="7" t="s">
        <v>168</v>
      </c>
      <c r="H552" s="7" t="s">
        <v>1355</v>
      </c>
      <c r="I552" s="7" t="s">
        <v>6379</v>
      </c>
      <c r="J552" s="7" t="s">
        <v>6380</v>
      </c>
      <c r="K552" s="7" t="s">
        <v>6381</v>
      </c>
      <c r="L552" s="12">
        <v>2</v>
      </c>
      <c r="M552" s="7" t="s">
        <v>6348</v>
      </c>
    </row>
    <row r="553" spans="2:13" ht="37.5" customHeight="1" x14ac:dyDescent="0.35">
      <c r="B553" s="11">
        <v>38</v>
      </c>
      <c r="C553" s="5" t="s">
        <v>6342</v>
      </c>
      <c r="D553" s="11">
        <v>9</v>
      </c>
      <c r="E553" s="5" t="s">
        <v>6382</v>
      </c>
      <c r="F553" s="5" t="s">
        <v>6383</v>
      </c>
      <c r="G553" s="5" t="s">
        <v>549</v>
      </c>
      <c r="H553" s="5" t="s">
        <v>5202</v>
      </c>
      <c r="I553" s="5" t="s">
        <v>6384</v>
      </c>
      <c r="J553" s="5" t="s">
        <v>6385</v>
      </c>
      <c r="K553" s="5" t="s">
        <v>6386</v>
      </c>
      <c r="L553" s="11">
        <v>2</v>
      </c>
      <c r="M553" s="5" t="s">
        <v>6348</v>
      </c>
    </row>
    <row r="554" spans="2:13" ht="52.5" customHeight="1" x14ac:dyDescent="0.35">
      <c r="B554" s="12">
        <v>38</v>
      </c>
      <c r="C554" s="7" t="s">
        <v>6342</v>
      </c>
      <c r="D554" s="12">
        <v>10</v>
      </c>
      <c r="E554" s="7" t="s">
        <v>6387</v>
      </c>
      <c r="F554" s="7" t="s">
        <v>6388</v>
      </c>
      <c r="G554" s="7" t="s">
        <v>457</v>
      </c>
      <c r="H554" s="7" t="s">
        <v>4720</v>
      </c>
      <c r="I554" s="7" t="s">
        <v>6389</v>
      </c>
      <c r="J554" s="7" t="s">
        <v>6390</v>
      </c>
      <c r="K554" s="7" t="s">
        <v>6391</v>
      </c>
      <c r="L554" s="12">
        <v>2</v>
      </c>
      <c r="M554" s="7" t="s">
        <v>6348</v>
      </c>
    </row>
    <row r="555" spans="2:13" ht="37.5" customHeight="1" x14ac:dyDescent="0.35">
      <c r="B555" s="11">
        <v>38</v>
      </c>
      <c r="C555" s="5" t="s">
        <v>6342</v>
      </c>
      <c r="D555" s="11">
        <v>11</v>
      </c>
      <c r="E555" s="5" t="s">
        <v>6392</v>
      </c>
      <c r="F555" s="5" t="s">
        <v>6393</v>
      </c>
      <c r="G555" s="5" t="s">
        <v>29</v>
      </c>
      <c r="H555" s="5" t="s">
        <v>6394</v>
      </c>
      <c r="I555" s="5" t="s">
        <v>6395</v>
      </c>
      <c r="J555" s="5" t="s">
        <v>6396</v>
      </c>
      <c r="K555" s="5" t="s">
        <v>6397</v>
      </c>
      <c r="L555" s="11">
        <v>2</v>
      </c>
      <c r="M555" s="5" t="s">
        <v>6348</v>
      </c>
    </row>
    <row r="556" spans="2:13" ht="21.75" customHeight="1" x14ac:dyDescent="0.35">
      <c r="B556" s="12">
        <v>38</v>
      </c>
      <c r="C556" s="7" t="s">
        <v>6342</v>
      </c>
      <c r="D556" s="12">
        <v>12</v>
      </c>
      <c r="E556" s="7" t="s">
        <v>6398</v>
      </c>
      <c r="F556" s="7" t="s">
        <v>6399</v>
      </c>
      <c r="G556" s="7" t="s">
        <v>26</v>
      </c>
      <c r="H556" s="7" t="s">
        <v>36</v>
      </c>
      <c r="I556" s="7" t="s">
        <v>48</v>
      </c>
      <c r="J556" s="7" t="s">
        <v>6400</v>
      </c>
      <c r="K556" s="7" t="s">
        <v>6401</v>
      </c>
      <c r="L556" s="12">
        <v>1</v>
      </c>
      <c r="M556" s="7" t="s">
        <v>6348</v>
      </c>
    </row>
    <row r="557" spans="2:13" ht="37.5" customHeight="1" x14ac:dyDescent="0.35">
      <c r="B557" s="11">
        <v>38</v>
      </c>
      <c r="C557" s="5" t="s">
        <v>6342</v>
      </c>
      <c r="D557" s="11">
        <v>13</v>
      </c>
      <c r="E557" s="5" t="s">
        <v>6402</v>
      </c>
      <c r="F557" s="5" t="s">
        <v>6403</v>
      </c>
      <c r="G557" s="5" t="s">
        <v>733</v>
      </c>
      <c r="H557" s="5" t="s">
        <v>36</v>
      </c>
      <c r="I557" s="5" t="s">
        <v>48</v>
      </c>
      <c r="J557" s="5" t="s">
        <v>6400</v>
      </c>
      <c r="K557" s="5" t="s">
        <v>6401</v>
      </c>
      <c r="L557" s="11">
        <v>1</v>
      </c>
      <c r="M557" s="5" t="s">
        <v>6348</v>
      </c>
    </row>
    <row r="558" spans="2:13" ht="37.5" customHeight="1" x14ac:dyDescent="0.35">
      <c r="B558" s="12">
        <v>38</v>
      </c>
      <c r="C558" s="7" t="s">
        <v>6342</v>
      </c>
      <c r="D558" s="12">
        <v>14</v>
      </c>
      <c r="E558" s="7" t="s">
        <v>6404</v>
      </c>
      <c r="F558" s="7" t="s">
        <v>6405</v>
      </c>
      <c r="G558" s="7" t="s">
        <v>395</v>
      </c>
      <c r="H558" s="7" t="s">
        <v>4720</v>
      </c>
      <c r="I558" s="7" t="s">
        <v>5225</v>
      </c>
      <c r="J558" s="7" t="s">
        <v>6406</v>
      </c>
      <c r="K558" s="7" t="s">
        <v>6407</v>
      </c>
      <c r="L558" s="12">
        <v>2</v>
      </c>
      <c r="M558" s="7" t="s">
        <v>6348</v>
      </c>
    </row>
    <row r="559" spans="2:13" ht="82.5" customHeight="1" x14ac:dyDescent="0.35">
      <c r="B559" s="11">
        <v>38</v>
      </c>
      <c r="C559" s="5" t="s">
        <v>6342</v>
      </c>
      <c r="D559" s="11">
        <v>15</v>
      </c>
      <c r="E559" s="5" t="s">
        <v>6408</v>
      </c>
      <c r="F559" s="5" t="s">
        <v>6409</v>
      </c>
      <c r="G559" s="5" t="s">
        <v>24</v>
      </c>
      <c r="H559" s="5" t="s">
        <v>6410</v>
      </c>
      <c r="I559" s="5" t="s">
        <v>6411</v>
      </c>
      <c r="J559" s="5" t="s">
        <v>6412</v>
      </c>
      <c r="K559" s="5" t="s">
        <v>6413</v>
      </c>
      <c r="L559" s="11">
        <v>4</v>
      </c>
      <c r="M559" s="5" t="s">
        <v>6348</v>
      </c>
    </row>
    <row r="560" spans="2:13" ht="21.75" customHeight="1" x14ac:dyDescent="0.35">
      <c r="B560" s="12">
        <v>38</v>
      </c>
      <c r="C560" s="7" t="s">
        <v>6342</v>
      </c>
      <c r="D560" s="12">
        <v>16</v>
      </c>
      <c r="E560" s="7" t="s">
        <v>6414</v>
      </c>
      <c r="F560" s="7" t="s">
        <v>6415</v>
      </c>
      <c r="G560" s="7" t="s">
        <v>5476</v>
      </c>
      <c r="H560" s="7" t="s">
        <v>36</v>
      </c>
      <c r="I560" s="7" t="s">
        <v>48</v>
      </c>
      <c r="J560" s="7" t="s">
        <v>6400</v>
      </c>
      <c r="K560" s="7" t="s">
        <v>6401</v>
      </c>
      <c r="L560" s="12">
        <v>1</v>
      </c>
      <c r="M560" s="7" t="s">
        <v>6348</v>
      </c>
    </row>
    <row r="561" spans="2:13" ht="37.5" customHeight="1" x14ac:dyDescent="0.35">
      <c r="B561" s="11">
        <v>38</v>
      </c>
      <c r="C561" s="5" t="s">
        <v>6342</v>
      </c>
      <c r="D561" s="11">
        <v>17</v>
      </c>
      <c r="E561" s="5" t="s">
        <v>6416</v>
      </c>
      <c r="F561" s="5" t="s">
        <v>6417</v>
      </c>
      <c r="G561" s="5" t="s">
        <v>442</v>
      </c>
      <c r="H561" s="5" t="s">
        <v>1355</v>
      </c>
      <c r="I561" s="5" t="s">
        <v>6418</v>
      </c>
      <c r="J561" s="5" t="s">
        <v>6419</v>
      </c>
      <c r="K561" s="5" t="s">
        <v>6420</v>
      </c>
      <c r="L561" s="11">
        <v>2</v>
      </c>
      <c r="M561" s="5" t="s">
        <v>6348</v>
      </c>
    </row>
    <row r="562" spans="2:13" ht="37.5" customHeight="1" x14ac:dyDescent="0.35">
      <c r="B562" s="12">
        <v>38</v>
      </c>
      <c r="C562" s="7" t="s">
        <v>6342</v>
      </c>
      <c r="D562" s="12">
        <v>18</v>
      </c>
      <c r="E562" s="7" t="s">
        <v>6421</v>
      </c>
      <c r="F562" s="7" t="s">
        <v>6422</v>
      </c>
      <c r="G562" s="7" t="s">
        <v>805</v>
      </c>
      <c r="H562" s="7" t="s">
        <v>36</v>
      </c>
      <c r="I562" s="7" t="s">
        <v>4792</v>
      </c>
      <c r="J562" s="7" t="s">
        <v>6423</v>
      </c>
      <c r="K562" s="7" t="s">
        <v>6424</v>
      </c>
      <c r="L562" s="12">
        <v>2</v>
      </c>
      <c r="M562" s="7" t="s">
        <v>6348</v>
      </c>
    </row>
    <row r="563" spans="2:13" ht="37.5" customHeight="1" x14ac:dyDescent="0.35">
      <c r="B563" s="11">
        <v>38</v>
      </c>
      <c r="C563" s="5" t="s">
        <v>6342</v>
      </c>
      <c r="D563" s="11">
        <v>19</v>
      </c>
      <c r="E563" s="5" t="s">
        <v>6425</v>
      </c>
      <c r="F563" s="5" t="s">
        <v>6426</v>
      </c>
      <c r="G563" s="5" t="s">
        <v>33</v>
      </c>
      <c r="H563" s="5" t="s">
        <v>4580</v>
      </c>
      <c r="I563" s="5" t="s">
        <v>6427</v>
      </c>
      <c r="J563" s="5" t="s">
        <v>6428</v>
      </c>
      <c r="K563" s="5" t="s">
        <v>6429</v>
      </c>
      <c r="L563" s="11">
        <v>2</v>
      </c>
      <c r="M563" s="5" t="s">
        <v>6348</v>
      </c>
    </row>
    <row r="564" spans="2:13" ht="37.5" customHeight="1" x14ac:dyDescent="0.35">
      <c r="B564" s="12">
        <v>38</v>
      </c>
      <c r="C564" s="7" t="s">
        <v>6342</v>
      </c>
      <c r="D564" s="12">
        <v>20</v>
      </c>
      <c r="E564" s="7" t="s">
        <v>6430</v>
      </c>
      <c r="F564" s="7" t="s">
        <v>6431</v>
      </c>
      <c r="G564" s="7" t="s">
        <v>28</v>
      </c>
      <c r="H564" s="7" t="s">
        <v>36</v>
      </c>
      <c r="I564" s="7" t="s">
        <v>1885</v>
      </c>
      <c r="J564" s="7" t="s">
        <v>6351</v>
      </c>
      <c r="K564" s="7" t="s">
        <v>6352</v>
      </c>
      <c r="L564" s="12">
        <v>1</v>
      </c>
      <c r="M564" s="7" t="s">
        <v>6348</v>
      </c>
    </row>
    <row r="565" spans="2:13" ht="21.75" customHeight="1" x14ac:dyDescent="0.35">
      <c r="B565" s="11">
        <v>38</v>
      </c>
      <c r="C565" s="5" t="s">
        <v>6342</v>
      </c>
      <c r="D565" s="11">
        <v>21</v>
      </c>
      <c r="E565" s="5" t="s">
        <v>6432</v>
      </c>
      <c r="F565" s="5" t="s">
        <v>6433</v>
      </c>
      <c r="G565" s="5" t="s">
        <v>26</v>
      </c>
      <c r="H565" s="5" t="s">
        <v>36</v>
      </c>
      <c r="I565" s="5" t="s">
        <v>5253</v>
      </c>
      <c r="J565" s="5" t="s">
        <v>6365</v>
      </c>
      <c r="K565" s="5" t="s">
        <v>6366</v>
      </c>
      <c r="L565" s="11">
        <v>1</v>
      </c>
      <c r="M565" s="5" t="s">
        <v>6348</v>
      </c>
    </row>
    <row r="566" spans="2:13" ht="37.5" customHeight="1" x14ac:dyDescent="0.35">
      <c r="B566" s="12">
        <v>38</v>
      </c>
      <c r="C566" s="7" t="s">
        <v>6342</v>
      </c>
      <c r="D566" s="12">
        <v>22</v>
      </c>
      <c r="E566" s="7" t="s">
        <v>6434</v>
      </c>
      <c r="F566" s="7" t="s">
        <v>6435</v>
      </c>
      <c r="G566" s="7" t="s">
        <v>279</v>
      </c>
      <c r="H566" s="7" t="s">
        <v>36</v>
      </c>
      <c r="I566" s="7" t="s">
        <v>4792</v>
      </c>
      <c r="J566" s="7" t="s">
        <v>6423</v>
      </c>
      <c r="K566" s="7" t="s">
        <v>6424</v>
      </c>
      <c r="L566" s="12">
        <v>2</v>
      </c>
      <c r="M566" s="7" t="s">
        <v>6348</v>
      </c>
    </row>
    <row r="567" spans="2:13" ht="82.5" customHeight="1" x14ac:dyDescent="0.35">
      <c r="B567" s="11">
        <v>38</v>
      </c>
      <c r="C567" s="5" t="s">
        <v>6342</v>
      </c>
      <c r="D567" s="11">
        <v>23</v>
      </c>
      <c r="E567" s="5" t="s">
        <v>6436</v>
      </c>
      <c r="F567" s="5" t="s">
        <v>6437</v>
      </c>
      <c r="G567" s="5" t="s">
        <v>25</v>
      </c>
      <c r="H567" s="5" t="s">
        <v>4720</v>
      </c>
      <c r="I567" s="5" t="s">
        <v>6438</v>
      </c>
      <c r="J567" s="5" t="s">
        <v>6439</v>
      </c>
      <c r="K567" s="5" t="s">
        <v>6440</v>
      </c>
      <c r="L567" s="11">
        <v>4</v>
      </c>
      <c r="M567" s="5" t="s">
        <v>6348</v>
      </c>
    </row>
    <row r="568" spans="2:13" ht="67.5" customHeight="1" x14ac:dyDescent="0.35">
      <c r="B568" s="12">
        <v>38</v>
      </c>
      <c r="C568" s="7" t="s">
        <v>6342</v>
      </c>
      <c r="D568" s="12">
        <v>24</v>
      </c>
      <c r="E568" s="7" t="s">
        <v>6441</v>
      </c>
      <c r="F568" s="7" t="s">
        <v>6442</v>
      </c>
      <c r="G568" s="7" t="s">
        <v>608</v>
      </c>
      <c r="H568" s="7" t="s">
        <v>4720</v>
      </c>
      <c r="I568" s="7" t="s">
        <v>6389</v>
      </c>
      <c r="J568" s="7" t="s">
        <v>6443</v>
      </c>
      <c r="K568" s="7" t="s">
        <v>6444</v>
      </c>
      <c r="L568" s="12">
        <v>3</v>
      </c>
      <c r="M568" s="7" t="s">
        <v>6348</v>
      </c>
    </row>
    <row r="569" spans="2:13" ht="37.5" customHeight="1" x14ac:dyDescent="0.35">
      <c r="B569" s="11">
        <v>38</v>
      </c>
      <c r="C569" s="5" t="s">
        <v>6342</v>
      </c>
      <c r="D569" s="11">
        <v>25</v>
      </c>
      <c r="E569" s="5" t="s">
        <v>6445</v>
      </c>
      <c r="F569" s="5" t="s">
        <v>6446</v>
      </c>
      <c r="G569" s="5" t="s">
        <v>566</v>
      </c>
      <c r="H569" s="5" t="s">
        <v>4580</v>
      </c>
      <c r="I569" s="5" t="s">
        <v>5143</v>
      </c>
      <c r="J569" s="5" t="s">
        <v>6447</v>
      </c>
      <c r="K569" s="5" t="s">
        <v>6448</v>
      </c>
      <c r="L569" s="11">
        <v>2</v>
      </c>
      <c r="M569" s="5" t="s">
        <v>6348</v>
      </c>
    </row>
    <row r="570" spans="2:13" ht="37.5" customHeight="1" x14ac:dyDescent="0.35">
      <c r="B570" s="12">
        <v>38</v>
      </c>
      <c r="C570" s="7" t="s">
        <v>6342</v>
      </c>
      <c r="D570" s="12">
        <v>26</v>
      </c>
      <c r="E570" s="7" t="s">
        <v>6449</v>
      </c>
      <c r="F570" s="7" t="s">
        <v>6450</v>
      </c>
      <c r="G570" s="7" t="s">
        <v>365</v>
      </c>
      <c r="H570" s="7" t="s">
        <v>161</v>
      </c>
      <c r="I570" s="7" t="s">
        <v>6451</v>
      </c>
      <c r="J570" s="7" t="s">
        <v>6452</v>
      </c>
      <c r="K570" s="7" t="s">
        <v>6453</v>
      </c>
      <c r="L570" s="12">
        <v>2</v>
      </c>
      <c r="M570" s="7" t="s">
        <v>6348</v>
      </c>
    </row>
    <row r="571" spans="2:13" ht="37.5" customHeight="1" x14ac:dyDescent="0.35">
      <c r="B571" s="11">
        <v>38</v>
      </c>
      <c r="C571" s="5" t="s">
        <v>6342</v>
      </c>
      <c r="D571" s="11">
        <v>27</v>
      </c>
      <c r="E571" s="5" t="s">
        <v>6454</v>
      </c>
      <c r="F571" s="5" t="s">
        <v>6455</v>
      </c>
      <c r="G571" s="5" t="s">
        <v>1435</v>
      </c>
      <c r="H571" s="5" t="s">
        <v>45</v>
      </c>
      <c r="I571" s="5" t="s">
        <v>6369</v>
      </c>
      <c r="J571" s="5" t="s">
        <v>6456</v>
      </c>
      <c r="K571" s="5" t="s">
        <v>6457</v>
      </c>
      <c r="L571" s="11">
        <v>1</v>
      </c>
      <c r="M571" s="5" t="s">
        <v>6348</v>
      </c>
    </row>
    <row r="572" spans="2:13" ht="37.5" customHeight="1" x14ac:dyDescent="0.35">
      <c r="B572" s="12">
        <v>38</v>
      </c>
      <c r="C572" s="7" t="s">
        <v>6342</v>
      </c>
      <c r="D572" s="12">
        <v>28</v>
      </c>
      <c r="E572" s="7" t="s">
        <v>6458</v>
      </c>
      <c r="F572" s="7" t="s">
        <v>6459</v>
      </c>
      <c r="G572" s="7" t="s">
        <v>766</v>
      </c>
      <c r="H572" s="7" t="s">
        <v>41</v>
      </c>
      <c r="I572" s="7" t="s">
        <v>6460</v>
      </c>
      <c r="J572" s="7" t="s">
        <v>6461</v>
      </c>
      <c r="K572" s="7" t="s">
        <v>6462</v>
      </c>
      <c r="L572" s="12">
        <v>1</v>
      </c>
      <c r="M572" s="7" t="s">
        <v>6348</v>
      </c>
    </row>
    <row r="573" spans="2:13" ht="37.5" customHeight="1" x14ac:dyDescent="0.35">
      <c r="B573" s="11">
        <v>38</v>
      </c>
      <c r="C573" s="5" t="s">
        <v>6342</v>
      </c>
      <c r="D573" s="11">
        <v>29</v>
      </c>
      <c r="E573" s="5" t="s">
        <v>6463</v>
      </c>
      <c r="F573" s="5" t="s">
        <v>6464</v>
      </c>
      <c r="G573" s="5" t="s">
        <v>497</v>
      </c>
      <c r="H573" s="5" t="s">
        <v>36</v>
      </c>
      <c r="I573" s="5" t="s">
        <v>4559</v>
      </c>
      <c r="J573" s="5" t="s">
        <v>6465</v>
      </c>
      <c r="K573" s="5" t="s">
        <v>6466</v>
      </c>
      <c r="L573" s="11">
        <v>2</v>
      </c>
      <c r="M573" s="5" t="s">
        <v>6348</v>
      </c>
    </row>
    <row r="574" spans="2:13" ht="37.5" customHeight="1" x14ac:dyDescent="0.35">
      <c r="B574" s="12">
        <v>38</v>
      </c>
      <c r="C574" s="7" t="s">
        <v>6342</v>
      </c>
      <c r="D574" s="12">
        <v>30</v>
      </c>
      <c r="E574" s="7" t="s">
        <v>6467</v>
      </c>
      <c r="F574" s="7" t="s">
        <v>6468</v>
      </c>
      <c r="G574" s="7" t="s">
        <v>880</v>
      </c>
      <c r="H574" s="7" t="s">
        <v>36</v>
      </c>
      <c r="I574" s="7" t="s">
        <v>4559</v>
      </c>
      <c r="J574" s="7" t="s">
        <v>6465</v>
      </c>
      <c r="K574" s="7" t="s">
        <v>6466</v>
      </c>
      <c r="L574" s="12">
        <v>2</v>
      </c>
      <c r="M574" s="7" t="s">
        <v>6348</v>
      </c>
    </row>
    <row r="575" spans="2:13" ht="37.5" customHeight="1" x14ac:dyDescent="0.35">
      <c r="B575" s="11">
        <v>38</v>
      </c>
      <c r="C575" s="5" t="s">
        <v>6342</v>
      </c>
      <c r="D575" s="11">
        <v>31</v>
      </c>
      <c r="E575" s="5" t="s">
        <v>6469</v>
      </c>
      <c r="F575" s="5" t="s">
        <v>6470</v>
      </c>
      <c r="G575" s="5" t="s">
        <v>31</v>
      </c>
      <c r="H575" s="5" t="s">
        <v>36</v>
      </c>
      <c r="I575" s="5" t="s">
        <v>4559</v>
      </c>
      <c r="J575" s="5" t="s">
        <v>6465</v>
      </c>
      <c r="K575" s="5" t="s">
        <v>6466</v>
      </c>
      <c r="L575" s="11">
        <v>2</v>
      </c>
      <c r="M575" s="5" t="s">
        <v>6348</v>
      </c>
    </row>
    <row r="576" spans="2:13" ht="37.5" customHeight="1" x14ac:dyDescent="0.35">
      <c r="B576" s="12">
        <v>38</v>
      </c>
      <c r="C576" s="7" t="s">
        <v>6342</v>
      </c>
      <c r="D576" s="12">
        <v>32</v>
      </c>
      <c r="E576" s="7" t="s">
        <v>6471</v>
      </c>
      <c r="F576" s="7" t="s">
        <v>6472</v>
      </c>
      <c r="G576" s="7" t="s">
        <v>576</v>
      </c>
      <c r="H576" s="7" t="s">
        <v>36</v>
      </c>
      <c r="I576" s="7" t="s">
        <v>5253</v>
      </c>
      <c r="J576" s="7" t="s">
        <v>6370</v>
      </c>
      <c r="K576" s="7" t="s">
        <v>6473</v>
      </c>
      <c r="L576" s="12">
        <v>1</v>
      </c>
      <c r="M576" s="7" t="s">
        <v>6348</v>
      </c>
    </row>
    <row r="577" spans="2:13" ht="21.75" customHeight="1" x14ac:dyDescent="0.35">
      <c r="B577" s="11">
        <v>38</v>
      </c>
      <c r="C577" s="5" t="s">
        <v>6342</v>
      </c>
      <c r="D577" s="11">
        <v>33</v>
      </c>
      <c r="E577" s="5" t="s">
        <v>6474</v>
      </c>
      <c r="F577" s="5" t="s">
        <v>6475</v>
      </c>
      <c r="G577" s="5" t="s">
        <v>188</v>
      </c>
      <c r="H577" s="5" t="s">
        <v>44</v>
      </c>
      <c r="I577" s="5" t="s">
        <v>49</v>
      </c>
      <c r="J577" s="5" t="s">
        <v>1063</v>
      </c>
      <c r="K577" s="5" t="s">
        <v>5291</v>
      </c>
      <c r="L577" s="11">
        <v>1</v>
      </c>
      <c r="M577" s="5" t="s">
        <v>6348</v>
      </c>
    </row>
    <row r="578" spans="2:13" ht="37.5" customHeight="1" x14ac:dyDescent="0.35">
      <c r="B578" s="12">
        <v>38</v>
      </c>
      <c r="C578" s="7" t="s">
        <v>6342</v>
      </c>
      <c r="D578" s="12">
        <v>34</v>
      </c>
      <c r="E578" s="7" t="s">
        <v>6476</v>
      </c>
      <c r="F578" s="7" t="s">
        <v>6477</v>
      </c>
      <c r="G578" s="7" t="s">
        <v>1164</v>
      </c>
      <c r="H578" s="7" t="s">
        <v>4580</v>
      </c>
      <c r="I578" s="7" t="s">
        <v>6478</v>
      </c>
      <c r="J578" s="7" t="s">
        <v>6479</v>
      </c>
      <c r="K578" s="7" t="s">
        <v>6480</v>
      </c>
      <c r="L578" s="12">
        <v>2</v>
      </c>
      <c r="M578" s="7" t="s">
        <v>6348</v>
      </c>
    </row>
    <row r="579" spans="2:13" ht="52.5" customHeight="1" x14ac:dyDescent="0.35">
      <c r="B579" s="11">
        <v>38</v>
      </c>
      <c r="C579" s="5" t="s">
        <v>6342</v>
      </c>
      <c r="D579" s="11">
        <v>35</v>
      </c>
      <c r="E579" s="5" t="s">
        <v>6481</v>
      </c>
      <c r="F579" s="5" t="s">
        <v>6482</v>
      </c>
      <c r="G579" s="5" t="s">
        <v>1373</v>
      </c>
      <c r="H579" s="5" t="s">
        <v>4580</v>
      </c>
      <c r="I579" s="5" t="s">
        <v>6483</v>
      </c>
      <c r="J579" s="5" t="s">
        <v>6484</v>
      </c>
      <c r="K579" s="5" t="s">
        <v>6485</v>
      </c>
      <c r="L579" s="11">
        <v>2</v>
      </c>
      <c r="M579" s="5" t="s">
        <v>6348</v>
      </c>
    </row>
    <row r="580" spans="2:13" ht="37.5" customHeight="1" x14ac:dyDescent="0.35">
      <c r="B580" s="12">
        <v>38</v>
      </c>
      <c r="C580" s="7" t="s">
        <v>6342</v>
      </c>
      <c r="D580" s="12">
        <v>36</v>
      </c>
      <c r="E580" s="7" t="s">
        <v>6486</v>
      </c>
      <c r="F580" s="7" t="s">
        <v>6487</v>
      </c>
      <c r="G580" s="7" t="s">
        <v>439</v>
      </c>
      <c r="H580" s="7" t="s">
        <v>36</v>
      </c>
      <c r="I580" s="7" t="s">
        <v>1885</v>
      </c>
      <c r="J580" s="7" t="s">
        <v>6351</v>
      </c>
      <c r="K580" s="7" t="s">
        <v>6352</v>
      </c>
      <c r="L580" s="12">
        <v>1</v>
      </c>
      <c r="M580" s="7" t="s">
        <v>6348</v>
      </c>
    </row>
    <row r="581" spans="2:13" ht="37.5" customHeight="1" x14ac:dyDescent="0.35">
      <c r="B581" s="11">
        <v>38</v>
      </c>
      <c r="C581" s="5" t="s">
        <v>6342</v>
      </c>
      <c r="D581" s="11">
        <v>37</v>
      </c>
      <c r="E581" s="5" t="s">
        <v>6488</v>
      </c>
      <c r="F581" s="5" t="s">
        <v>6489</v>
      </c>
      <c r="G581" s="5" t="s">
        <v>825</v>
      </c>
      <c r="H581" s="5" t="s">
        <v>44</v>
      </c>
      <c r="I581" s="5" t="s">
        <v>49</v>
      </c>
      <c r="J581" s="5" t="s">
        <v>1063</v>
      </c>
      <c r="K581" s="5" t="s">
        <v>5291</v>
      </c>
      <c r="L581" s="11">
        <v>1</v>
      </c>
      <c r="M581" s="5" t="s">
        <v>6348</v>
      </c>
    </row>
    <row r="582" spans="2:13" ht="37.5" customHeight="1" x14ac:dyDescent="0.35">
      <c r="B582" s="12">
        <v>38</v>
      </c>
      <c r="C582" s="7" t="s">
        <v>6342</v>
      </c>
      <c r="D582" s="12">
        <v>38</v>
      </c>
      <c r="E582" s="7" t="s">
        <v>6490</v>
      </c>
      <c r="F582" s="7" t="s">
        <v>6491</v>
      </c>
      <c r="G582" s="7" t="s">
        <v>560</v>
      </c>
      <c r="H582" s="7" t="s">
        <v>41</v>
      </c>
      <c r="I582" s="7" t="s">
        <v>49</v>
      </c>
      <c r="J582" s="7" t="s">
        <v>1063</v>
      </c>
      <c r="K582" s="7" t="s">
        <v>6492</v>
      </c>
      <c r="L582" s="12">
        <v>1</v>
      </c>
      <c r="M582" s="7" t="s">
        <v>6348</v>
      </c>
    </row>
    <row r="583" spans="2:13" ht="37.5" customHeight="1" x14ac:dyDescent="0.35">
      <c r="B583" s="11">
        <v>38</v>
      </c>
      <c r="C583" s="5" t="s">
        <v>6342</v>
      </c>
      <c r="D583" s="11">
        <v>39</v>
      </c>
      <c r="E583" s="5" t="s">
        <v>6493</v>
      </c>
      <c r="F583" s="5" t="s">
        <v>6494</v>
      </c>
      <c r="G583" s="5" t="s">
        <v>25</v>
      </c>
      <c r="H583" s="5" t="s">
        <v>4720</v>
      </c>
      <c r="I583" s="5" t="s">
        <v>5225</v>
      </c>
      <c r="J583" s="5" t="s">
        <v>6495</v>
      </c>
      <c r="K583" s="5" t="s">
        <v>6496</v>
      </c>
      <c r="L583" s="11">
        <v>2</v>
      </c>
      <c r="M583" s="5" t="s">
        <v>6348</v>
      </c>
    </row>
    <row r="584" spans="2:13" ht="37.5" customHeight="1" x14ac:dyDescent="0.35">
      <c r="B584" s="12">
        <v>38</v>
      </c>
      <c r="C584" s="7" t="s">
        <v>6342</v>
      </c>
      <c r="D584" s="12">
        <v>40</v>
      </c>
      <c r="E584" s="7" t="s">
        <v>6497</v>
      </c>
      <c r="F584" s="7" t="s">
        <v>6498</v>
      </c>
      <c r="G584" s="7" t="s">
        <v>536</v>
      </c>
      <c r="H584" s="7" t="s">
        <v>36</v>
      </c>
      <c r="I584" s="7" t="s">
        <v>48</v>
      </c>
      <c r="J584" s="7" t="s">
        <v>6400</v>
      </c>
      <c r="K584" s="7" t="s">
        <v>6401</v>
      </c>
      <c r="L584" s="12">
        <v>1</v>
      </c>
      <c r="M584" s="7" t="s">
        <v>6348</v>
      </c>
    </row>
    <row r="585" spans="2:13" ht="37.5" customHeight="1" x14ac:dyDescent="0.35">
      <c r="B585" s="11">
        <v>38</v>
      </c>
      <c r="C585" s="5" t="s">
        <v>6342</v>
      </c>
      <c r="D585" s="11">
        <v>41</v>
      </c>
      <c r="E585" s="5" t="s">
        <v>6499</v>
      </c>
      <c r="F585" s="5" t="s">
        <v>6500</v>
      </c>
      <c r="G585" s="5" t="s">
        <v>698</v>
      </c>
      <c r="H585" s="5" t="s">
        <v>5240</v>
      </c>
      <c r="I585" s="5" t="s">
        <v>6501</v>
      </c>
      <c r="J585" s="5" t="s">
        <v>6502</v>
      </c>
      <c r="K585" s="5" t="s">
        <v>6503</v>
      </c>
      <c r="L585" s="11">
        <v>2</v>
      </c>
      <c r="M585" s="5" t="s">
        <v>6348</v>
      </c>
    </row>
    <row r="586" spans="2:13" ht="37.5" customHeight="1" x14ac:dyDescent="0.35">
      <c r="B586" s="12">
        <v>38</v>
      </c>
      <c r="C586" s="7" t="s">
        <v>6342</v>
      </c>
      <c r="D586" s="12">
        <v>42</v>
      </c>
      <c r="E586" s="7" t="s">
        <v>6504</v>
      </c>
      <c r="F586" s="7" t="s">
        <v>6505</v>
      </c>
      <c r="G586" s="7" t="s">
        <v>686</v>
      </c>
      <c r="H586" s="7" t="s">
        <v>5240</v>
      </c>
      <c r="I586" s="7" t="s">
        <v>6501</v>
      </c>
      <c r="J586" s="7" t="s">
        <v>6506</v>
      </c>
      <c r="K586" s="7" t="s">
        <v>6507</v>
      </c>
      <c r="L586" s="12">
        <v>2</v>
      </c>
      <c r="M586" s="7" t="s">
        <v>6348</v>
      </c>
    </row>
    <row r="587" spans="2:13" ht="21.75" customHeight="1" x14ac:dyDescent="0.35">
      <c r="B587" s="11">
        <v>38</v>
      </c>
      <c r="C587" s="5" t="s">
        <v>6342</v>
      </c>
      <c r="D587" s="11">
        <v>43</v>
      </c>
      <c r="E587" s="5" t="s">
        <v>6508</v>
      </c>
      <c r="F587" s="5" t="s">
        <v>6509</v>
      </c>
      <c r="G587" s="5" t="s">
        <v>27</v>
      </c>
      <c r="H587" s="5" t="s">
        <v>36</v>
      </c>
      <c r="I587" s="5" t="s">
        <v>6510</v>
      </c>
      <c r="J587" s="5" t="s">
        <v>6370</v>
      </c>
      <c r="K587" s="5" t="s">
        <v>6511</v>
      </c>
      <c r="L587" s="11">
        <v>1</v>
      </c>
      <c r="M587" s="5" t="s">
        <v>6348</v>
      </c>
    </row>
    <row r="588" spans="2:13" ht="21.75" customHeight="1" x14ac:dyDescent="0.35">
      <c r="B588" s="12">
        <v>38</v>
      </c>
      <c r="C588" s="7" t="s">
        <v>6342</v>
      </c>
      <c r="D588" s="12">
        <v>44</v>
      </c>
      <c r="E588" s="7" t="s">
        <v>6512</v>
      </c>
      <c r="F588" s="7" t="s">
        <v>6513</v>
      </c>
      <c r="G588" s="7" t="s">
        <v>541</v>
      </c>
      <c r="H588" s="7" t="s">
        <v>36</v>
      </c>
      <c r="I588" s="7" t="s">
        <v>6510</v>
      </c>
      <c r="J588" s="7" t="s">
        <v>6370</v>
      </c>
      <c r="K588" s="7" t="s">
        <v>6511</v>
      </c>
      <c r="L588" s="12">
        <v>1</v>
      </c>
      <c r="M588" s="7" t="s">
        <v>6348</v>
      </c>
    </row>
    <row r="589" spans="2:13" ht="21.75" customHeight="1" x14ac:dyDescent="0.35">
      <c r="B589" s="11">
        <v>38</v>
      </c>
      <c r="C589" s="5" t="s">
        <v>6342</v>
      </c>
      <c r="D589" s="11">
        <v>45</v>
      </c>
      <c r="E589" s="5" t="s">
        <v>6514</v>
      </c>
      <c r="F589" s="5" t="s">
        <v>6515</v>
      </c>
      <c r="G589" s="5" t="s">
        <v>445</v>
      </c>
      <c r="H589" s="5" t="s">
        <v>36</v>
      </c>
      <c r="I589" s="5" t="s">
        <v>4541</v>
      </c>
      <c r="J589" s="5" t="s">
        <v>6516</v>
      </c>
      <c r="K589" s="5" t="s">
        <v>6517</v>
      </c>
      <c r="L589" s="11">
        <v>1</v>
      </c>
      <c r="M589" s="5" t="s">
        <v>6348</v>
      </c>
    </row>
    <row r="590" spans="2:13" ht="37.5" customHeight="1" x14ac:dyDescent="0.35">
      <c r="B590" s="12">
        <v>38</v>
      </c>
      <c r="C590" s="7" t="s">
        <v>6342</v>
      </c>
      <c r="D590" s="12">
        <v>46</v>
      </c>
      <c r="E590" s="7" t="s">
        <v>6518</v>
      </c>
      <c r="F590" s="7" t="s">
        <v>6519</v>
      </c>
      <c r="G590" s="7" t="s">
        <v>631</v>
      </c>
      <c r="H590" s="7" t="s">
        <v>1521</v>
      </c>
      <c r="I590" s="7" t="s">
        <v>5310</v>
      </c>
      <c r="J590" s="7" t="s">
        <v>6428</v>
      </c>
      <c r="K590" s="7" t="s">
        <v>6520</v>
      </c>
      <c r="L590" s="12">
        <v>2</v>
      </c>
      <c r="M590" s="7" t="s">
        <v>6348</v>
      </c>
    </row>
    <row r="591" spans="2:13" ht="37.5" customHeight="1" x14ac:dyDescent="0.35">
      <c r="B591" s="11">
        <v>38</v>
      </c>
      <c r="C591" s="5" t="s">
        <v>6342</v>
      </c>
      <c r="D591" s="11">
        <v>47</v>
      </c>
      <c r="E591" s="5" t="s">
        <v>6521</v>
      </c>
      <c r="F591" s="5" t="s">
        <v>6522</v>
      </c>
      <c r="G591" s="5" t="s">
        <v>573</v>
      </c>
      <c r="H591" s="5" t="s">
        <v>6286</v>
      </c>
      <c r="I591" s="5" t="s">
        <v>6523</v>
      </c>
      <c r="J591" s="5" t="s">
        <v>6524</v>
      </c>
      <c r="K591" s="5" t="s">
        <v>6525</v>
      </c>
      <c r="L591" s="11">
        <v>2</v>
      </c>
      <c r="M591" s="5" t="s">
        <v>6348</v>
      </c>
    </row>
    <row r="592" spans="2:13" ht="21.75" customHeight="1" x14ac:dyDescent="0.35">
      <c r="B592" s="12">
        <v>38</v>
      </c>
      <c r="C592" s="7" t="s">
        <v>6342</v>
      </c>
      <c r="D592" s="12">
        <v>48</v>
      </c>
      <c r="E592" s="7" t="s">
        <v>6526</v>
      </c>
      <c r="F592" s="7" t="s">
        <v>6527</v>
      </c>
      <c r="G592" s="7" t="s">
        <v>2415</v>
      </c>
      <c r="H592" s="7" t="s">
        <v>36</v>
      </c>
      <c r="I592" s="7" t="s">
        <v>1885</v>
      </c>
      <c r="J592" s="7" t="s">
        <v>6351</v>
      </c>
      <c r="K592" s="7" t="s">
        <v>6352</v>
      </c>
      <c r="L592" s="12">
        <v>1</v>
      </c>
      <c r="M592" s="7" t="s">
        <v>6348</v>
      </c>
    </row>
    <row r="593" spans="2:13" ht="37.5" customHeight="1" x14ac:dyDescent="0.35">
      <c r="B593" s="11">
        <v>38</v>
      </c>
      <c r="C593" s="5" t="s">
        <v>6342</v>
      </c>
      <c r="D593" s="11">
        <v>49</v>
      </c>
      <c r="E593" s="5" t="s">
        <v>6528</v>
      </c>
      <c r="F593" s="5" t="s">
        <v>6529</v>
      </c>
      <c r="G593" s="5" t="s">
        <v>402</v>
      </c>
      <c r="H593" s="5" t="s">
        <v>1521</v>
      </c>
      <c r="I593" s="5" t="s">
        <v>5310</v>
      </c>
      <c r="J593" s="5" t="s">
        <v>6428</v>
      </c>
      <c r="K593" s="5" t="s">
        <v>6520</v>
      </c>
      <c r="L593" s="11">
        <v>2</v>
      </c>
      <c r="M593" s="5" t="s">
        <v>6348</v>
      </c>
    </row>
    <row r="594" spans="2:13" ht="37.5" customHeight="1" x14ac:dyDescent="0.35">
      <c r="B594" s="12">
        <v>38</v>
      </c>
      <c r="C594" s="7" t="s">
        <v>6342</v>
      </c>
      <c r="D594" s="12">
        <v>50</v>
      </c>
      <c r="E594" s="7" t="s">
        <v>6530</v>
      </c>
      <c r="F594" s="7" t="s">
        <v>6531</v>
      </c>
      <c r="G594" s="7" t="s">
        <v>582</v>
      </c>
      <c r="H594" s="7" t="s">
        <v>4580</v>
      </c>
      <c r="I594" s="7" t="s">
        <v>5143</v>
      </c>
      <c r="J594" s="7" t="s">
        <v>6532</v>
      </c>
      <c r="K594" s="7" t="s">
        <v>6533</v>
      </c>
      <c r="L594" s="12">
        <v>2</v>
      </c>
      <c r="M594" s="7" t="s">
        <v>6348</v>
      </c>
    </row>
    <row r="595" spans="2:13" ht="37.5" customHeight="1" x14ac:dyDescent="0.35">
      <c r="B595" s="11">
        <v>38</v>
      </c>
      <c r="C595" s="5" t="s">
        <v>6342</v>
      </c>
      <c r="D595" s="11">
        <v>51</v>
      </c>
      <c r="E595" s="5" t="s">
        <v>6534</v>
      </c>
      <c r="F595" s="5" t="s">
        <v>6535</v>
      </c>
      <c r="G595" s="5" t="s">
        <v>185</v>
      </c>
      <c r="H595" s="5" t="s">
        <v>36</v>
      </c>
      <c r="I595" s="5" t="s">
        <v>48</v>
      </c>
      <c r="J595" s="5" t="s">
        <v>6365</v>
      </c>
      <c r="K595" s="5" t="s">
        <v>6536</v>
      </c>
      <c r="L595" s="11">
        <v>1</v>
      </c>
      <c r="M595" s="5" t="s">
        <v>6348</v>
      </c>
    </row>
    <row r="596" spans="2:13" ht="37.5" customHeight="1" x14ac:dyDescent="0.35">
      <c r="B596" s="12">
        <v>38</v>
      </c>
      <c r="C596" s="7" t="s">
        <v>6342</v>
      </c>
      <c r="D596" s="12">
        <v>52</v>
      </c>
      <c r="E596" s="7" t="s">
        <v>6537</v>
      </c>
      <c r="F596" s="7" t="s">
        <v>6538</v>
      </c>
      <c r="G596" s="7" t="s">
        <v>188</v>
      </c>
      <c r="H596" s="7" t="s">
        <v>1355</v>
      </c>
      <c r="I596" s="7" t="s">
        <v>6418</v>
      </c>
      <c r="J596" s="7" t="s">
        <v>6380</v>
      </c>
      <c r="K596" s="7" t="s">
        <v>6539</v>
      </c>
      <c r="L596" s="12">
        <v>2</v>
      </c>
      <c r="M596" s="7" t="s">
        <v>6348</v>
      </c>
    </row>
    <row r="597" spans="2:13" ht="21.75" customHeight="1" x14ac:dyDescent="0.35">
      <c r="B597" s="11">
        <v>38</v>
      </c>
      <c r="C597" s="5" t="s">
        <v>6342</v>
      </c>
      <c r="D597" s="11">
        <v>53</v>
      </c>
      <c r="E597" s="5" t="s">
        <v>6540</v>
      </c>
      <c r="F597" s="5" t="s">
        <v>6541</v>
      </c>
      <c r="G597" s="5" t="s">
        <v>625</v>
      </c>
      <c r="H597" s="5" t="s">
        <v>36</v>
      </c>
      <c r="I597" s="5" t="s">
        <v>6510</v>
      </c>
      <c r="J597" s="5" t="s">
        <v>6370</v>
      </c>
      <c r="K597" s="5" t="s">
        <v>6511</v>
      </c>
      <c r="L597" s="11">
        <v>1</v>
      </c>
      <c r="M597" s="5" t="s">
        <v>6348</v>
      </c>
    </row>
    <row r="598" spans="2:13" ht="37.5" customHeight="1" x14ac:dyDescent="0.35">
      <c r="B598" s="12">
        <v>38</v>
      </c>
      <c r="C598" s="7" t="s">
        <v>6342</v>
      </c>
      <c r="D598" s="12">
        <v>54</v>
      </c>
      <c r="E598" s="7" t="s">
        <v>6542</v>
      </c>
      <c r="F598" s="7" t="s">
        <v>6543</v>
      </c>
      <c r="G598" s="7" t="s">
        <v>552</v>
      </c>
      <c r="H598" s="7" t="s">
        <v>4720</v>
      </c>
      <c r="I598" s="7" t="s">
        <v>6501</v>
      </c>
      <c r="J598" s="7" t="s">
        <v>6502</v>
      </c>
      <c r="K598" s="7" t="s">
        <v>6544</v>
      </c>
      <c r="L598" s="12">
        <v>2</v>
      </c>
      <c r="M598" s="7" t="s">
        <v>6348</v>
      </c>
    </row>
    <row r="599" spans="2:13" ht="37.5" customHeight="1" x14ac:dyDescent="0.35">
      <c r="B599" s="11">
        <v>38</v>
      </c>
      <c r="C599" s="5" t="s">
        <v>6342</v>
      </c>
      <c r="D599" s="11">
        <v>55</v>
      </c>
      <c r="E599" s="5" t="s">
        <v>6545</v>
      </c>
      <c r="F599" s="5" t="s">
        <v>6546</v>
      </c>
      <c r="G599" s="5" t="s">
        <v>585</v>
      </c>
      <c r="H599" s="5" t="s">
        <v>4720</v>
      </c>
      <c r="I599" s="5" t="s">
        <v>6501</v>
      </c>
      <c r="J599" s="5" t="s">
        <v>6502</v>
      </c>
      <c r="K599" s="5" t="s">
        <v>6544</v>
      </c>
      <c r="L599" s="11">
        <v>2</v>
      </c>
      <c r="M599" s="5" t="s">
        <v>6348</v>
      </c>
    </row>
    <row r="600" spans="2:13" ht="37.5" customHeight="1" x14ac:dyDescent="0.35">
      <c r="B600" s="12">
        <v>38</v>
      </c>
      <c r="C600" s="7" t="s">
        <v>6342</v>
      </c>
      <c r="D600" s="12">
        <v>56</v>
      </c>
      <c r="E600" s="7" t="s">
        <v>6547</v>
      </c>
      <c r="F600" s="7" t="s">
        <v>6548</v>
      </c>
      <c r="G600" s="7" t="s">
        <v>645</v>
      </c>
      <c r="H600" s="7" t="s">
        <v>41</v>
      </c>
      <c r="I600" s="7" t="s">
        <v>6460</v>
      </c>
      <c r="J600" s="7" t="s">
        <v>6549</v>
      </c>
      <c r="K600" s="7" t="s">
        <v>6550</v>
      </c>
      <c r="L600" s="12">
        <v>1</v>
      </c>
      <c r="M600" s="7" t="s">
        <v>6348</v>
      </c>
    </row>
    <row r="601" spans="2:13" ht="37.5" customHeight="1" x14ac:dyDescent="0.35">
      <c r="B601" s="11">
        <v>38</v>
      </c>
      <c r="C601" s="5" t="s">
        <v>6342</v>
      </c>
      <c r="D601" s="11">
        <v>57</v>
      </c>
      <c r="E601" s="5" t="s">
        <v>6551</v>
      </c>
      <c r="F601" s="5" t="s">
        <v>6552</v>
      </c>
      <c r="G601" s="5" t="s">
        <v>6553</v>
      </c>
      <c r="H601" s="5" t="s">
        <v>36</v>
      </c>
      <c r="I601" s="5" t="s">
        <v>1885</v>
      </c>
      <c r="J601" s="5" t="s">
        <v>6351</v>
      </c>
      <c r="K601" s="5" t="s">
        <v>6352</v>
      </c>
      <c r="L601" s="11">
        <v>1</v>
      </c>
      <c r="M601" s="5" t="s">
        <v>6348</v>
      </c>
    </row>
    <row r="602" spans="2:13" ht="37.5" customHeight="1" x14ac:dyDescent="0.35">
      <c r="B602" s="12">
        <v>38</v>
      </c>
      <c r="C602" s="7" t="s">
        <v>6342</v>
      </c>
      <c r="D602" s="12">
        <v>58</v>
      </c>
      <c r="E602" s="7" t="s">
        <v>6554</v>
      </c>
      <c r="F602" s="7" t="s">
        <v>6555</v>
      </c>
      <c r="G602" s="7" t="s">
        <v>428</v>
      </c>
      <c r="H602" s="7" t="s">
        <v>4720</v>
      </c>
      <c r="I602" s="7" t="s">
        <v>5225</v>
      </c>
      <c r="J602" s="7" t="s">
        <v>6495</v>
      </c>
      <c r="K602" s="7" t="s">
        <v>6496</v>
      </c>
      <c r="L602" s="12">
        <v>2</v>
      </c>
      <c r="M602" s="7" t="s">
        <v>6348</v>
      </c>
    </row>
    <row r="603" spans="2:13" ht="52.5" customHeight="1" x14ac:dyDescent="0.35">
      <c r="B603" s="11">
        <v>38</v>
      </c>
      <c r="C603" s="5" t="s">
        <v>6342</v>
      </c>
      <c r="D603" s="11">
        <v>59</v>
      </c>
      <c r="E603" s="5" t="s">
        <v>6556</v>
      </c>
      <c r="F603" s="5" t="s">
        <v>6557</v>
      </c>
      <c r="G603" s="5" t="s">
        <v>701</v>
      </c>
      <c r="H603" s="5" t="s">
        <v>6558</v>
      </c>
      <c r="I603" s="5" t="s">
        <v>5118</v>
      </c>
      <c r="J603" s="5" t="s">
        <v>6559</v>
      </c>
      <c r="K603" s="5" t="s">
        <v>6560</v>
      </c>
      <c r="L603" s="11">
        <v>3</v>
      </c>
      <c r="M603" s="5" t="s">
        <v>6348</v>
      </c>
    </row>
    <row r="604" spans="2:13" ht="21.75" customHeight="1" x14ac:dyDescent="0.35">
      <c r="B604" s="12">
        <v>38</v>
      </c>
      <c r="C604" s="7" t="s">
        <v>6342</v>
      </c>
      <c r="D604" s="12">
        <v>60</v>
      </c>
      <c r="E604" s="7" t="s">
        <v>6561</v>
      </c>
      <c r="F604" s="7" t="s">
        <v>6562</v>
      </c>
      <c r="G604" s="7" t="s">
        <v>212</v>
      </c>
      <c r="H604" s="7" t="s">
        <v>36</v>
      </c>
      <c r="I604" s="7" t="s">
        <v>48</v>
      </c>
      <c r="J604" s="7" t="s">
        <v>6400</v>
      </c>
      <c r="K604" s="7" t="s">
        <v>6401</v>
      </c>
      <c r="L604" s="12">
        <v>1</v>
      </c>
      <c r="M604" s="7" t="s">
        <v>6348</v>
      </c>
    </row>
    <row r="605" spans="2:13" ht="37.5" customHeight="1" x14ac:dyDescent="0.35">
      <c r="B605" s="11">
        <v>38</v>
      </c>
      <c r="C605" s="5" t="s">
        <v>6342</v>
      </c>
      <c r="D605" s="11">
        <v>61</v>
      </c>
      <c r="E605" s="5" t="s">
        <v>6563</v>
      </c>
      <c r="F605" s="5" t="s">
        <v>6564</v>
      </c>
      <c r="G605" s="5" t="s">
        <v>573</v>
      </c>
      <c r="H605" s="5" t="s">
        <v>36</v>
      </c>
      <c r="I605" s="5" t="s">
        <v>1885</v>
      </c>
      <c r="J605" s="5" t="s">
        <v>6365</v>
      </c>
      <c r="K605" s="5" t="s">
        <v>6565</v>
      </c>
      <c r="L605" s="11">
        <v>1</v>
      </c>
      <c r="M605" s="5" t="s">
        <v>6348</v>
      </c>
    </row>
    <row r="606" spans="2:13" ht="37.5" customHeight="1" x14ac:dyDescent="0.35">
      <c r="B606" s="12">
        <v>38</v>
      </c>
      <c r="C606" s="7" t="s">
        <v>6342</v>
      </c>
      <c r="D606" s="12">
        <v>62</v>
      </c>
      <c r="E606" s="7" t="s">
        <v>6566</v>
      </c>
      <c r="F606" s="7" t="s">
        <v>6567</v>
      </c>
      <c r="G606" s="7" t="s">
        <v>3065</v>
      </c>
      <c r="H606" s="7" t="s">
        <v>1521</v>
      </c>
      <c r="I606" s="7" t="s">
        <v>5310</v>
      </c>
      <c r="J606" s="7" t="s">
        <v>6428</v>
      </c>
      <c r="K606" s="7" t="s">
        <v>6520</v>
      </c>
      <c r="L606" s="12">
        <v>2</v>
      </c>
      <c r="M606" s="7" t="s">
        <v>6348</v>
      </c>
    </row>
    <row r="607" spans="2:13" ht="21.75" customHeight="1" x14ac:dyDescent="0.35">
      <c r="B607" s="11">
        <v>38</v>
      </c>
      <c r="C607" s="5" t="s">
        <v>6342</v>
      </c>
      <c r="D607" s="11">
        <v>63</v>
      </c>
      <c r="E607" s="5" t="s">
        <v>6568</v>
      </c>
      <c r="F607" s="5" t="s">
        <v>6569</v>
      </c>
      <c r="G607" s="5" t="s">
        <v>442</v>
      </c>
      <c r="H607" s="5" t="s">
        <v>36</v>
      </c>
      <c r="I607" s="5" t="s">
        <v>48</v>
      </c>
      <c r="J607" s="5" t="s">
        <v>6400</v>
      </c>
      <c r="K607" s="5" t="s">
        <v>6401</v>
      </c>
      <c r="L607" s="11">
        <v>1</v>
      </c>
      <c r="M607" s="5" t="s">
        <v>6348</v>
      </c>
    </row>
    <row r="608" spans="2:13" ht="37.5" customHeight="1" x14ac:dyDescent="0.35">
      <c r="B608" s="12">
        <v>38</v>
      </c>
      <c r="C608" s="7" t="s">
        <v>6342</v>
      </c>
      <c r="D608" s="12">
        <v>64</v>
      </c>
      <c r="E608" s="7" t="s">
        <v>6570</v>
      </c>
      <c r="F608" s="7" t="s">
        <v>6571</v>
      </c>
      <c r="G608" s="7" t="s">
        <v>1513</v>
      </c>
      <c r="H608" s="7" t="s">
        <v>36</v>
      </c>
      <c r="I608" s="7" t="s">
        <v>48</v>
      </c>
      <c r="J608" s="7" t="s">
        <v>6400</v>
      </c>
      <c r="K608" s="7" t="s">
        <v>6401</v>
      </c>
      <c r="L608" s="12">
        <v>1</v>
      </c>
      <c r="M608" s="7" t="s">
        <v>6348</v>
      </c>
    </row>
    <row r="609" spans="2:13" ht="21.75" customHeight="1" x14ac:dyDescent="0.35">
      <c r="B609" s="11">
        <v>38</v>
      </c>
      <c r="C609" s="5" t="s">
        <v>6342</v>
      </c>
      <c r="D609" s="11">
        <v>65</v>
      </c>
      <c r="E609" s="5" t="s">
        <v>6572</v>
      </c>
      <c r="F609" s="5" t="s">
        <v>6573</v>
      </c>
      <c r="G609" s="5" t="s">
        <v>1373</v>
      </c>
      <c r="H609" s="5" t="s">
        <v>36</v>
      </c>
      <c r="I609" s="5" t="s">
        <v>5253</v>
      </c>
      <c r="J609" s="5" t="s">
        <v>6365</v>
      </c>
      <c r="K609" s="5" t="s">
        <v>6366</v>
      </c>
      <c r="L609" s="11">
        <v>1</v>
      </c>
      <c r="M609" s="5" t="s">
        <v>6348</v>
      </c>
    </row>
    <row r="610" spans="2:13" ht="21.75" customHeight="1" x14ac:dyDescent="0.35">
      <c r="B610" s="12">
        <v>38</v>
      </c>
      <c r="C610" s="7" t="s">
        <v>6342</v>
      </c>
      <c r="D610" s="12">
        <v>66</v>
      </c>
      <c r="E610" s="7" t="s">
        <v>6574</v>
      </c>
      <c r="F610" s="7" t="s">
        <v>6575</v>
      </c>
      <c r="G610" s="7" t="s">
        <v>813</v>
      </c>
      <c r="H610" s="7" t="s">
        <v>36</v>
      </c>
      <c r="I610" s="7" t="s">
        <v>5253</v>
      </c>
      <c r="J610" s="7" t="s">
        <v>6370</v>
      </c>
      <c r="K610" s="7" t="s">
        <v>6473</v>
      </c>
      <c r="L610" s="12">
        <v>1</v>
      </c>
      <c r="M610" s="7" t="s">
        <v>6348</v>
      </c>
    </row>
    <row r="611" spans="2:13" ht="37.5" customHeight="1" x14ac:dyDescent="0.35">
      <c r="B611" s="11">
        <v>38</v>
      </c>
      <c r="C611" s="5" t="s">
        <v>6342</v>
      </c>
      <c r="D611" s="11">
        <v>67</v>
      </c>
      <c r="E611" s="5" t="s">
        <v>6576</v>
      </c>
      <c r="F611" s="5" t="s">
        <v>6577</v>
      </c>
      <c r="G611" s="5" t="s">
        <v>206</v>
      </c>
      <c r="H611" s="5" t="s">
        <v>41</v>
      </c>
      <c r="I611" s="5" t="s">
        <v>49</v>
      </c>
      <c r="J611" s="5" t="s">
        <v>1063</v>
      </c>
      <c r="K611" s="5" t="s">
        <v>6492</v>
      </c>
      <c r="L611" s="11">
        <v>1</v>
      </c>
      <c r="M611" s="5" t="s">
        <v>6348</v>
      </c>
    </row>
    <row r="612" spans="2:13" ht="37.5" customHeight="1" x14ac:dyDescent="0.35">
      <c r="B612" s="12">
        <v>38</v>
      </c>
      <c r="C612" s="7" t="s">
        <v>6342</v>
      </c>
      <c r="D612" s="12">
        <v>68</v>
      </c>
      <c r="E612" s="7" t="s">
        <v>6578</v>
      </c>
      <c r="F612" s="7" t="s">
        <v>6579</v>
      </c>
      <c r="G612" s="7" t="s">
        <v>6580</v>
      </c>
      <c r="H612" s="7" t="s">
        <v>1856</v>
      </c>
      <c r="I612" s="7" t="s">
        <v>6581</v>
      </c>
      <c r="J612" s="7" t="s">
        <v>6582</v>
      </c>
      <c r="K612" s="7" t="s">
        <v>6583</v>
      </c>
      <c r="L612" s="12">
        <v>2</v>
      </c>
      <c r="M612" s="7" t="s">
        <v>6348</v>
      </c>
    </row>
    <row r="613" spans="2:13" ht="21.75" customHeight="1" x14ac:dyDescent="0.35">
      <c r="B613" s="11">
        <v>38</v>
      </c>
      <c r="C613" s="5" t="s">
        <v>6342</v>
      </c>
      <c r="D613" s="11">
        <v>69</v>
      </c>
      <c r="E613" s="5" t="s">
        <v>6584</v>
      </c>
      <c r="F613" s="5" t="s">
        <v>6585</v>
      </c>
      <c r="G613" s="5" t="s">
        <v>635</v>
      </c>
      <c r="H613" s="5" t="s">
        <v>36</v>
      </c>
      <c r="I613" s="5" t="s">
        <v>48</v>
      </c>
      <c r="J613" s="5" t="s">
        <v>6400</v>
      </c>
      <c r="K613" s="5" t="s">
        <v>6401</v>
      </c>
      <c r="L613" s="11">
        <v>1</v>
      </c>
      <c r="M613" s="5" t="s">
        <v>6348</v>
      </c>
    </row>
    <row r="614" spans="2:13" ht="37.5" customHeight="1" x14ac:dyDescent="0.35">
      <c r="B614" s="12">
        <v>38</v>
      </c>
      <c r="C614" s="7" t="s">
        <v>6342</v>
      </c>
      <c r="D614" s="12">
        <v>70</v>
      </c>
      <c r="E614" s="7" t="s">
        <v>6586</v>
      </c>
      <c r="F614" s="7" t="s">
        <v>6587</v>
      </c>
      <c r="G614" s="7" t="s">
        <v>755</v>
      </c>
      <c r="H614" s="7" t="s">
        <v>1521</v>
      </c>
      <c r="I614" s="7" t="s">
        <v>5310</v>
      </c>
      <c r="J614" s="7" t="s">
        <v>6428</v>
      </c>
      <c r="K614" s="7" t="s">
        <v>6520</v>
      </c>
      <c r="L614" s="12">
        <v>2</v>
      </c>
      <c r="M614" s="7" t="s">
        <v>6348</v>
      </c>
    </row>
    <row r="615" spans="2:13" ht="37.5" customHeight="1" x14ac:dyDescent="0.35">
      <c r="B615" s="11">
        <v>38</v>
      </c>
      <c r="C615" s="5" t="s">
        <v>6342</v>
      </c>
      <c r="D615" s="11">
        <v>71</v>
      </c>
      <c r="E615" s="5" t="s">
        <v>6588</v>
      </c>
      <c r="F615" s="5" t="s">
        <v>6589</v>
      </c>
      <c r="G615" s="5" t="s">
        <v>648</v>
      </c>
      <c r="H615" s="5" t="s">
        <v>5202</v>
      </c>
      <c r="I615" s="5" t="s">
        <v>5653</v>
      </c>
      <c r="J615" s="5" t="s">
        <v>6590</v>
      </c>
      <c r="K615" s="5" t="s">
        <v>6591</v>
      </c>
      <c r="L615" s="11">
        <v>2</v>
      </c>
      <c r="M615" s="5" t="s">
        <v>6348</v>
      </c>
    </row>
    <row r="616" spans="2:13" ht="37.5" customHeight="1" x14ac:dyDescent="0.35">
      <c r="B616" s="12">
        <v>38</v>
      </c>
      <c r="C616" s="7" t="s">
        <v>6342</v>
      </c>
      <c r="D616" s="12">
        <v>72</v>
      </c>
      <c r="E616" s="7" t="s">
        <v>6592</v>
      </c>
      <c r="F616" s="7" t="s">
        <v>6593</v>
      </c>
      <c r="G616" s="7" t="s">
        <v>742</v>
      </c>
      <c r="H616" s="7" t="s">
        <v>36</v>
      </c>
      <c r="I616" s="7" t="s">
        <v>1885</v>
      </c>
      <c r="J616" s="7" t="s">
        <v>6351</v>
      </c>
      <c r="K616" s="7" t="s">
        <v>6352</v>
      </c>
      <c r="L616" s="12">
        <v>1</v>
      </c>
      <c r="M616" s="7" t="s">
        <v>6348</v>
      </c>
    </row>
    <row r="617" spans="2:13" ht="21.75" customHeight="1" x14ac:dyDescent="0.35">
      <c r="B617" s="11">
        <v>38</v>
      </c>
      <c r="C617" s="5" t="s">
        <v>6342</v>
      </c>
      <c r="D617" s="11">
        <v>73</v>
      </c>
      <c r="E617" s="5" t="s">
        <v>6594</v>
      </c>
      <c r="F617" s="5" t="s">
        <v>6595</v>
      </c>
      <c r="G617" s="5" t="s">
        <v>285</v>
      </c>
      <c r="H617" s="5" t="s">
        <v>36</v>
      </c>
      <c r="I617" s="5" t="s">
        <v>48</v>
      </c>
      <c r="J617" s="5" t="s">
        <v>6400</v>
      </c>
      <c r="K617" s="5" t="s">
        <v>6401</v>
      </c>
      <c r="L617" s="11">
        <v>1</v>
      </c>
      <c r="M617" s="5" t="s">
        <v>6348</v>
      </c>
    </row>
    <row r="618" spans="2:13" ht="37.5" customHeight="1" x14ac:dyDescent="0.35">
      <c r="B618" s="12">
        <v>38</v>
      </c>
      <c r="C618" s="7" t="s">
        <v>6342</v>
      </c>
      <c r="D618" s="12">
        <v>74</v>
      </c>
      <c r="E618" s="7" t="s">
        <v>6596</v>
      </c>
      <c r="F618" s="7" t="s">
        <v>6597</v>
      </c>
      <c r="G618" s="7" t="s">
        <v>300</v>
      </c>
      <c r="H618" s="7" t="s">
        <v>36</v>
      </c>
      <c r="I618" s="7" t="s">
        <v>48</v>
      </c>
      <c r="J618" s="7" t="s">
        <v>6400</v>
      </c>
      <c r="K618" s="7" t="s">
        <v>6401</v>
      </c>
      <c r="L618" s="12">
        <v>1</v>
      </c>
      <c r="M618" s="7" t="s">
        <v>6348</v>
      </c>
    </row>
    <row r="619" spans="2:13" ht="21.75" customHeight="1" x14ac:dyDescent="0.35">
      <c r="B619" s="11">
        <v>38</v>
      </c>
      <c r="C619" s="5" t="s">
        <v>6342</v>
      </c>
      <c r="D619" s="11">
        <v>75</v>
      </c>
      <c r="E619" s="5" t="s">
        <v>6598</v>
      </c>
      <c r="F619" s="5" t="s">
        <v>6599</v>
      </c>
      <c r="G619" s="5" t="s">
        <v>2768</v>
      </c>
      <c r="H619" s="5" t="s">
        <v>36</v>
      </c>
      <c r="I619" s="5" t="s">
        <v>1885</v>
      </c>
      <c r="J619" s="5" t="s">
        <v>6400</v>
      </c>
      <c r="K619" s="5" t="s">
        <v>6600</v>
      </c>
      <c r="L619" s="11">
        <v>1</v>
      </c>
      <c r="M619" s="5" t="s">
        <v>6348</v>
      </c>
    </row>
    <row r="620" spans="2:13" ht="21.75" customHeight="1" x14ac:dyDescent="0.35">
      <c r="B620" s="12">
        <v>38</v>
      </c>
      <c r="C620" s="7" t="s">
        <v>6342</v>
      </c>
      <c r="D620" s="12">
        <v>76</v>
      </c>
      <c r="E620" s="7" t="s">
        <v>6601</v>
      </c>
      <c r="F620" s="7" t="s">
        <v>6602</v>
      </c>
      <c r="G620" s="7" t="s">
        <v>670</v>
      </c>
      <c r="H620" s="7" t="s">
        <v>36</v>
      </c>
      <c r="I620" s="7" t="s">
        <v>5409</v>
      </c>
      <c r="J620" s="7" t="s">
        <v>6370</v>
      </c>
      <c r="K620" s="7" t="s">
        <v>6603</v>
      </c>
      <c r="L620" s="12">
        <v>1</v>
      </c>
      <c r="M620" s="7" t="s">
        <v>6348</v>
      </c>
    </row>
    <row r="621" spans="2:13" ht="37.5" customHeight="1" x14ac:dyDescent="0.35">
      <c r="B621" s="11">
        <v>38</v>
      </c>
      <c r="C621" s="5" t="s">
        <v>6342</v>
      </c>
      <c r="D621" s="11">
        <v>77</v>
      </c>
      <c r="E621" s="5" t="s">
        <v>6604</v>
      </c>
      <c r="F621" s="5" t="s">
        <v>6605</v>
      </c>
      <c r="G621" s="5" t="s">
        <v>585</v>
      </c>
      <c r="H621" s="5" t="s">
        <v>36</v>
      </c>
      <c r="I621" s="5" t="s">
        <v>5409</v>
      </c>
      <c r="J621" s="5" t="s">
        <v>6606</v>
      </c>
      <c r="K621" s="5" t="s">
        <v>6607</v>
      </c>
      <c r="L621" s="11">
        <v>1</v>
      </c>
      <c r="M621" s="5" t="s">
        <v>6348</v>
      </c>
    </row>
    <row r="622" spans="2:13" ht="37.5" customHeight="1" x14ac:dyDescent="0.35">
      <c r="B622" s="12">
        <v>38</v>
      </c>
      <c r="C622" s="7" t="s">
        <v>6342</v>
      </c>
      <c r="D622" s="12">
        <v>78</v>
      </c>
      <c r="E622" s="7" t="s">
        <v>6608</v>
      </c>
      <c r="F622" s="7" t="s">
        <v>6609</v>
      </c>
      <c r="G622" s="7" t="s">
        <v>752</v>
      </c>
      <c r="H622" s="7" t="s">
        <v>36</v>
      </c>
      <c r="I622" s="7" t="s">
        <v>48</v>
      </c>
      <c r="J622" s="7" t="s">
        <v>6400</v>
      </c>
      <c r="K622" s="7" t="s">
        <v>6401</v>
      </c>
      <c r="L622" s="12">
        <v>1</v>
      </c>
      <c r="M622" s="7" t="s">
        <v>6348</v>
      </c>
    </row>
    <row r="623" spans="2:13" ht="37.5" customHeight="1" x14ac:dyDescent="0.35">
      <c r="B623" s="11">
        <v>38</v>
      </c>
      <c r="C623" s="5" t="s">
        <v>6342</v>
      </c>
      <c r="D623" s="11">
        <v>79</v>
      </c>
      <c r="E623" s="5" t="s">
        <v>6610</v>
      </c>
      <c r="F623" s="5" t="s">
        <v>6611</v>
      </c>
      <c r="G623" s="5" t="s">
        <v>557</v>
      </c>
      <c r="H623" s="5" t="s">
        <v>36</v>
      </c>
      <c r="I623" s="5" t="s">
        <v>1885</v>
      </c>
      <c r="J623" s="5" t="s">
        <v>6612</v>
      </c>
      <c r="K623" s="5" t="s">
        <v>6613</v>
      </c>
      <c r="L623" s="11">
        <v>1</v>
      </c>
      <c r="M623" s="5" t="s">
        <v>6348</v>
      </c>
    </row>
    <row r="624" spans="2:13" ht="37.5" customHeight="1" x14ac:dyDescent="0.35">
      <c r="B624" s="12">
        <v>38</v>
      </c>
      <c r="C624" s="7" t="s">
        <v>6342</v>
      </c>
      <c r="D624" s="12">
        <v>80</v>
      </c>
      <c r="E624" s="7" t="s">
        <v>6614</v>
      </c>
      <c r="F624" s="7" t="s">
        <v>6615</v>
      </c>
      <c r="G624" s="7" t="s">
        <v>939</v>
      </c>
      <c r="H624" s="7" t="s">
        <v>36</v>
      </c>
      <c r="I624" s="7" t="s">
        <v>48</v>
      </c>
      <c r="J624" s="7" t="s">
        <v>6400</v>
      </c>
      <c r="K624" s="7" t="s">
        <v>6401</v>
      </c>
      <c r="L624" s="12">
        <v>1</v>
      </c>
      <c r="M624" s="7" t="s">
        <v>6348</v>
      </c>
    </row>
    <row r="625" spans="2:13" ht="21.75" customHeight="1" x14ac:dyDescent="0.35">
      <c r="B625" s="11">
        <v>38</v>
      </c>
      <c r="C625" s="5" t="s">
        <v>6342</v>
      </c>
      <c r="D625" s="11">
        <v>81</v>
      </c>
      <c r="E625" s="5" t="s">
        <v>6616</v>
      </c>
      <c r="F625" s="5" t="s">
        <v>6617</v>
      </c>
      <c r="G625" s="5" t="s">
        <v>1647</v>
      </c>
      <c r="H625" s="5" t="s">
        <v>36</v>
      </c>
      <c r="I625" s="5" t="s">
        <v>48</v>
      </c>
      <c r="J625" s="5" t="s">
        <v>6400</v>
      </c>
      <c r="K625" s="5" t="s">
        <v>6401</v>
      </c>
      <c r="L625" s="11">
        <v>1</v>
      </c>
      <c r="M625" s="5" t="s">
        <v>6348</v>
      </c>
    </row>
    <row r="626" spans="2:13" ht="37.5" customHeight="1" x14ac:dyDescent="0.35">
      <c r="B626" s="12">
        <v>38</v>
      </c>
      <c r="C626" s="7" t="s">
        <v>6342</v>
      </c>
      <c r="D626" s="12">
        <v>82</v>
      </c>
      <c r="E626" s="7" t="s">
        <v>6618</v>
      </c>
      <c r="F626" s="7" t="s">
        <v>6619</v>
      </c>
      <c r="G626" s="7" t="s">
        <v>244</v>
      </c>
      <c r="H626" s="7" t="s">
        <v>36</v>
      </c>
      <c r="I626" s="7" t="s">
        <v>48</v>
      </c>
      <c r="J626" s="7" t="s">
        <v>6400</v>
      </c>
      <c r="K626" s="7" t="s">
        <v>6401</v>
      </c>
      <c r="L626" s="12">
        <v>1</v>
      </c>
      <c r="M626" s="7" t="s">
        <v>6348</v>
      </c>
    </row>
    <row r="627" spans="2:13" ht="37.5" customHeight="1" x14ac:dyDescent="0.35">
      <c r="B627" s="11">
        <v>38</v>
      </c>
      <c r="C627" s="5" t="s">
        <v>6342</v>
      </c>
      <c r="D627" s="11">
        <v>83</v>
      </c>
      <c r="E627" s="5" t="s">
        <v>6620</v>
      </c>
      <c r="F627" s="5" t="s">
        <v>6621</v>
      </c>
      <c r="G627" s="5" t="s">
        <v>736</v>
      </c>
      <c r="H627" s="5" t="s">
        <v>36</v>
      </c>
      <c r="I627" s="5" t="s">
        <v>5409</v>
      </c>
      <c r="J627" s="5" t="s">
        <v>6370</v>
      </c>
      <c r="K627" s="5" t="s">
        <v>6603</v>
      </c>
      <c r="L627" s="11">
        <v>1</v>
      </c>
      <c r="M627" s="5" t="s">
        <v>6348</v>
      </c>
    </row>
    <row r="628" spans="2:13" ht="37.5" customHeight="1" x14ac:dyDescent="0.35">
      <c r="B628" s="12">
        <v>38</v>
      </c>
      <c r="C628" s="7" t="s">
        <v>6342</v>
      </c>
      <c r="D628" s="12">
        <v>84</v>
      </c>
      <c r="E628" s="7" t="s">
        <v>6622</v>
      </c>
      <c r="F628" s="7" t="s">
        <v>6623</v>
      </c>
      <c r="G628" s="7" t="s">
        <v>185</v>
      </c>
      <c r="H628" s="7" t="s">
        <v>41</v>
      </c>
      <c r="I628" s="7" t="s">
        <v>49</v>
      </c>
      <c r="J628" s="7" t="s">
        <v>1063</v>
      </c>
      <c r="K628" s="7" t="s">
        <v>6492</v>
      </c>
      <c r="L628" s="12">
        <v>1</v>
      </c>
      <c r="M628" s="7" t="s">
        <v>6348</v>
      </c>
    </row>
    <row r="629" spans="2:13" ht="21.75" customHeight="1" x14ac:dyDescent="0.35">
      <c r="B629" s="11">
        <v>38</v>
      </c>
      <c r="C629" s="5" t="s">
        <v>6342</v>
      </c>
      <c r="D629" s="11">
        <v>85</v>
      </c>
      <c r="E629" s="5" t="s">
        <v>6624</v>
      </c>
      <c r="F629" s="5" t="s">
        <v>6625</v>
      </c>
      <c r="G629" s="5" t="s">
        <v>4634</v>
      </c>
      <c r="H629" s="5" t="s">
        <v>42</v>
      </c>
      <c r="I629" s="5" t="s">
        <v>5433</v>
      </c>
      <c r="J629" s="5" t="s">
        <v>663</v>
      </c>
      <c r="K629" s="5" t="s">
        <v>6626</v>
      </c>
      <c r="L629" s="11">
        <v>1</v>
      </c>
      <c r="M629" s="5" t="s">
        <v>6348</v>
      </c>
    </row>
    <row r="630" spans="2:13" ht="21.75" customHeight="1" x14ac:dyDescent="0.35">
      <c r="B630" s="12">
        <v>38</v>
      </c>
      <c r="C630" s="7" t="s">
        <v>6342</v>
      </c>
      <c r="D630" s="12">
        <v>86</v>
      </c>
      <c r="E630" s="7" t="s">
        <v>6627</v>
      </c>
      <c r="F630" s="7" t="s">
        <v>6628</v>
      </c>
      <c r="G630" s="7" t="s">
        <v>927</v>
      </c>
      <c r="H630" s="7" t="s">
        <v>42</v>
      </c>
      <c r="I630" s="7" t="s">
        <v>5433</v>
      </c>
      <c r="J630" s="7" t="s">
        <v>663</v>
      </c>
      <c r="K630" s="7" t="s">
        <v>6626</v>
      </c>
      <c r="L630" s="12">
        <v>1</v>
      </c>
      <c r="M630" s="7" t="s">
        <v>6348</v>
      </c>
    </row>
    <row r="631" spans="2:13" ht="37.5" customHeight="1" x14ac:dyDescent="0.35">
      <c r="B631" s="11">
        <v>38</v>
      </c>
      <c r="C631" s="5" t="s">
        <v>6342</v>
      </c>
      <c r="D631" s="11">
        <v>87</v>
      </c>
      <c r="E631" s="5" t="s">
        <v>6629</v>
      </c>
      <c r="F631" s="5" t="s">
        <v>6630</v>
      </c>
      <c r="G631" s="5" t="s">
        <v>5408</v>
      </c>
      <c r="H631" s="5" t="s">
        <v>36</v>
      </c>
      <c r="I631" s="5" t="s">
        <v>1885</v>
      </c>
      <c r="J631" s="5" t="s">
        <v>6612</v>
      </c>
      <c r="K631" s="5" t="s">
        <v>6613</v>
      </c>
      <c r="L631" s="11">
        <v>1</v>
      </c>
      <c r="M631" s="5" t="s">
        <v>6348</v>
      </c>
    </row>
    <row r="632" spans="2:13" ht="21.75" customHeight="1" x14ac:dyDescent="0.35">
      <c r="B632" s="12">
        <v>38</v>
      </c>
      <c r="C632" s="7" t="s">
        <v>6342</v>
      </c>
      <c r="D632" s="12">
        <v>88</v>
      </c>
      <c r="E632" s="7" t="s">
        <v>6631</v>
      </c>
      <c r="F632" s="7" t="s">
        <v>6632</v>
      </c>
      <c r="G632" s="7" t="s">
        <v>6633</v>
      </c>
      <c r="H632" s="7" t="s">
        <v>36</v>
      </c>
      <c r="I632" s="7" t="s">
        <v>48</v>
      </c>
      <c r="J632" s="7" t="s">
        <v>6400</v>
      </c>
      <c r="K632" s="7" t="s">
        <v>6401</v>
      </c>
      <c r="L632" s="12">
        <v>1</v>
      </c>
      <c r="M632" s="7" t="s">
        <v>6348</v>
      </c>
    </row>
    <row r="633" spans="2:13" ht="21.75" customHeight="1" x14ac:dyDescent="0.35">
      <c r="B633" s="11">
        <v>38</v>
      </c>
      <c r="C633" s="5" t="s">
        <v>6342</v>
      </c>
      <c r="D633" s="11">
        <v>89</v>
      </c>
      <c r="E633" s="5" t="s">
        <v>6634</v>
      </c>
      <c r="F633" s="5" t="s">
        <v>6635</v>
      </c>
      <c r="G633" s="5" t="s">
        <v>891</v>
      </c>
      <c r="H633" s="5" t="s">
        <v>36</v>
      </c>
      <c r="I633" s="5" t="s">
        <v>48</v>
      </c>
      <c r="J633" s="5" t="s">
        <v>6400</v>
      </c>
      <c r="K633" s="5" t="s">
        <v>6401</v>
      </c>
      <c r="L633" s="11">
        <v>1</v>
      </c>
      <c r="M633" s="5" t="s">
        <v>6348</v>
      </c>
    </row>
    <row r="634" spans="2:13" ht="37.5" customHeight="1" x14ac:dyDescent="0.35">
      <c r="B634" s="12">
        <v>38</v>
      </c>
      <c r="C634" s="7" t="s">
        <v>6342</v>
      </c>
      <c r="D634" s="12">
        <v>90</v>
      </c>
      <c r="E634" s="7" t="s">
        <v>6636</v>
      </c>
      <c r="F634" s="7" t="s">
        <v>6637</v>
      </c>
      <c r="G634" s="7" t="s">
        <v>24</v>
      </c>
      <c r="H634" s="7" t="s">
        <v>1521</v>
      </c>
      <c r="I634" s="7" t="s">
        <v>5310</v>
      </c>
      <c r="J634" s="7" t="s">
        <v>6428</v>
      </c>
      <c r="K634" s="7" t="s">
        <v>6520</v>
      </c>
      <c r="L634" s="12">
        <v>2</v>
      </c>
      <c r="M634" s="7" t="s">
        <v>6348</v>
      </c>
    </row>
    <row r="635" spans="2:13" ht="37.5" customHeight="1" x14ac:dyDescent="0.35">
      <c r="B635" s="11">
        <v>38</v>
      </c>
      <c r="C635" s="5" t="s">
        <v>6342</v>
      </c>
      <c r="D635" s="11">
        <v>91</v>
      </c>
      <c r="E635" s="5" t="s">
        <v>6638</v>
      </c>
      <c r="F635" s="5" t="s">
        <v>6639</v>
      </c>
      <c r="G635" s="5" t="s">
        <v>6640</v>
      </c>
      <c r="H635" s="5" t="s">
        <v>36</v>
      </c>
      <c r="I635" s="5" t="s">
        <v>48</v>
      </c>
      <c r="J635" s="5" t="s">
        <v>6400</v>
      </c>
      <c r="K635" s="5" t="s">
        <v>6401</v>
      </c>
      <c r="L635" s="11">
        <v>1</v>
      </c>
      <c r="M635" s="5" t="s">
        <v>6348</v>
      </c>
    </row>
    <row r="636" spans="2:13" ht="37.5" customHeight="1" x14ac:dyDescent="0.35">
      <c r="B636" s="12">
        <v>38</v>
      </c>
      <c r="C636" s="7" t="s">
        <v>6342</v>
      </c>
      <c r="D636" s="12">
        <v>92</v>
      </c>
      <c r="E636" s="7" t="s">
        <v>6641</v>
      </c>
      <c r="F636" s="7" t="s">
        <v>6642</v>
      </c>
      <c r="G636" s="7" t="s">
        <v>766</v>
      </c>
      <c r="H636" s="7" t="s">
        <v>41</v>
      </c>
      <c r="I636" s="7" t="s">
        <v>49</v>
      </c>
      <c r="J636" s="7" t="s">
        <v>1063</v>
      </c>
      <c r="K636" s="7" t="s">
        <v>6492</v>
      </c>
      <c r="L636" s="12">
        <v>1</v>
      </c>
      <c r="M636" s="7" t="s">
        <v>6348</v>
      </c>
    </row>
    <row r="637" spans="2:13" ht="21.75" customHeight="1" x14ac:dyDescent="0.35">
      <c r="B637" s="11">
        <v>38</v>
      </c>
      <c r="C637" s="5" t="s">
        <v>6342</v>
      </c>
      <c r="D637" s="11">
        <v>93</v>
      </c>
      <c r="E637" s="5" t="s">
        <v>6643</v>
      </c>
      <c r="F637" s="5" t="s">
        <v>6644</v>
      </c>
      <c r="G637" s="5" t="s">
        <v>3135</v>
      </c>
      <c r="H637" s="5" t="s">
        <v>36</v>
      </c>
      <c r="I637" s="5" t="s">
        <v>5409</v>
      </c>
      <c r="J637" s="5" t="s">
        <v>6645</v>
      </c>
      <c r="K637" s="5" t="s">
        <v>6646</v>
      </c>
      <c r="L637" s="11">
        <v>1</v>
      </c>
      <c r="M637" s="5" t="s">
        <v>6348</v>
      </c>
    </row>
    <row r="638" spans="2:13" ht="37.5" customHeight="1" x14ac:dyDescent="0.35">
      <c r="B638" s="12">
        <v>38</v>
      </c>
      <c r="C638" s="7" t="s">
        <v>6342</v>
      </c>
      <c r="D638" s="12">
        <v>94</v>
      </c>
      <c r="E638" s="7" t="s">
        <v>6647</v>
      </c>
      <c r="F638" s="7" t="s">
        <v>6648</v>
      </c>
      <c r="G638" s="7" t="s">
        <v>1269</v>
      </c>
      <c r="H638" s="7" t="s">
        <v>36</v>
      </c>
      <c r="I638" s="7" t="s">
        <v>48</v>
      </c>
      <c r="J638" s="7" t="s">
        <v>6645</v>
      </c>
      <c r="K638" s="7" t="s">
        <v>6649</v>
      </c>
      <c r="L638" s="12">
        <v>1</v>
      </c>
      <c r="M638" s="7" t="s">
        <v>6348</v>
      </c>
    </row>
    <row r="639" spans="2:13" ht="37.5" customHeight="1" x14ac:dyDescent="0.35">
      <c r="B639" s="11">
        <v>38</v>
      </c>
      <c r="C639" s="5" t="s">
        <v>6342</v>
      </c>
      <c r="D639" s="11">
        <v>95</v>
      </c>
      <c r="E639" s="5" t="s">
        <v>6650</v>
      </c>
      <c r="F639" s="5" t="s">
        <v>6651</v>
      </c>
      <c r="G639" s="5" t="s">
        <v>552</v>
      </c>
      <c r="H639" s="5" t="s">
        <v>36</v>
      </c>
      <c r="I639" s="5" t="s">
        <v>48</v>
      </c>
      <c r="J639" s="5" t="s">
        <v>663</v>
      </c>
      <c r="K639" s="5" t="s">
        <v>5284</v>
      </c>
      <c r="L639" s="11">
        <v>1</v>
      </c>
      <c r="M639" s="5" t="s">
        <v>6348</v>
      </c>
    </row>
    <row r="640" spans="2:13" ht="37.5" customHeight="1" x14ac:dyDescent="0.35">
      <c r="B640" s="12">
        <v>38</v>
      </c>
      <c r="C640" s="7" t="s">
        <v>6342</v>
      </c>
      <c r="D640" s="12">
        <v>96</v>
      </c>
      <c r="E640" s="7" t="s">
        <v>6652</v>
      </c>
      <c r="F640" s="7" t="s">
        <v>6653</v>
      </c>
      <c r="G640" s="7" t="s">
        <v>33</v>
      </c>
      <c r="H640" s="7" t="s">
        <v>36</v>
      </c>
      <c r="I640" s="7" t="s">
        <v>48</v>
      </c>
      <c r="J640" s="7" t="s">
        <v>663</v>
      </c>
      <c r="K640" s="7" t="s">
        <v>5284</v>
      </c>
      <c r="L640" s="12">
        <v>1</v>
      </c>
      <c r="M640" s="7" t="s">
        <v>6348</v>
      </c>
    </row>
    <row r="641" spans="2:13" ht="37.5" customHeight="1" x14ac:dyDescent="0.35">
      <c r="B641" s="11">
        <v>38</v>
      </c>
      <c r="C641" s="5" t="s">
        <v>6342</v>
      </c>
      <c r="D641" s="11">
        <v>97</v>
      </c>
      <c r="E641" s="5" t="s">
        <v>6654</v>
      </c>
      <c r="F641" s="5" t="s">
        <v>6655</v>
      </c>
      <c r="G641" s="5" t="s">
        <v>282</v>
      </c>
      <c r="H641" s="5" t="s">
        <v>36</v>
      </c>
      <c r="I641" s="5" t="s">
        <v>48</v>
      </c>
      <c r="J641" s="5" t="s">
        <v>663</v>
      </c>
      <c r="K641" s="5" t="s">
        <v>5284</v>
      </c>
      <c r="L641" s="11">
        <v>1</v>
      </c>
      <c r="M641" s="5" t="s">
        <v>6348</v>
      </c>
    </row>
    <row r="642" spans="2:13" ht="37.5" customHeight="1" x14ac:dyDescent="0.35">
      <c r="B642" s="12">
        <v>38</v>
      </c>
      <c r="C642" s="7" t="s">
        <v>6342</v>
      </c>
      <c r="D642" s="12">
        <v>98</v>
      </c>
      <c r="E642" s="7" t="s">
        <v>6656</v>
      </c>
      <c r="F642" s="7" t="s">
        <v>6657</v>
      </c>
      <c r="G642" s="7" t="s">
        <v>6658</v>
      </c>
      <c r="H642" s="7" t="s">
        <v>37</v>
      </c>
      <c r="I642" s="7" t="s">
        <v>55</v>
      </c>
      <c r="J642" s="7" t="s">
        <v>6370</v>
      </c>
      <c r="K642" s="7" t="s">
        <v>6659</v>
      </c>
      <c r="L642" s="12">
        <v>1</v>
      </c>
      <c r="M642" s="7" t="s">
        <v>6348</v>
      </c>
    </row>
    <row r="643" spans="2:13" ht="37.5" customHeight="1" x14ac:dyDescent="0.35">
      <c r="B643" s="11">
        <v>38</v>
      </c>
      <c r="C643" s="5" t="s">
        <v>6342</v>
      </c>
      <c r="D643" s="11">
        <v>99</v>
      </c>
      <c r="E643" s="5" t="s">
        <v>6660</v>
      </c>
      <c r="F643" s="5" t="s">
        <v>6661</v>
      </c>
      <c r="G643" s="5" t="s">
        <v>31</v>
      </c>
      <c r="H643" s="5" t="s">
        <v>36</v>
      </c>
      <c r="I643" s="5" t="s">
        <v>48</v>
      </c>
      <c r="J643" s="5" t="s">
        <v>6365</v>
      </c>
      <c r="K643" s="5" t="s">
        <v>6536</v>
      </c>
      <c r="L643" s="11">
        <v>1</v>
      </c>
      <c r="M643" s="5" t="s">
        <v>6348</v>
      </c>
    </row>
    <row r="644" spans="2:13" ht="37.5" customHeight="1" x14ac:dyDescent="0.35">
      <c r="B644" s="12">
        <v>38</v>
      </c>
      <c r="C644" s="7" t="s">
        <v>6342</v>
      </c>
      <c r="D644" s="12">
        <v>100</v>
      </c>
      <c r="E644" s="7" t="s">
        <v>6662</v>
      </c>
      <c r="F644" s="7" t="s">
        <v>6663</v>
      </c>
      <c r="G644" s="7" t="s">
        <v>1710</v>
      </c>
      <c r="H644" s="7" t="s">
        <v>36</v>
      </c>
      <c r="I644" s="7" t="s">
        <v>48</v>
      </c>
      <c r="J644" s="7" t="s">
        <v>6400</v>
      </c>
      <c r="K644" s="7" t="s">
        <v>6401</v>
      </c>
      <c r="L644" s="12">
        <v>1</v>
      </c>
      <c r="M644" s="7" t="s">
        <v>6348</v>
      </c>
    </row>
    <row r="645" spans="2:13" ht="37.5" customHeight="1" x14ac:dyDescent="0.35">
      <c r="B645" s="11">
        <v>38</v>
      </c>
      <c r="C645" s="5" t="s">
        <v>6342</v>
      </c>
      <c r="D645" s="11">
        <v>101</v>
      </c>
      <c r="E645" s="5" t="s">
        <v>6664</v>
      </c>
      <c r="F645" s="5" t="s">
        <v>6665</v>
      </c>
      <c r="G645" s="5" t="s">
        <v>842</v>
      </c>
      <c r="H645" s="5" t="s">
        <v>36</v>
      </c>
      <c r="I645" s="5" t="s">
        <v>48</v>
      </c>
      <c r="J645" s="5" t="s">
        <v>6400</v>
      </c>
      <c r="K645" s="5" t="s">
        <v>6401</v>
      </c>
      <c r="L645" s="11">
        <v>1</v>
      </c>
      <c r="M645" s="5" t="s">
        <v>6348</v>
      </c>
    </row>
    <row r="646" spans="2:13" ht="37.5" customHeight="1" x14ac:dyDescent="0.35">
      <c r="B646" s="12">
        <v>38</v>
      </c>
      <c r="C646" s="7" t="s">
        <v>6342</v>
      </c>
      <c r="D646" s="12">
        <v>101</v>
      </c>
      <c r="E646" s="7" t="s">
        <v>6666</v>
      </c>
      <c r="F646" s="7" t="s">
        <v>6667</v>
      </c>
      <c r="G646" s="7" t="s">
        <v>6668</v>
      </c>
      <c r="H646" s="7" t="s">
        <v>4720</v>
      </c>
      <c r="I646" s="7" t="s">
        <v>5225</v>
      </c>
      <c r="J646" s="7" t="s">
        <v>6669</v>
      </c>
      <c r="K646" s="7" t="s">
        <v>6670</v>
      </c>
      <c r="L646" s="12">
        <v>2</v>
      </c>
      <c r="M646" s="7" t="s">
        <v>6348</v>
      </c>
    </row>
    <row r="647" spans="2:13" ht="37.5" customHeight="1" x14ac:dyDescent="0.35">
      <c r="B647" s="11">
        <v>38</v>
      </c>
      <c r="C647" s="5" t="s">
        <v>6342</v>
      </c>
      <c r="D647" s="11">
        <v>102</v>
      </c>
      <c r="E647" s="5" t="s">
        <v>6671</v>
      </c>
      <c r="F647" s="5" t="s">
        <v>6672</v>
      </c>
      <c r="G647" s="5" t="s">
        <v>497</v>
      </c>
      <c r="H647" s="5" t="s">
        <v>1355</v>
      </c>
      <c r="I647" s="5" t="s">
        <v>6673</v>
      </c>
      <c r="J647" s="5" t="s">
        <v>6674</v>
      </c>
      <c r="K647" s="5" t="s">
        <v>6675</v>
      </c>
      <c r="L647" s="11">
        <v>2</v>
      </c>
      <c r="M647" s="5" t="s">
        <v>6348</v>
      </c>
    </row>
    <row r="648" spans="2:13" ht="37.5" customHeight="1" x14ac:dyDescent="0.35">
      <c r="B648" s="12">
        <v>38</v>
      </c>
      <c r="C648" s="7" t="s">
        <v>6342</v>
      </c>
      <c r="D648" s="12">
        <v>103</v>
      </c>
      <c r="E648" s="7" t="s">
        <v>6676</v>
      </c>
      <c r="F648" s="7" t="s">
        <v>6677</v>
      </c>
      <c r="G648" s="7" t="s">
        <v>993</v>
      </c>
      <c r="H648" s="7" t="s">
        <v>36</v>
      </c>
      <c r="I648" s="7" t="s">
        <v>48</v>
      </c>
      <c r="J648" s="7" t="s">
        <v>6400</v>
      </c>
      <c r="K648" s="7" t="s">
        <v>6401</v>
      </c>
      <c r="L648" s="12">
        <v>1</v>
      </c>
      <c r="M648" s="7" t="s">
        <v>6348</v>
      </c>
    </row>
    <row r="649" spans="2:13" ht="37.5" customHeight="1" x14ac:dyDescent="0.35">
      <c r="B649" s="11">
        <v>38</v>
      </c>
      <c r="C649" s="5" t="s">
        <v>6342</v>
      </c>
      <c r="D649" s="11">
        <v>104</v>
      </c>
      <c r="E649" s="5" t="s">
        <v>6678</v>
      </c>
      <c r="F649" s="5" t="s">
        <v>6679</v>
      </c>
      <c r="G649" s="5" t="s">
        <v>2608</v>
      </c>
      <c r="H649" s="5" t="s">
        <v>36</v>
      </c>
      <c r="I649" s="5" t="s">
        <v>48</v>
      </c>
      <c r="J649" s="5" t="s">
        <v>6400</v>
      </c>
      <c r="K649" s="5" t="s">
        <v>6401</v>
      </c>
      <c r="L649" s="11">
        <v>1</v>
      </c>
      <c r="M649" s="5" t="s">
        <v>6348</v>
      </c>
    </row>
    <row r="650" spans="2:13" ht="37.5" customHeight="1" x14ac:dyDescent="0.35">
      <c r="B650" s="12">
        <v>39</v>
      </c>
      <c r="C650" s="7" t="s">
        <v>6680</v>
      </c>
      <c r="D650" s="12">
        <v>1</v>
      </c>
      <c r="E650" s="7" t="s">
        <v>6681</v>
      </c>
      <c r="F650" s="7" t="s">
        <v>6682</v>
      </c>
      <c r="G650" s="7" t="s">
        <v>6683</v>
      </c>
      <c r="H650" s="7" t="s">
        <v>36</v>
      </c>
      <c r="I650" s="7" t="s">
        <v>48</v>
      </c>
      <c r="J650" s="7" t="s">
        <v>6684</v>
      </c>
      <c r="K650" s="7" t="s">
        <v>6685</v>
      </c>
      <c r="L650" s="12">
        <v>1</v>
      </c>
      <c r="M650" s="7" t="s">
        <v>1892</v>
      </c>
    </row>
    <row r="651" spans="2:13" ht="37.5" customHeight="1" x14ac:dyDescent="0.35">
      <c r="B651" s="11">
        <v>39</v>
      </c>
      <c r="C651" s="5" t="s">
        <v>6680</v>
      </c>
      <c r="D651" s="11">
        <v>2</v>
      </c>
      <c r="E651" s="5" t="s">
        <v>6686</v>
      </c>
      <c r="F651" s="5" t="s">
        <v>6687</v>
      </c>
      <c r="G651" s="5" t="s">
        <v>1076</v>
      </c>
      <c r="H651" s="5" t="s">
        <v>42</v>
      </c>
      <c r="I651" s="5" t="s">
        <v>4888</v>
      </c>
      <c r="J651" s="5" t="s">
        <v>5128</v>
      </c>
      <c r="K651" s="5" t="s">
        <v>6688</v>
      </c>
      <c r="L651" s="11">
        <v>1</v>
      </c>
      <c r="M651" s="5" t="s">
        <v>1892</v>
      </c>
    </row>
    <row r="652" spans="2:13" ht="37.5" customHeight="1" x14ac:dyDescent="0.35">
      <c r="B652" s="12">
        <v>39</v>
      </c>
      <c r="C652" s="7" t="s">
        <v>6680</v>
      </c>
      <c r="D652" s="12">
        <v>3</v>
      </c>
      <c r="E652" s="7" t="s">
        <v>6689</v>
      </c>
      <c r="F652" s="7" t="s">
        <v>6690</v>
      </c>
      <c r="G652" s="7" t="s">
        <v>26</v>
      </c>
      <c r="H652" s="7" t="s">
        <v>36</v>
      </c>
      <c r="I652" s="7" t="s">
        <v>48</v>
      </c>
      <c r="J652" s="7" t="s">
        <v>5548</v>
      </c>
      <c r="K652" s="7" t="s">
        <v>5549</v>
      </c>
      <c r="L652" s="12">
        <v>1</v>
      </c>
      <c r="M652" s="7" t="s">
        <v>1892</v>
      </c>
    </row>
    <row r="653" spans="2:13" ht="37.5" customHeight="1" x14ac:dyDescent="0.35">
      <c r="B653" s="11">
        <v>39</v>
      </c>
      <c r="C653" s="5" t="s">
        <v>6680</v>
      </c>
      <c r="D653" s="11">
        <v>4</v>
      </c>
      <c r="E653" s="5" t="s">
        <v>6691</v>
      </c>
      <c r="F653" s="5" t="s">
        <v>6692</v>
      </c>
      <c r="G653" s="5" t="s">
        <v>27</v>
      </c>
      <c r="H653" s="5" t="s">
        <v>36</v>
      </c>
      <c r="I653" s="5" t="s">
        <v>5409</v>
      </c>
      <c r="J653" s="5" t="s">
        <v>5531</v>
      </c>
      <c r="K653" s="5" t="s">
        <v>6693</v>
      </c>
      <c r="L653" s="11">
        <v>1</v>
      </c>
      <c r="M653" s="5" t="s">
        <v>1892</v>
      </c>
    </row>
    <row r="654" spans="2:13" ht="37.5" customHeight="1" x14ac:dyDescent="0.35">
      <c r="B654" s="12">
        <v>39</v>
      </c>
      <c r="C654" s="7" t="s">
        <v>6680</v>
      </c>
      <c r="D654" s="12">
        <v>5</v>
      </c>
      <c r="E654" s="7" t="s">
        <v>6694</v>
      </c>
      <c r="F654" s="7" t="s">
        <v>6695</v>
      </c>
      <c r="G654" s="7" t="s">
        <v>24</v>
      </c>
      <c r="H654" s="7" t="s">
        <v>4720</v>
      </c>
      <c r="I654" s="7" t="s">
        <v>5225</v>
      </c>
      <c r="J654" s="7" t="s">
        <v>6696</v>
      </c>
      <c r="K654" s="7" t="s">
        <v>6697</v>
      </c>
      <c r="L654" s="12">
        <v>2</v>
      </c>
      <c r="M654" s="7" t="s">
        <v>1892</v>
      </c>
    </row>
    <row r="655" spans="2:13" ht="37.5" customHeight="1" x14ac:dyDescent="0.35">
      <c r="B655" s="11">
        <v>39</v>
      </c>
      <c r="C655" s="5" t="s">
        <v>6680</v>
      </c>
      <c r="D655" s="11">
        <v>6</v>
      </c>
      <c r="E655" s="5" t="s">
        <v>6698</v>
      </c>
      <c r="F655" s="5" t="s">
        <v>6699</v>
      </c>
      <c r="G655" s="5" t="s">
        <v>6700</v>
      </c>
      <c r="H655" s="5" t="s">
        <v>42</v>
      </c>
      <c r="I655" s="5" t="s">
        <v>4888</v>
      </c>
      <c r="J655" s="5" t="s">
        <v>4948</v>
      </c>
      <c r="K655" s="5" t="s">
        <v>6701</v>
      </c>
      <c r="L655" s="11">
        <v>1</v>
      </c>
      <c r="M655" s="5" t="s">
        <v>1892</v>
      </c>
    </row>
    <row r="656" spans="2:13" ht="37.5" customHeight="1" x14ac:dyDescent="0.35">
      <c r="B656" s="12">
        <v>39</v>
      </c>
      <c r="C656" s="7" t="s">
        <v>6680</v>
      </c>
      <c r="D656" s="12">
        <v>7</v>
      </c>
      <c r="E656" s="7" t="s">
        <v>6702</v>
      </c>
      <c r="F656" s="7" t="s">
        <v>6703</v>
      </c>
      <c r="G656" s="7" t="s">
        <v>761</v>
      </c>
      <c r="H656" s="7" t="s">
        <v>42</v>
      </c>
      <c r="I656" s="7" t="s">
        <v>5433</v>
      </c>
      <c r="J656" s="7" t="s">
        <v>5531</v>
      </c>
      <c r="K656" s="7" t="s">
        <v>6704</v>
      </c>
      <c r="L656" s="12">
        <v>1</v>
      </c>
      <c r="M656" s="7" t="s">
        <v>1892</v>
      </c>
    </row>
    <row r="657" spans="2:13" ht="37.5" customHeight="1" x14ac:dyDescent="0.35">
      <c r="B657" s="11">
        <v>39</v>
      </c>
      <c r="C657" s="5" t="s">
        <v>6680</v>
      </c>
      <c r="D657" s="11">
        <v>8</v>
      </c>
      <c r="E657" s="5" t="s">
        <v>6705</v>
      </c>
      <c r="F657" s="5" t="s">
        <v>6706</v>
      </c>
      <c r="G657" s="5" t="s">
        <v>32</v>
      </c>
      <c r="H657" s="5" t="s">
        <v>37</v>
      </c>
      <c r="I657" s="5" t="s">
        <v>49</v>
      </c>
      <c r="J657" s="5" t="s">
        <v>4948</v>
      </c>
      <c r="K657" s="5" t="s">
        <v>6707</v>
      </c>
      <c r="L657" s="11">
        <v>1</v>
      </c>
      <c r="M657" s="5" t="s">
        <v>1892</v>
      </c>
    </row>
    <row r="658" spans="2:13" ht="37.5" customHeight="1" x14ac:dyDescent="0.35">
      <c r="B658" s="12">
        <v>39</v>
      </c>
      <c r="C658" s="7" t="s">
        <v>6680</v>
      </c>
      <c r="D658" s="12">
        <v>9</v>
      </c>
      <c r="E658" s="7" t="s">
        <v>6708</v>
      </c>
      <c r="F658" s="7" t="s">
        <v>6709</v>
      </c>
      <c r="G658" s="7" t="s">
        <v>4260</v>
      </c>
      <c r="H658" s="7" t="s">
        <v>36</v>
      </c>
      <c r="I658" s="7" t="s">
        <v>48</v>
      </c>
      <c r="J658" s="7" t="s">
        <v>5531</v>
      </c>
      <c r="K658" s="7" t="s">
        <v>6710</v>
      </c>
      <c r="L658" s="12">
        <v>1</v>
      </c>
      <c r="M658" s="7" t="s">
        <v>1892</v>
      </c>
    </row>
    <row r="659" spans="2:13" ht="37.5" customHeight="1" x14ac:dyDescent="0.35">
      <c r="B659" s="11">
        <v>39</v>
      </c>
      <c r="C659" s="5" t="s">
        <v>6680</v>
      </c>
      <c r="D659" s="11">
        <v>10</v>
      </c>
      <c r="E659" s="5" t="s">
        <v>6711</v>
      </c>
      <c r="F659" s="5" t="s">
        <v>6712</v>
      </c>
      <c r="G659" s="5" t="s">
        <v>31</v>
      </c>
      <c r="H659" s="5" t="s">
        <v>42</v>
      </c>
      <c r="I659" s="5" t="s">
        <v>5023</v>
      </c>
      <c r="J659" s="5" t="s">
        <v>6713</v>
      </c>
      <c r="K659" s="5" t="s">
        <v>6714</v>
      </c>
      <c r="L659" s="11">
        <v>1</v>
      </c>
      <c r="M659" s="5" t="s">
        <v>1892</v>
      </c>
    </row>
    <row r="660" spans="2:13" ht="37.5" customHeight="1" x14ac:dyDescent="0.35">
      <c r="B660" s="12">
        <v>39</v>
      </c>
      <c r="C660" s="7" t="s">
        <v>6680</v>
      </c>
      <c r="D660" s="12">
        <v>11</v>
      </c>
      <c r="E660" s="7" t="s">
        <v>6715</v>
      </c>
      <c r="F660" s="7" t="s">
        <v>6716</v>
      </c>
      <c r="G660" s="7" t="s">
        <v>1873</v>
      </c>
      <c r="H660" s="7" t="s">
        <v>44</v>
      </c>
      <c r="I660" s="7" t="s">
        <v>49</v>
      </c>
      <c r="J660" s="7" t="s">
        <v>4442</v>
      </c>
      <c r="K660" s="7" t="s">
        <v>6717</v>
      </c>
      <c r="L660" s="12">
        <v>1</v>
      </c>
      <c r="M660" s="7" t="s">
        <v>1892</v>
      </c>
    </row>
    <row r="661" spans="2:13" ht="37.5" customHeight="1" x14ac:dyDescent="0.35">
      <c r="B661" s="11">
        <v>39</v>
      </c>
      <c r="C661" s="5" t="s">
        <v>6680</v>
      </c>
      <c r="D661" s="11">
        <v>12</v>
      </c>
      <c r="E661" s="5" t="s">
        <v>6718</v>
      </c>
      <c r="F661" s="5" t="s">
        <v>6719</v>
      </c>
      <c r="G661" s="5" t="s">
        <v>1855</v>
      </c>
      <c r="H661" s="5" t="s">
        <v>4676</v>
      </c>
      <c r="I661" s="5" t="s">
        <v>49</v>
      </c>
      <c r="J661" s="5" t="s">
        <v>4442</v>
      </c>
      <c r="K661" s="5" t="s">
        <v>6720</v>
      </c>
      <c r="L661" s="11">
        <v>1</v>
      </c>
      <c r="M661" s="5" t="s">
        <v>1892</v>
      </c>
    </row>
    <row r="662" spans="2:13" ht="37.5" customHeight="1" x14ac:dyDescent="0.35">
      <c r="B662" s="12">
        <v>39</v>
      </c>
      <c r="C662" s="7" t="s">
        <v>6680</v>
      </c>
      <c r="D662" s="12">
        <v>13</v>
      </c>
      <c r="E662" s="7" t="s">
        <v>6721</v>
      </c>
      <c r="F662" s="7" t="s">
        <v>6722</v>
      </c>
      <c r="G662" s="7" t="s">
        <v>848</v>
      </c>
      <c r="H662" s="7" t="s">
        <v>1521</v>
      </c>
      <c r="I662" s="7" t="s">
        <v>5225</v>
      </c>
      <c r="J662" s="7" t="s">
        <v>6723</v>
      </c>
      <c r="K662" s="7" t="s">
        <v>6724</v>
      </c>
      <c r="L662" s="12">
        <v>2</v>
      </c>
      <c r="M662" s="7" t="s">
        <v>1892</v>
      </c>
    </row>
    <row r="663" spans="2:13" ht="37.5" customHeight="1" x14ac:dyDescent="0.35">
      <c r="B663" s="11">
        <v>39</v>
      </c>
      <c r="C663" s="5" t="s">
        <v>6680</v>
      </c>
      <c r="D663" s="11">
        <v>14</v>
      </c>
      <c r="E663" s="5" t="s">
        <v>6725</v>
      </c>
      <c r="F663" s="5" t="s">
        <v>6726</v>
      </c>
      <c r="G663" s="5" t="s">
        <v>713</v>
      </c>
      <c r="H663" s="5" t="s">
        <v>36</v>
      </c>
      <c r="I663" s="5" t="s">
        <v>48</v>
      </c>
      <c r="J663" s="5" t="s">
        <v>5531</v>
      </c>
      <c r="K663" s="5" t="s">
        <v>6710</v>
      </c>
      <c r="L663" s="11">
        <v>1</v>
      </c>
      <c r="M663" s="5" t="s">
        <v>1892</v>
      </c>
    </row>
    <row r="664" spans="2:13" ht="37.5" customHeight="1" x14ac:dyDescent="0.35">
      <c r="B664" s="12">
        <v>39</v>
      </c>
      <c r="C664" s="7" t="s">
        <v>6680</v>
      </c>
      <c r="D664" s="12">
        <v>15</v>
      </c>
      <c r="E664" s="7" t="s">
        <v>6727</v>
      </c>
      <c r="F664" s="7" t="s">
        <v>6728</v>
      </c>
      <c r="G664" s="7" t="s">
        <v>282</v>
      </c>
      <c r="H664" s="7" t="s">
        <v>37</v>
      </c>
      <c r="I664" s="7" t="s">
        <v>49</v>
      </c>
      <c r="J664" s="7" t="s">
        <v>4948</v>
      </c>
      <c r="K664" s="7" t="s">
        <v>6707</v>
      </c>
      <c r="L664" s="12">
        <v>1</v>
      </c>
      <c r="M664" s="7" t="s">
        <v>1892</v>
      </c>
    </row>
    <row r="665" spans="2:13" ht="37.5" customHeight="1" x14ac:dyDescent="0.35">
      <c r="B665" s="11">
        <v>39</v>
      </c>
      <c r="C665" s="5" t="s">
        <v>6680</v>
      </c>
      <c r="D665" s="11">
        <v>16</v>
      </c>
      <c r="E665" s="5" t="s">
        <v>6729</v>
      </c>
      <c r="F665" s="5" t="s">
        <v>6730</v>
      </c>
      <c r="G665" s="5" t="s">
        <v>33</v>
      </c>
      <c r="H665" s="5" t="s">
        <v>37</v>
      </c>
      <c r="I665" s="5" t="s">
        <v>49</v>
      </c>
      <c r="J665" s="5" t="s">
        <v>4948</v>
      </c>
      <c r="K665" s="5" t="s">
        <v>6707</v>
      </c>
      <c r="L665" s="11">
        <v>1</v>
      </c>
      <c r="M665" s="5" t="s">
        <v>1892</v>
      </c>
    </row>
    <row r="666" spans="2:13" ht="37.5" customHeight="1" x14ac:dyDescent="0.35">
      <c r="B666" s="12">
        <v>39</v>
      </c>
      <c r="C666" s="7" t="s">
        <v>6680</v>
      </c>
      <c r="D666" s="12">
        <v>17</v>
      </c>
      <c r="E666" s="7" t="s">
        <v>6731</v>
      </c>
      <c r="F666" s="7" t="s">
        <v>6732</v>
      </c>
      <c r="G666" s="7" t="s">
        <v>552</v>
      </c>
      <c r="H666" s="7" t="s">
        <v>37</v>
      </c>
      <c r="I666" s="7" t="s">
        <v>49</v>
      </c>
      <c r="J666" s="7" t="s">
        <v>4948</v>
      </c>
      <c r="K666" s="7" t="s">
        <v>6707</v>
      </c>
      <c r="L666" s="12">
        <v>1</v>
      </c>
      <c r="M666" s="7" t="s">
        <v>1892</v>
      </c>
    </row>
    <row r="667" spans="2:13" ht="37.5" customHeight="1" x14ac:dyDescent="0.35">
      <c r="B667" s="11">
        <v>39</v>
      </c>
      <c r="C667" s="5" t="s">
        <v>6680</v>
      </c>
      <c r="D667" s="11">
        <v>18</v>
      </c>
      <c r="E667" s="5" t="s">
        <v>6733</v>
      </c>
      <c r="F667" s="5" t="s">
        <v>6734</v>
      </c>
      <c r="G667" s="5" t="s">
        <v>1172</v>
      </c>
      <c r="H667" s="5" t="s">
        <v>37</v>
      </c>
      <c r="I667" s="5" t="s">
        <v>49</v>
      </c>
      <c r="J667" s="5" t="s">
        <v>4948</v>
      </c>
      <c r="K667" s="5" t="s">
        <v>6707</v>
      </c>
      <c r="L667" s="11">
        <v>1</v>
      </c>
      <c r="M667" s="5" t="s">
        <v>1892</v>
      </c>
    </row>
    <row r="668" spans="2:13" ht="37.5" customHeight="1" x14ac:dyDescent="0.35">
      <c r="B668" s="12">
        <v>39</v>
      </c>
      <c r="C668" s="7" t="s">
        <v>6680</v>
      </c>
      <c r="D668" s="12">
        <v>19</v>
      </c>
      <c r="E668" s="7" t="s">
        <v>6735</v>
      </c>
      <c r="F668" s="7" t="s">
        <v>6736</v>
      </c>
      <c r="G668" s="7" t="s">
        <v>908</v>
      </c>
      <c r="H668" s="7" t="s">
        <v>4662</v>
      </c>
      <c r="I668" s="7" t="s">
        <v>4663</v>
      </c>
      <c r="J668" s="7" t="s">
        <v>6737</v>
      </c>
      <c r="K668" s="7" t="s">
        <v>6738</v>
      </c>
      <c r="L668" s="12">
        <v>2</v>
      </c>
      <c r="M668" s="7" t="s">
        <v>1892</v>
      </c>
    </row>
    <row r="669" spans="2:13" ht="37.5" customHeight="1" x14ac:dyDescent="0.35">
      <c r="B669" s="11">
        <v>39</v>
      </c>
      <c r="C669" s="5" t="s">
        <v>6680</v>
      </c>
      <c r="D669" s="11">
        <v>20</v>
      </c>
      <c r="E669" s="5" t="s">
        <v>6739</v>
      </c>
      <c r="F669" s="5" t="s">
        <v>6740</v>
      </c>
      <c r="G669" s="5" t="s">
        <v>3997</v>
      </c>
      <c r="H669" s="5" t="s">
        <v>41</v>
      </c>
      <c r="I669" s="5" t="s">
        <v>49</v>
      </c>
      <c r="J669" s="5" t="s">
        <v>1004</v>
      </c>
      <c r="K669" s="5" t="s">
        <v>5073</v>
      </c>
      <c r="L669" s="11">
        <v>1</v>
      </c>
      <c r="M669" s="5" t="s">
        <v>1892</v>
      </c>
    </row>
    <row r="670" spans="2:13" ht="37.5" customHeight="1" x14ac:dyDescent="0.35">
      <c r="B670" s="12">
        <v>39</v>
      </c>
      <c r="C670" s="7" t="s">
        <v>6680</v>
      </c>
      <c r="D670" s="12">
        <v>21</v>
      </c>
      <c r="E670" s="7" t="s">
        <v>6741</v>
      </c>
      <c r="F670" s="7" t="s">
        <v>6742</v>
      </c>
      <c r="G670" s="7" t="s">
        <v>6743</v>
      </c>
      <c r="H670" s="7" t="s">
        <v>36</v>
      </c>
      <c r="I670" s="7" t="s">
        <v>48</v>
      </c>
      <c r="J670" s="7" t="s">
        <v>6744</v>
      </c>
      <c r="K670" s="7" t="s">
        <v>6745</v>
      </c>
      <c r="L670" s="12">
        <v>1</v>
      </c>
      <c r="M670" s="7" t="s">
        <v>1892</v>
      </c>
    </row>
    <row r="671" spans="2:13" ht="37.5" customHeight="1" x14ac:dyDescent="0.35">
      <c r="B671" s="11">
        <v>39</v>
      </c>
      <c r="C671" s="5" t="s">
        <v>6680</v>
      </c>
      <c r="D671" s="11">
        <v>22</v>
      </c>
      <c r="E671" s="5" t="s">
        <v>6746</v>
      </c>
      <c r="F671" s="5" t="s">
        <v>6747</v>
      </c>
      <c r="G671" s="5" t="s">
        <v>262</v>
      </c>
      <c r="H671" s="5" t="s">
        <v>4662</v>
      </c>
      <c r="I671" s="5" t="s">
        <v>6748</v>
      </c>
      <c r="J671" s="5" t="s">
        <v>6737</v>
      </c>
      <c r="K671" s="5" t="s">
        <v>6749</v>
      </c>
      <c r="L671" s="11">
        <v>2</v>
      </c>
      <c r="M671" s="5" t="s">
        <v>1892</v>
      </c>
    </row>
    <row r="672" spans="2:13" ht="52.5" customHeight="1" x14ac:dyDescent="0.35">
      <c r="B672" s="12">
        <v>40</v>
      </c>
      <c r="C672" s="7" t="s">
        <v>6750</v>
      </c>
      <c r="D672" s="12">
        <v>1</v>
      </c>
      <c r="E672" s="7" t="s">
        <v>6751</v>
      </c>
      <c r="F672" s="7" t="s">
        <v>6752</v>
      </c>
      <c r="G672" s="7" t="s">
        <v>560</v>
      </c>
      <c r="H672" s="7" t="s">
        <v>37</v>
      </c>
      <c r="I672" s="7" t="s">
        <v>55</v>
      </c>
      <c r="J672" s="7" t="s">
        <v>1579</v>
      </c>
      <c r="K672" s="7" t="s">
        <v>5370</v>
      </c>
      <c r="L672" s="12">
        <v>1</v>
      </c>
      <c r="M672" s="7" t="s">
        <v>1892</v>
      </c>
    </row>
    <row r="673" spans="2:13" ht="52.5" customHeight="1" x14ac:dyDescent="0.35">
      <c r="B673" s="11">
        <v>40</v>
      </c>
      <c r="C673" s="5" t="s">
        <v>6750</v>
      </c>
      <c r="D673" s="11">
        <v>2</v>
      </c>
      <c r="E673" s="5" t="s">
        <v>6753</v>
      </c>
      <c r="F673" s="5" t="s">
        <v>6754</v>
      </c>
      <c r="G673" s="5" t="s">
        <v>26</v>
      </c>
      <c r="H673" s="5" t="s">
        <v>42</v>
      </c>
      <c r="I673" s="5" t="s">
        <v>5433</v>
      </c>
      <c r="J673" s="5" t="s">
        <v>6755</v>
      </c>
      <c r="K673" s="5" t="s">
        <v>6756</v>
      </c>
      <c r="L673" s="11">
        <v>1</v>
      </c>
      <c r="M673" s="5" t="s">
        <v>1892</v>
      </c>
    </row>
    <row r="674" spans="2:13" ht="52.5" customHeight="1" x14ac:dyDescent="0.35">
      <c r="B674" s="12">
        <v>40</v>
      </c>
      <c r="C674" s="7" t="s">
        <v>6750</v>
      </c>
      <c r="D674" s="12">
        <v>3</v>
      </c>
      <c r="E674" s="7" t="s">
        <v>6757</v>
      </c>
      <c r="F674" s="7" t="s">
        <v>6758</v>
      </c>
      <c r="G674" s="7" t="s">
        <v>1073</v>
      </c>
      <c r="H674" s="7" t="s">
        <v>39</v>
      </c>
      <c r="I674" s="7" t="s">
        <v>227</v>
      </c>
      <c r="J674" s="7" t="s">
        <v>1579</v>
      </c>
      <c r="K674" s="7" t="s">
        <v>6759</v>
      </c>
      <c r="L674" s="12">
        <v>1</v>
      </c>
      <c r="M674" s="7" t="s">
        <v>1892</v>
      </c>
    </row>
    <row r="675" spans="2:13" ht="37.5" customHeight="1" x14ac:dyDescent="0.35">
      <c r="B675" s="11">
        <v>41</v>
      </c>
      <c r="C675" s="5" t="s">
        <v>6760</v>
      </c>
      <c r="D675" s="11">
        <v>1</v>
      </c>
      <c r="E675" s="5" t="s">
        <v>6761</v>
      </c>
      <c r="F675" s="5" t="s">
        <v>6762</v>
      </c>
      <c r="G675" s="5" t="s">
        <v>6763</v>
      </c>
      <c r="H675" s="5" t="s">
        <v>39</v>
      </c>
      <c r="I675" s="5" t="s">
        <v>482</v>
      </c>
      <c r="J675" s="5" t="s">
        <v>6764</v>
      </c>
      <c r="K675" s="5" t="s">
        <v>6765</v>
      </c>
      <c r="L675" s="11">
        <v>1</v>
      </c>
      <c r="M675" s="5" t="s">
        <v>1892</v>
      </c>
    </row>
    <row r="676" spans="2:13" ht="37.5" customHeight="1" x14ac:dyDescent="0.35">
      <c r="B676" s="12">
        <v>42</v>
      </c>
      <c r="C676" s="7" t="s">
        <v>6766</v>
      </c>
      <c r="D676" s="12">
        <v>1</v>
      </c>
      <c r="E676" s="7" t="s">
        <v>6767</v>
      </c>
      <c r="F676" s="7" t="s">
        <v>6768</v>
      </c>
      <c r="G676" s="7" t="s">
        <v>1164</v>
      </c>
      <c r="H676" s="7" t="s">
        <v>41</v>
      </c>
      <c r="I676" s="7" t="s">
        <v>49</v>
      </c>
      <c r="J676" s="7" t="s">
        <v>1004</v>
      </c>
      <c r="K676" s="7" t="s">
        <v>5073</v>
      </c>
      <c r="L676" s="12">
        <v>1</v>
      </c>
      <c r="M676" s="7" t="s">
        <v>1892</v>
      </c>
    </row>
    <row r="677" spans="2:13" ht="37.5" customHeight="1" x14ac:dyDescent="0.35">
      <c r="B677" s="11">
        <v>43</v>
      </c>
      <c r="C677" s="5" t="s">
        <v>6769</v>
      </c>
      <c r="D677" s="11">
        <v>1</v>
      </c>
      <c r="E677" s="5" t="s">
        <v>6770</v>
      </c>
      <c r="F677" s="5" t="s">
        <v>6771</v>
      </c>
      <c r="G677" s="5" t="s">
        <v>285</v>
      </c>
      <c r="H677" s="5" t="s">
        <v>306</v>
      </c>
      <c r="I677" s="5" t="s">
        <v>5143</v>
      </c>
      <c r="J677" s="5" t="s">
        <v>6772</v>
      </c>
      <c r="K677" s="5" t="s">
        <v>6773</v>
      </c>
      <c r="L677" s="11">
        <v>2</v>
      </c>
      <c r="M677" s="5" t="s">
        <v>1892</v>
      </c>
    </row>
    <row r="678" spans="2:13" ht="52.5" customHeight="1" x14ac:dyDescent="0.35">
      <c r="B678" s="12"/>
      <c r="C678" s="7" t="s">
        <v>6774</v>
      </c>
      <c r="D678" s="12">
        <v>2</v>
      </c>
      <c r="E678" s="7" t="s">
        <v>6775</v>
      </c>
      <c r="F678" s="7" t="s">
        <v>6776</v>
      </c>
      <c r="G678" s="7" t="s">
        <v>402</v>
      </c>
      <c r="H678" s="7" t="s">
        <v>6777</v>
      </c>
      <c r="I678" s="7" t="s">
        <v>6778</v>
      </c>
      <c r="J678" s="7" t="s">
        <v>6779</v>
      </c>
      <c r="K678" s="7" t="s">
        <v>6780</v>
      </c>
      <c r="L678" s="12">
        <v>3</v>
      </c>
      <c r="M678" s="7"/>
    </row>
    <row r="679" spans="2:13" ht="37.5" customHeight="1" x14ac:dyDescent="0.35">
      <c r="B679" s="11"/>
      <c r="C679" s="5" t="s">
        <v>6774</v>
      </c>
      <c r="D679" s="11">
        <v>3</v>
      </c>
      <c r="E679" s="5" t="s">
        <v>6781</v>
      </c>
      <c r="F679" s="5" t="s">
        <v>6782</v>
      </c>
      <c r="G679" s="5" t="s">
        <v>25</v>
      </c>
      <c r="H679" s="5" t="s">
        <v>4752</v>
      </c>
      <c r="I679" s="5" t="s">
        <v>6783</v>
      </c>
      <c r="J679" s="5" t="s">
        <v>6784</v>
      </c>
      <c r="K679" s="5" t="s">
        <v>6785</v>
      </c>
      <c r="L679" s="11">
        <v>2</v>
      </c>
      <c r="M679" s="5"/>
    </row>
    <row r="680" spans="2:13" ht="37.5" customHeight="1" x14ac:dyDescent="0.35">
      <c r="B680" s="12">
        <v>44</v>
      </c>
      <c r="C680" s="7" t="s">
        <v>6786</v>
      </c>
      <c r="D680" s="12">
        <v>1</v>
      </c>
      <c r="E680" s="7" t="s">
        <v>6787</v>
      </c>
      <c r="F680" s="7" t="s">
        <v>6788</v>
      </c>
      <c r="G680" s="7" t="s">
        <v>30</v>
      </c>
      <c r="H680" s="7" t="s">
        <v>36</v>
      </c>
      <c r="I680" s="7" t="s">
        <v>5409</v>
      </c>
      <c r="J680" s="7" t="s">
        <v>6789</v>
      </c>
      <c r="K680" s="7" t="s">
        <v>6790</v>
      </c>
      <c r="L680" s="12">
        <v>1</v>
      </c>
      <c r="M680" s="7" t="s">
        <v>6348</v>
      </c>
    </row>
    <row r="681" spans="2:13" ht="52.5" customHeight="1" x14ac:dyDescent="0.35">
      <c r="B681" s="11">
        <v>45</v>
      </c>
      <c r="C681" s="5" t="s">
        <v>6791</v>
      </c>
      <c r="D681" s="11">
        <v>1</v>
      </c>
      <c r="E681" s="5" t="s">
        <v>6792</v>
      </c>
      <c r="F681" s="5" t="s">
        <v>6793</v>
      </c>
      <c r="G681" s="5" t="s">
        <v>414</v>
      </c>
      <c r="H681" s="5" t="s">
        <v>6794</v>
      </c>
      <c r="I681" s="5" t="s">
        <v>6795</v>
      </c>
      <c r="J681" s="5" t="s">
        <v>6796</v>
      </c>
      <c r="K681" s="5" t="s">
        <v>6797</v>
      </c>
      <c r="L681" s="11">
        <v>3</v>
      </c>
      <c r="M681" s="5" t="s">
        <v>6798</v>
      </c>
    </row>
    <row r="682" spans="2:13" ht="37.5" customHeight="1" x14ac:dyDescent="0.35">
      <c r="B682" s="12">
        <v>46</v>
      </c>
      <c r="C682" s="7" t="s">
        <v>6799</v>
      </c>
      <c r="D682" s="12">
        <v>1</v>
      </c>
      <c r="E682" s="7" t="s">
        <v>6800</v>
      </c>
      <c r="F682" s="7" t="s">
        <v>6801</v>
      </c>
      <c r="G682" s="7" t="s">
        <v>25</v>
      </c>
      <c r="H682" s="7" t="s">
        <v>39</v>
      </c>
      <c r="I682" s="7" t="s">
        <v>6802</v>
      </c>
      <c r="J682" s="7" t="s">
        <v>194</v>
      </c>
      <c r="K682" s="7" t="s">
        <v>6803</v>
      </c>
      <c r="L682" s="12">
        <v>1</v>
      </c>
      <c r="M682" s="7" t="s">
        <v>6798</v>
      </c>
    </row>
    <row r="683" spans="2:13" ht="37.5" customHeight="1" x14ac:dyDescent="0.35">
      <c r="B683" s="11">
        <v>47</v>
      </c>
      <c r="C683" s="5" t="s">
        <v>6804</v>
      </c>
      <c r="D683" s="11">
        <v>1</v>
      </c>
      <c r="E683" s="5" t="s">
        <v>6805</v>
      </c>
      <c r="F683" s="5" t="s">
        <v>6806</v>
      </c>
      <c r="G683" s="5" t="s">
        <v>262</v>
      </c>
      <c r="H683" s="5" t="s">
        <v>4662</v>
      </c>
      <c r="I683" s="5" t="s">
        <v>6807</v>
      </c>
      <c r="J683" s="5" t="s">
        <v>6808</v>
      </c>
      <c r="K683" s="5" t="s">
        <v>6809</v>
      </c>
      <c r="L683" s="11">
        <v>2</v>
      </c>
      <c r="M683" s="5" t="s">
        <v>6798</v>
      </c>
    </row>
    <row r="684" spans="2:13" ht="112.5" customHeight="1" x14ac:dyDescent="0.35">
      <c r="B684" s="12">
        <v>48</v>
      </c>
      <c r="C684" s="7" t="s">
        <v>6810</v>
      </c>
      <c r="D684" s="12">
        <v>1</v>
      </c>
      <c r="E684" s="7" t="s">
        <v>6811</v>
      </c>
      <c r="F684" s="7" t="s">
        <v>6812</v>
      </c>
      <c r="G684" s="7" t="s">
        <v>29</v>
      </c>
      <c r="H684" s="7" t="s">
        <v>6813</v>
      </c>
      <c r="I684" s="7" t="s">
        <v>6814</v>
      </c>
      <c r="J684" s="7" t="s">
        <v>6815</v>
      </c>
      <c r="K684" s="7" t="s">
        <v>6816</v>
      </c>
      <c r="L684" s="12">
        <v>5</v>
      </c>
      <c r="M684" s="7" t="s">
        <v>156</v>
      </c>
    </row>
    <row r="685" spans="2:13" ht="37.5" customHeight="1" x14ac:dyDescent="0.35">
      <c r="B685" s="11">
        <v>48</v>
      </c>
      <c r="C685" s="5" t="s">
        <v>6810</v>
      </c>
      <c r="D685" s="11">
        <v>2</v>
      </c>
      <c r="E685" s="5" t="s">
        <v>6817</v>
      </c>
      <c r="F685" s="5" t="s">
        <v>6818</v>
      </c>
      <c r="G685" s="5" t="s">
        <v>472</v>
      </c>
      <c r="H685" s="5" t="s">
        <v>1521</v>
      </c>
      <c r="I685" s="5" t="s">
        <v>6819</v>
      </c>
      <c r="J685" s="5" t="s">
        <v>6820</v>
      </c>
      <c r="K685" s="5" t="s">
        <v>6821</v>
      </c>
      <c r="L685" s="11">
        <v>2</v>
      </c>
      <c r="M685" s="5" t="s">
        <v>156</v>
      </c>
    </row>
    <row r="686" spans="2:13" ht="97.5" customHeight="1" x14ac:dyDescent="0.35">
      <c r="B686" s="12">
        <v>48</v>
      </c>
      <c r="C686" s="7" t="s">
        <v>6810</v>
      </c>
      <c r="D686" s="12">
        <v>3</v>
      </c>
      <c r="E686" s="7" t="s">
        <v>6822</v>
      </c>
      <c r="F686" s="7" t="s">
        <v>6823</v>
      </c>
      <c r="G686" s="7" t="s">
        <v>365</v>
      </c>
      <c r="H686" s="7" t="s">
        <v>6824</v>
      </c>
      <c r="I686" s="7" t="s">
        <v>6825</v>
      </c>
      <c r="J686" s="7" t="s">
        <v>6826</v>
      </c>
      <c r="K686" s="7" t="s">
        <v>6827</v>
      </c>
      <c r="L686" s="12">
        <v>5</v>
      </c>
      <c r="M686" s="7" t="s">
        <v>156</v>
      </c>
    </row>
    <row r="687" spans="2:13" ht="82.5" customHeight="1" x14ac:dyDescent="0.35">
      <c r="B687" s="11">
        <v>48</v>
      </c>
      <c r="C687" s="5" t="s">
        <v>6810</v>
      </c>
      <c r="D687" s="11">
        <v>4</v>
      </c>
      <c r="E687" s="5" t="s">
        <v>6828</v>
      </c>
      <c r="F687" s="5" t="s">
        <v>6829</v>
      </c>
      <c r="G687" s="5" t="s">
        <v>497</v>
      </c>
      <c r="H687" s="5" t="s">
        <v>6830</v>
      </c>
      <c r="I687" s="5" t="s">
        <v>6831</v>
      </c>
      <c r="J687" s="5" t="s">
        <v>6832</v>
      </c>
      <c r="K687" s="5" t="s">
        <v>6833</v>
      </c>
      <c r="L687" s="11">
        <v>4</v>
      </c>
      <c r="M687" s="5" t="s">
        <v>156</v>
      </c>
    </row>
    <row r="688" spans="2:13" ht="37.5" customHeight="1" x14ac:dyDescent="0.35">
      <c r="B688" s="12">
        <v>48</v>
      </c>
      <c r="C688" s="7" t="s">
        <v>6810</v>
      </c>
      <c r="D688" s="12">
        <v>5</v>
      </c>
      <c r="E688" s="7" t="s">
        <v>6834</v>
      </c>
      <c r="F688" s="7" t="s">
        <v>6835</v>
      </c>
      <c r="G688" s="7" t="s">
        <v>168</v>
      </c>
      <c r="H688" s="7" t="s">
        <v>5802</v>
      </c>
      <c r="I688" s="7" t="s">
        <v>55</v>
      </c>
      <c r="J688" s="7" t="s">
        <v>6836</v>
      </c>
      <c r="K688" s="7" t="s">
        <v>6837</v>
      </c>
      <c r="L688" s="12">
        <v>2</v>
      </c>
      <c r="M688" s="7" t="s">
        <v>156</v>
      </c>
    </row>
    <row r="689" spans="2:13" ht="37.5" customHeight="1" x14ac:dyDescent="0.35">
      <c r="B689" s="11">
        <v>48</v>
      </c>
      <c r="C689" s="5" t="s">
        <v>6810</v>
      </c>
      <c r="D689" s="11">
        <v>6</v>
      </c>
      <c r="E689" s="5" t="s">
        <v>6838</v>
      </c>
      <c r="F689" s="5" t="s">
        <v>6839</v>
      </c>
      <c r="G689" s="5" t="s">
        <v>168</v>
      </c>
      <c r="H689" s="5" t="s">
        <v>1167</v>
      </c>
      <c r="I689" s="5" t="s">
        <v>6840</v>
      </c>
      <c r="J689" s="5" t="s">
        <v>6841</v>
      </c>
      <c r="K689" s="5" t="s">
        <v>6842</v>
      </c>
      <c r="L689" s="11">
        <v>2</v>
      </c>
      <c r="M689" s="5" t="s">
        <v>156</v>
      </c>
    </row>
    <row r="690" spans="2:13" ht="52.5" customHeight="1" x14ac:dyDescent="0.35">
      <c r="B690" s="12">
        <v>48</v>
      </c>
      <c r="C690" s="7" t="s">
        <v>6810</v>
      </c>
      <c r="D690" s="12">
        <v>7</v>
      </c>
      <c r="E690" s="7" t="s">
        <v>6843</v>
      </c>
      <c r="F690" s="7" t="s">
        <v>6844</v>
      </c>
      <c r="G690" s="7" t="s">
        <v>428</v>
      </c>
      <c r="H690" s="7" t="s">
        <v>5786</v>
      </c>
      <c r="I690" s="7" t="s">
        <v>6845</v>
      </c>
      <c r="J690" s="7" t="s">
        <v>6846</v>
      </c>
      <c r="K690" s="7" t="s">
        <v>6847</v>
      </c>
      <c r="L690" s="12">
        <v>3</v>
      </c>
      <c r="M690" s="7" t="s">
        <v>156</v>
      </c>
    </row>
    <row r="691" spans="2:13" ht="37.5" customHeight="1" x14ac:dyDescent="0.35">
      <c r="B691" s="11">
        <v>48</v>
      </c>
      <c r="C691" s="5" t="s">
        <v>6810</v>
      </c>
      <c r="D691" s="11">
        <v>8</v>
      </c>
      <c r="E691" s="5" t="s">
        <v>6848</v>
      </c>
      <c r="F691" s="5" t="s">
        <v>6849</v>
      </c>
      <c r="G691" s="5" t="s">
        <v>5711</v>
      </c>
      <c r="H691" s="5" t="s">
        <v>6850</v>
      </c>
      <c r="I691" s="5" t="s">
        <v>6851</v>
      </c>
      <c r="J691" s="5" t="s">
        <v>6852</v>
      </c>
      <c r="K691" s="5" t="s">
        <v>6853</v>
      </c>
      <c r="L691" s="11">
        <v>2</v>
      </c>
      <c r="M691" s="5" t="s">
        <v>156</v>
      </c>
    </row>
    <row r="692" spans="2:13" ht="52.5" customHeight="1" x14ac:dyDescent="0.35">
      <c r="B692" s="12">
        <v>48</v>
      </c>
      <c r="C692" s="7" t="s">
        <v>6810</v>
      </c>
      <c r="D692" s="12">
        <v>9</v>
      </c>
      <c r="E692" s="7" t="s">
        <v>6854</v>
      </c>
      <c r="F692" s="7" t="s">
        <v>6855</v>
      </c>
      <c r="G692" s="7" t="s">
        <v>188</v>
      </c>
      <c r="H692" s="7" t="s">
        <v>6856</v>
      </c>
      <c r="I692" s="7" t="s">
        <v>6857</v>
      </c>
      <c r="J692" s="7" t="s">
        <v>6858</v>
      </c>
      <c r="K692" s="7" t="s">
        <v>6859</v>
      </c>
      <c r="L692" s="12">
        <v>3</v>
      </c>
      <c r="M692" s="7" t="s">
        <v>156</v>
      </c>
    </row>
    <row r="693" spans="2:13" ht="37.5" customHeight="1" x14ac:dyDescent="0.35">
      <c r="B693" s="11">
        <v>48</v>
      </c>
      <c r="C693" s="5" t="s">
        <v>6810</v>
      </c>
      <c r="D693" s="11">
        <v>10</v>
      </c>
      <c r="E693" s="5" t="s">
        <v>6860</v>
      </c>
      <c r="F693" s="5" t="s">
        <v>6861</v>
      </c>
      <c r="G693" s="5" t="s">
        <v>439</v>
      </c>
      <c r="H693" s="5" t="s">
        <v>1995</v>
      </c>
      <c r="I693" s="5" t="s">
        <v>6862</v>
      </c>
      <c r="J693" s="5" t="s">
        <v>6863</v>
      </c>
      <c r="K693" s="5" t="s">
        <v>6864</v>
      </c>
      <c r="L693" s="11">
        <v>2</v>
      </c>
      <c r="M693" s="5" t="s">
        <v>156</v>
      </c>
    </row>
    <row r="694" spans="2:13" ht="52.5" customHeight="1" x14ac:dyDescent="0.35">
      <c r="B694" s="12">
        <v>48</v>
      </c>
      <c r="C694" s="7" t="s">
        <v>6810</v>
      </c>
      <c r="D694" s="12">
        <v>11</v>
      </c>
      <c r="E694" s="7" t="s">
        <v>6865</v>
      </c>
      <c r="F694" s="7" t="s">
        <v>6866</v>
      </c>
      <c r="G694" s="7" t="s">
        <v>457</v>
      </c>
      <c r="H694" s="7" t="s">
        <v>1521</v>
      </c>
      <c r="I694" s="7" t="s">
        <v>6867</v>
      </c>
      <c r="J694" s="7" t="s">
        <v>6868</v>
      </c>
      <c r="K694" s="7" t="s">
        <v>6869</v>
      </c>
      <c r="L694" s="12">
        <v>3</v>
      </c>
      <c r="M694" s="7" t="s">
        <v>156</v>
      </c>
    </row>
    <row r="695" spans="2:13" ht="37.5" customHeight="1" x14ac:dyDescent="0.35">
      <c r="B695" s="11">
        <v>48</v>
      </c>
      <c r="C695" s="5" t="s">
        <v>6810</v>
      </c>
      <c r="D695" s="11">
        <v>12</v>
      </c>
      <c r="E695" s="5" t="s">
        <v>6870</v>
      </c>
      <c r="F695" s="5" t="s">
        <v>6871</v>
      </c>
      <c r="G695" s="5" t="s">
        <v>402</v>
      </c>
      <c r="H695" s="5" t="s">
        <v>1167</v>
      </c>
      <c r="I695" s="5" t="s">
        <v>6872</v>
      </c>
      <c r="J695" s="5" t="s">
        <v>6841</v>
      </c>
      <c r="K695" s="5" t="s">
        <v>6873</v>
      </c>
      <c r="L695" s="11">
        <v>2</v>
      </c>
      <c r="M695" s="5" t="s">
        <v>156</v>
      </c>
    </row>
    <row r="696" spans="2:13" ht="82.5" customHeight="1" x14ac:dyDescent="0.35">
      <c r="B696" s="12">
        <v>48</v>
      </c>
      <c r="C696" s="7" t="s">
        <v>6810</v>
      </c>
      <c r="D696" s="12">
        <v>13</v>
      </c>
      <c r="E696" s="7" t="s">
        <v>6874</v>
      </c>
      <c r="F696" s="7" t="s">
        <v>6875</v>
      </c>
      <c r="G696" s="7" t="s">
        <v>24</v>
      </c>
      <c r="H696" s="7" t="s">
        <v>6876</v>
      </c>
      <c r="I696" s="7" t="s">
        <v>6877</v>
      </c>
      <c r="J696" s="7" t="s">
        <v>6878</v>
      </c>
      <c r="K696" s="7" t="s">
        <v>6879</v>
      </c>
      <c r="L696" s="12">
        <v>4</v>
      </c>
      <c r="M696" s="7" t="s">
        <v>156</v>
      </c>
    </row>
    <row r="697" spans="2:13" ht="21.75" customHeight="1" x14ac:dyDescent="0.35">
      <c r="B697" s="11">
        <v>48</v>
      </c>
      <c r="C697" s="5" t="s">
        <v>6810</v>
      </c>
      <c r="D697" s="11">
        <v>14</v>
      </c>
      <c r="E697" s="5" t="s">
        <v>6880</v>
      </c>
      <c r="F697" s="5" t="s">
        <v>6881</v>
      </c>
      <c r="G697" s="5" t="s">
        <v>445</v>
      </c>
      <c r="H697" s="5" t="s">
        <v>37</v>
      </c>
      <c r="I697" s="5" t="s">
        <v>55</v>
      </c>
      <c r="J697" s="5" t="s">
        <v>6882</v>
      </c>
      <c r="K697" s="5" t="s">
        <v>6883</v>
      </c>
      <c r="L697" s="11">
        <v>1</v>
      </c>
      <c r="M697" s="5" t="s">
        <v>156</v>
      </c>
    </row>
    <row r="698" spans="2:13" ht="52.5" customHeight="1" x14ac:dyDescent="0.35">
      <c r="B698" s="12">
        <v>48</v>
      </c>
      <c r="C698" s="7" t="s">
        <v>6810</v>
      </c>
      <c r="D698" s="12">
        <v>15</v>
      </c>
      <c r="E698" s="7" t="s">
        <v>6884</v>
      </c>
      <c r="F698" s="7" t="s">
        <v>6885</v>
      </c>
      <c r="G698" s="7" t="s">
        <v>5418</v>
      </c>
      <c r="H698" s="7" t="s">
        <v>6886</v>
      </c>
      <c r="I698" s="7" t="s">
        <v>6887</v>
      </c>
      <c r="J698" s="7" t="s">
        <v>6888</v>
      </c>
      <c r="K698" s="7" t="s">
        <v>6889</v>
      </c>
      <c r="L698" s="12">
        <v>3</v>
      </c>
      <c r="M698" s="7" t="s">
        <v>156</v>
      </c>
    </row>
    <row r="699" spans="2:13" ht="67.5" customHeight="1" x14ac:dyDescent="0.35">
      <c r="B699" s="11">
        <v>48</v>
      </c>
      <c r="C699" s="5" t="s">
        <v>6810</v>
      </c>
      <c r="D699" s="11">
        <v>16</v>
      </c>
      <c r="E699" s="5" t="s">
        <v>6890</v>
      </c>
      <c r="F699" s="5" t="s">
        <v>6891</v>
      </c>
      <c r="G699" s="5" t="s">
        <v>372</v>
      </c>
      <c r="H699" s="5" t="s">
        <v>5716</v>
      </c>
      <c r="I699" s="5" t="s">
        <v>6892</v>
      </c>
      <c r="J699" s="5" t="s">
        <v>6893</v>
      </c>
      <c r="K699" s="5" t="s">
        <v>6894</v>
      </c>
      <c r="L699" s="11">
        <v>4</v>
      </c>
      <c r="M699" s="5" t="s">
        <v>156</v>
      </c>
    </row>
    <row r="700" spans="2:13" ht="37.5" customHeight="1" x14ac:dyDescent="0.35">
      <c r="B700" s="12">
        <v>48</v>
      </c>
      <c r="C700" s="7" t="s">
        <v>6810</v>
      </c>
      <c r="D700" s="12">
        <v>17</v>
      </c>
      <c r="E700" s="7" t="s">
        <v>6895</v>
      </c>
      <c r="F700" s="7" t="s">
        <v>6896</v>
      </c>
      <c r="G700" s="7" t="s">
        <v>445</v>
      </c>
      <c r="H700" s="7" t="s">
        <v>5802</v>
      </c>
      <c r="I700" s="7" t="s">
        <v>55</v>
      </c>
      <c r="J700" s="7" t="s">
        <v>6897</v>
      </c>
      <c r="K700" s="7" t="s">
        <v>6898</v>
      </c>
      <c r="L700" s="12">
        <v>2</v>
      </c>
      <c r="M700" s="7" t="s">
        <v>156</v>
      </c>
    </row>
    <row r="701" spans="2:13" ht="52.5" customHeight="1" x14ac:dyDescent="0.35">
      <c r="B701" s="11">
        <v>48</v>
      </c>
      <c r="C701" s="5" t="s">
        <v>6810</v>
      </c>
      <c r="D701" s="11">
        <v>18</v>
      </c>
      <c r="E701" s="5" t="s">
        <v>6899</v>
      </c>
      <c r="F701" s="5" t="s">
        <v>6900</v>
      </c>
      <c r="G701" s="5" t="s">
        <v>778</v>
      </c>
      <c r="H701" s="5" t="s">
        <v>6901</v>
      </c>
      <c r="I701" s="5" t="s">
        <v>6902</v>
      </c>
      <c r="J701" s="5" t="s">
        <v>6903</v>
      </c>
      <c r="K701" s="5" t="s">
        <v>6904</v>
      </c>
      <c r="L701" s="11">
        <v>3</v>
      </c>
      <c r="M701" s="5" t="s">
        <v>156</v>
      </c>
    </row>
    <row r="702" spans="2:13" ht="52.5" customHeight="1" x14ac:dyDescent="0.35">
      <c r="B702" s="12">
        <v>48</v>
      </c>
      <c r="C702" s="7" t="s">
        <v>6810</v>
      </c>
      <c r="D702" s="12">
        <v>19</v>
      </c>
      <c r="E702" s="7" t="s">
        <v>6905</v>
      </c>
      <c r="F702" s="7" t="s">
        <v>6906</v>
      </c>
      <c r="G702" s="7" t="s">
        <v>25</v>
      </c>
      <c r="H702" s="7" t="s">
        <v>6907</v>
      </c>
      <c r="I702" s="7" t="s">
        <v>6862</v>
      </c>
      <c r="J702" s="7" t="s">
        <v>6908</v>
      </c>
      <c r="K702" s="7" t="s">
        <v>6909</v>
      </c>
      <c r="L702" s="12">
        <v>3</v>
      </c>
      <c r="M702" s="7" t="s">
        <v>156</v>
      </c>
    </row>
    <row r="703" spans="2:13" ht="37.5" customHeight="1" x14ac:dyDescent="0.35">
      <c r="B703" s="11">
        <v>48</v>
      </c>
      <c r="C703" s="5" t="s">
        <v>6810</v>
      </c>
      <c r="D703" s="11">
        <v>20</v>
      </c>
      <c r="E703" s="5" t="s">
        <v>6910</v>
      </c>
      <c r="F703" s="5" t="s">
        <v>6911</v>
      </c>
      <c r="G703" s="5" t="s">
        <v>2076</v>
      </c>
      <c r="H703" s="5" t="s">
        <v>306</v>
      </c>
      <c r="I703" s="5" t="s">
        <v>5332</v>
      </c>
      <c r="J703" s="5" t="s">
        <v>6912</v>
      </c>
      <c r="K703" s="5" t="s">
        <v>6913</v>
      </c>
      <c r="L703" s="11">
        <v>2</v>
      </c>
      <c r="M703" s="5" t="s">
        <v>156</v>
      </c>
    </row>
    <row r="704" spans="2:13" ht="82.5" customHeight="1" x14ac:dyDescent="0.35">
      <c r="B704" s="12">
        <v>48</v>
      </c>
      <c r="C704" s="7" t="s">
        <v>6810</v>
      </c>
      <c r="D704" s="12">
        <v>21</v>
      </c>
      <c r="E704" s="7" t="s">
        <v>6914</v>
      </c>
      <c r="F704" s="7" t="s">
        <v>6915</v>
      </c>
      <c r="G704" s="7" t="s">
        <v>1076</v>
      </c>
      <c r="H704" s="7" t="s">
        <v>6916</v>
      </c>
      <c r="I704" s="7" t="s">
        <v>6917</v>
      </c>
      <c r="J704" s="7" t="s">
        <v>6918</v>
      </c>
      <c r="K704" s="7" t="s">
        <v>6919</v>
      </c>
      <c r="L704" s="12">
        <v>5</v>
      </c>
      <c r="M704" s="7" t="s">
        <v>156</v>
      </c>
    </row>
    <row r="705" spans="2:13" ht="37.5" customHeight="1" x14ac:dyDescent="0.35">
      <c r="B705" s="11">
        <v>48</v>
      </c>
      <c r="C705" s="5" t="s">
        <v>6810</v>
      </c>
      <c r="D705" s="11">
        <v>22</v>
      </c>
      <c r="E705" s="5" t="s">
        <v>6920</v>
      </c>
      <c r="F705" s="5" t="s">
        <v>6921</v>
      </c>
      <c r="G705" s="5" t="s">
        <v>973</v>
      </c>
      <c r="H705" s="5" t="s">
        <v>6394</v>
      </c>
      <c r="I705" s="5" t="s">
        <v>6922</v>
      </c>
      <c r="J705" s="5" t="s">
        <v>6923</v>
      </c>
      <c r="K705" s="5" t="s">
        <v>6924</v>
      </c>
      <c r="L705" s="11">
        <v>2</v>
      </c>
      <c r="M705" s="5" t="s">
        <v>156</v>
      </c>
    </row>
    <row r="706" spans="2:13" ht="67.5" customHeight="1" x14ac:dyDescent="0.35">
      <c r="B706" s="12">
        <v>48</v>
      </c>
      <c r="C706" s="7" t="s">
        <v>6810</v>
      </c>
      <c r="D706" s="12">
        <v>23</v>
      </c>
      <c r="E706" s="7" t="s">
        <v>6925</v>
      </c>
      <c r="F706" s="7" t="s">
        <v>6926</v>
      </c>
      <c r="G706" s="7" t="s">
        <v>497</v>
      </c>
      <c r="H706" s="7" t="s">
        <v>6850</v>
      </c>
      <c r="I706" s="7" t="s">
        <v>6927</v>
      </c>
      <c r="J706" s="7" t="s">
        <v>6928</v>
      </c>
      <c r="K706" s="7" t="s">
        <v>6929</v>
      </c>
      <c r="L706" s="12">
        <v>3</v>
      </c>
      <c r="M706" s="7" t="s">
        <v>156</v>
      </c>
    </row>
    <row r="707" spans="2:13" ht="52.5" customHeight="1" x14ac:dyDescent="0.35">
      <c r="B707" s="11">
        <v>48</v>
      </c>
      <c r="C707" s="5" t="s">
        <v>6810</v>
      </c>
      <c r="D707" s="11">
        <v>24</v>
      </c>
      <c r="E707" s="5" t="s">
        <v>6930</v>
      </c>
      <c r="F707" s="5" t="s">
        <v>6931</v>
      </c>
      <c r="G707" s="5" t="s">
        <v>31</v>
      </c>
      <c r="H707" s="5" t="s">
        <v>6932</v>
      </c>
      <c r="I707" s="5" t="s">
        <v>6933</v>
      </c>
      <c r="J707" s="5" t="s">
        <v>6934</v>
      </c>
      <c r="K707" s="5" t="s">
        <v>6935</v>
      </c>
      <c r="L707" s="11">
        <v>3</v>
      </c>
      <c r="M707" s="5" t="s">
        <v>156</v>
      </c>
    </row>
    <row r="708" spans="2:13" ht="37.5" customHeight="1" x14ac:dyDescent="0.35">
      <c r="B708" s="12">
        <v>48</v>
      </c>
      <c r="C708" s="7" t="s">
        <v>6810</v>
      </c>
      <c r="D708" s="12">
        <v>25</v>
      </c>
      <c r="E708" s="7" t="s">
        <v>6936</v>
      </c>
      <c r="F708" s="7" t="s">
        <v>6937</v>
      </c>
      <c r="G708" s="7" t="s">
        <v>576</v>
      </c>
      <c r="H708" s="7" t="s">
        <v>1167</v>
      </c>
      <c r="I708" s="7" t="s">
        <v>6030</v>
      </c>
      <c r="J708" s="7" t="s">
        <v>6841</v>
      </c>
      <c r="K708" s="7" t="s">
        <v>6938</v>
      </c>
      <c r="L708" s="12">
        <v>2</v>
      </c>
      <c r="M708" s="7" t="s">
        <v>156</v>
      </c>
    </row>
    <row r="709" spans="2:13" ht="37.5" customHeight="1" x14ac:dyDescent="0.35">
      <c r="B709" s="11">
        <v>48</v>
      </c>
      <c r="C709" s="5" t="s">
        <v>6810</v>
      </c>
      <c r="D709" s="11">
        <v>26</v>
      </c>
      <c r="E709" s="5" t="s">
        <v>6939</v>
      </c>
      <c r="F709" s="5" t="s">
        <v>6940</v>
      </c>
      <c r="G709" s="5" t="s">
        <v>541</v>
      </c>
      <c r="H709" s="5" t="s">
        <v>1167</v>
      </c>
      <c r="I709" s="5" t="s">
        <v>6030</v>
      </c>
      <c r="J709" s="5" t="s">
        <v>6841</v>
      </c>
      <c r="K709" s="5" t="s">
        <v>6938</v>
      </c>
      <c r="L709" s="11">
        <v>2</v>
      </c>
      <c r="M709" s="5" t="s">
        <v>156</v>
      </c>
    </row>
    <row r="710" spans="2:13" ht="37.5" customHeight="1" x14ac:dyDescent="0.35">
      <c r="B710" s="12">
        <v>48</v>
      </c>
      <c r="C710" s="7" t="s">
        <v>6810</v>
      </c>
      <c r="D710" s="12">
        <v>27</v>
      </c>
      <c r="E710" s="7" t="s">
        <v>6941</v>
      </c>
      <c r="F710" s="7" t="s">
        <v>6942</v>
      </c>
      <c r="G710" s="7" t="s">
        <v>176</v>
      </c>
      <c r="H710" s="7" t="s">
        <v>38</v>
      </c>
      <c r="I710" s="7" t="s">
        <v>268</v>
      </c>
      <c r="J710" s="7" t="s">
        <v>6943</v>
      </c>
      <c r="K710" s="7" t="s">
        <v>6944</v>
      </c>
      <c r="L710" s="12">
        <v>1</v>
      </c>
      <c r="M710" s="7" t="s">
        <v>156</v>
      </c>
    </row>
    <row r="711" spans="2:13" ht="37.5" customHeight="1" x14ac:dyDescent="0.35">
      <c r="B711" s="11">
        <v>48</v>
      </c>
      <c r="C711" s="5" t="s">
        <v>6810</v>
      </c>
      <c r="D711" s="11">
        <v>28</v>
      </c>
      <c r="E711" s="5" t="s">
        <v>6945</v>
      </c>
      <c r="F711" s="5" t="s">
        <v>6946</v>
      </c>
      <c r="G711" s="5" t="s">
        <v>880</v>
      </c>
      <c r="H711" s="5" t="s">
        <v>36</v>
      </c>
      <c r="I711" s="5" t="s">
        <v>1885</v>
      </c>
      <c r="J711" s="5" t="s">
        <v>177</v>
      </c>
      <c r="K711" s="5" t="s">
        <v>4796</v>
      </c>
      <c r="L711" s="11">
        <v>1</v>
      </c>
      <c r="M711" s="5" t="s">
        <v>156</v>
      </c>
    </row>
    <row r="712" spans="2:13" ht="52.5" customHeight="1" x14ac:dyDescent="0.35">
      <c r="B712" s="12">
        <v>48</v>
      </c>
      <c r="C712" s="7" t="s">
        <v>6810</v>
      </c>
      <c r="D712" s="12">
        <v>29</v>
      </c>
      <c r="E712" s="7" t="s">
        <v>6947</v>
      </c>
      <c r="F712" s="7" t="s">
        <v>6948</v>
      </c>
      <c r="G712" s="7" t="s">
        <v>442</v>
      </c>
      <c r="H712" s="7" t="s">
        <v>6901</v>
      </c>
      <c r="I712" s="7" t="s">
        <v>6902</v>
      </c>
      <c r="J712" s="7" t="s">
        <v>6903</v>
      </c>
      <c r="K712" s="7" t="s">
        <v>6904</v>
      </c>
      <c r="L712" s="12">
        <v>3</v>
      </c>
      <c r="M712" s="7" t="s">
        <v>156</v>
      </c>
    </row>
    <row r="713" spans="2:13" ht="37.5" customHeight="1" x14ac:dyDescent="0.35">
      <c r="B713" s="11">
        <v>48</v>
      </c>
      <c r="C713" s="5" t="s">
        <v>6810</v>
      </c>
      <c r="D713" s="11">
        <v>30</v>
      </c>
      <c r="E713" s="5" t="s">
        <v>6949</v>
      </c>
      <c r="F713" s="5" t="s">
        <v>6950</v>
      </c>
      <c r="G713" s="5" t="s">
        <v>300</v>
      </c>
      <c r="H713" s="5" t="s">
        <v>1995</v>
      </c>
      <c r="I713" s="5" t="s">
        <v>6862</v>
      </c>
      <c r="J713" s="5" t="s">
        <v>6863</v>
      </c>
      <c r="K713" s="5" t="s">
        <v>6864</v>
      </c>
      <c r="L713" s="11">
        <v>2</v>
      </c>
      <c r="M713" s="5" t="s">
        <v>156</v>
      </c>
    </row>
    <row r="714" spans="2:13" ht="21.75" customHeight="1" x14ac:dyDescent="0.35">
      <c r="B714" s="12">
        <v>48</v>
      </c>
      <c r="C714" s="7" t="s">
        <v>6810</v>
      </c>
      <c r="D714" s="12">
        <v>31</v>
      </c>
      <c r="E714" s="7" t="s">
        <v>6951</v>
      </c>
      <c r="F714" s="7" t="s">
        <v>6952</v>
      </c>
      <c r="G714" s="7" t="s">
        <v>442</v>
      </c>
      <c r="H714" s="7" t="s">
        <v>37</v>
      </c>
      <c r="I714" s="7" t="s">
        <v>55</v>
      </c>
      <c r="J714" s="7" t="s">
        <v>6953</v>
      </c>
      <c r="K714" s="7" t="s">
        <v>6954</v>
      </c>
      <c r="L714" s="12">
        <v>1</v>
      </c>
      <c r="M714" s="7" t="s">
        <v>156</v>
      </c>
    </row>
    <row r="715" spans="2:13" ht="82.5" customHeight="1" x14ac:dyDescent="0.35">
      <c r="B715" s="11">
        <v>48</v>
      </c>
      <c r="C715" s="5" t="s">
        <v>6810</v>
      </c>
      <c r="D715" s="11">
        <v>32</v>
      </c>
      <c r="E715" s="5" t="s">
        <v>6955</v>
      </c>
      <c r="F715" s="5" t="s">
        <v>6956</v>
      </c>
      <c r="G715" s="5" t="s">
        <v>29</v>
      </c>
      <c r="H715" s="5" t="s">
        <v>6957</v>
      </c>
      <c r="I715" s="5" t="s">
        <v>6958</v>
      </c>
      <c r="J715" s="5" t="s">
        <v>6959</v>
      </c>
      <c r="K715" s="5" t="s">
        <v>6960</v>
      </c>
      <c r="L715" s="11">
        <v>4</v>
      </c>
      <c r="M715" s="5" t="s">
        <v>156</v>
      </c>
    </row>
    <row r="716" spans="2:13" ht="37.5" customHeight="1" x14ac:dyDescent="0.35">
      <c r="B716" s="12">
        <v>48</v>
      </c>
      <c r="C716" s="7" t="s">
        <v>6810</v>
      </c>
      <c r="D716" s="12">
        <v>33</v>
      </c>
      <c r="E716" s="7" t="s">
        <v>6961</v>
      </c>
      <c r="F716" s="7" t="s">
        <v>6962</v>
      </c>
      <c r="G716" s="7" t="s">
        <v>513</v>
      </c>
      <c r="H716" s="7" t="s">
        <v>306</v>
      </c>
      <c r="I716" s="7" t="s">
        <v>5332</v>
      </c>
      <c r="J716" s="7" t="s">
        <v>6912</v>
      </c>
      <c r="K716" s="7" t="s">
        <v>6913</v>
      </c>
      <c r="L716" s="12">
        <v>2</v>
      </c>
      <c r="M716" s="7" t="s">
        <v>156</v>
      </c>
    </row>
    <row r="717" spans="2:13" ht="37.5" customHeight="1" x14ac:dyDescent="0.35">
      <c r="B717" s="11">
        <v>48</v>
      </c>
      <c r="C717" s="5" t="s">
        <v>6810</v>
      </c>
      <c r="D717" s="11">
        <v>34</v>
      </c>
      <c r="E717" s="5" t="s">
        <v>6963</v>
      </c>
      <c r="F717" s="5" t="s">
        <v>6964</v>
      </c>
      <c r="G717" s="5" t="s">
        <v>28</v>
      </c>
      <c r="H717" s="5" t="s">
        <v>36</v>
      </c>
      <c r="I717" s="5" t="s">
        <v>48</v>
      </c>
      <c r="J717" s="5" t="s">
        <v>177</v>
      </c>
      <c r="K717" s="5" t="s">
        <v>4570</v>
      </c>
      <c r="L717" s="11">
        <v>1</v>
      </c>
      <c r="M717" s="5" t="s">
        <v>156</v>
      </c>
    </row>
    <row r="718" spans="2:13" ht="37.5" customHeight="1" x14ac:dyDescent="0.35">
      <c r="B718" s="12">
        <v>48</v>
      </c>
      <c r="C718" s="7" t="s">
        <v>6810</v>
      </c>
      <c r="D718" s="12">
        <v>35</v>
      </c>
      <c r="E718" s="7" t="s">
        <v>6965</v>
      </c>
      <c r="F718" s="7" t="s">
        <v>6966</v>
      </c>
      <c r="G718" s="7" t="s">
        <v>31</v>
      </c>
      <c r="H718" s="7" t="s">
        <v>6394</v>
      </c>
      <c r="I718" s="7" t="s">
        <v>6967</v>
      </c>
      <c r="J718" s="7" t="s">
        <v>6923</v>
      </c>
      <c r="K718" s="7" t="s">
        <v>6968</v>
      </c>
      <c r="L718" s="12">
        <v>2</v>
      </c>
      <c r="M718" s="7" t="s">
        <v>156</v>
      </c>
    </row>
    <row r="719" spans="2:13" ht="37.5" customHeight="1" x14ac:dyDescent="0.35">
      <c r="B719" s="11">
        <v>48</v>
      </c>
      <c r="C719" s="5" t="s">
        <v>6810</v>
      </c>
      <c r="D719" s="11">
        <v>36</v>
      </c>
      <c r="E719" s="5" t="s">
        <v>6969</v>
      </c>
      <c r="F719" s="5" t="s">
        <v>6970</v>
      </c>
      <c r="G719" s="5" t="s">
        <v>279</v>
      </c>
      <c r="H719" s="5" t="s">
        <v>6394</v>
      </c>
      <c r="I719" s="5" t="s">
        <v>6971</v>
      </c>
      <c r="J719" s="5" t="s">
        <v>6923</v>
      </c>
      <c r="K719" s="5" t="s">
        <v>6972</v>
      </c>
      <c r="L719" s="11">
        <v>2</v>
      </c>
      <c r="M719" s="5" t="s">
        <v>156</v>
      </c>
    </row>
    <row r="720" spans="2:13" ht="37.5" customHeight="1" x14ac:dyDescent="0.35">
      <c r="B720" s="12">
        <v>48</v>
      </c>
      <c r="C720" s="7" t="s">
        <v>6810</v>
      </c>
      <c r="D720" s="12">
        <v>37</v>
      </c>
      <c r="E720" s="7" t="s">
        <v>6973</v>
      </c>
      <c r="F720" s="7" t="s">
        <v>6974</v>
      </c>
      <c r="G720" s="7" t="s">
        <v>279</v>
      </c>
      <c r="H720" s="7" t="s">
        <v>6394</v>
      </c>
      <c r="I720" s="7" t="s">
        <v>6967</v>
      </c>
      <c r="J720" s="7" t="s">
        <v>6975</v>
      </c>
      <c r="K720" s="7" t="s">
        <v>6976</v>
      </c>
      <c r="L720" s="12">
        <v>2</v>
      </c>
      <c r="M720" s="7" t="s">
        <v>156</v>
      </c>
    </row>
    <row r="721" spans="2:13" ht="37.5" customHeight="1" x14ac:dyDescent="0.35">
      <c r="B721" s="11">
        <v>48</v>
      </c>
      <c r="C721" s="5" t="s">
        <v>6810</v>
      </c>
      <c r="D721" s="11">
        <v>38</v>
      </c>
      <c r="E721" s="5" t="s">
        <v>6977</v>
      </c>
      <c r="F721" s="5" t="s">
        <v>6978</v>
      </c>
      <c r="G721" s="5" t="s">
        <v>825</v>
      </c>
      <c r="H721" s="5" t="s">
        <v>38</v>
      </c>
      <c r="I721" s="5" t="s">
        <v>268</v>
      </c>
      <c r="J721" s="5" t="s">
        <v>6943</v>
      </c>
      <c r="K721" s="5" t="s">
        <v>6944</v>
      </c>
      <c r="L721" s="11">
        <v>1</v>
      </c>
      <c r="M721" s="5" t="s">
        <v>156</v>
      </c>
    </row>
    <row r="722" spans="2:13" ht="37.5" customHeight="1" x14ac:dyDescent="0.35">
      <c r="B722" s="12">
        <v>48</v>
      </c>
      <c r="C722" s="7" t="s">
        <v>6810</v>
      </c>
      <c r="D722" s="12">
        <v>39</v>
      </c>
      <c r="E722" s="7" t="s">
        <v>6979</v>
      </c>
      <c r="F722" s="7" t="s">
        <v>6980</v>
      </c>
      <c r="G722" s="7" t="s">
        <v>536</v>
      </c>
      <c r="H722" s="7" t="s">
        <v>36</v>
      </c>
      <c r="I722" s="7" t="s">
        <v>4541</v>
      </c>
      <c r="J722" s="7" t="s">
        <v>177</v>
      </c>
      <c r="K722" s="7" t="s">
        <v>6317</v>
      </c>
      <c r="L722" s="12">
        <v>1</v>
      </c>
      <c r="M722" s="7" t="s">
        <v>156</v>
      </c>
    </row>
    <row r="723" spans="2:13" ht="52.5" customHeight="1" x14ac:dyDescent="0.35">
      <c r="B723" s="11">
        <v>48</v>
      </c>
      <c r="C723" s="5" t="s">
        <v>6810</v>
      </c>
      <c r="D723" s="11">
        <v>40</v>
      </c>
      <c r="E723" s="5" t="s">
        <v>6981</v>
      </c>
      <c r="F723" s="5" t="s">
        <v>6982</v>
      </c>
      <c r="G723" s="5" t="s">
        <v>566</v>
      </c>
      <c r="H723" s="5" t="s">
        <v>6983</v>
      </c>
      <c r="I723" s="5" t="s">
        <v>6984</v>
      </c>
      <c r="J723" s="5" t="s">
        <v>6985</v>
      </c>
      <c r="K723" s="5" t="s">
        <v>6986</v>
      </c>
      <c r="L723" s="11">
        <v>3</v>
      </c>
      <c r="M723" s="5" t="s">
        <v>156</v>
      </c>
    </row>
    <row r="724" spans="2:13" ht="37.5" customHeight="1" x14ac:dyDescent="0.35">
      <c r="B724" s="12">
        <v>48</v>
      </c>
      <c r="C724" s="7" t="s">
        <v>6810</v>
      </c>
      <c r="D724" s="12">
        <v>41</v>
      </c>
      <c r="E724" s="7" t="s">
        <v>6987</v>
      </c>
      <c r="F724" s="7" t="s">
        <v>6988</v>
      </c>
      <c r="G724" s="7" t="s">
        <v>1435</v>
      </c>
      <c r="H724" s="7" t="s">
        <v>1167</v>
      </c>
      <c r="I724" s="7" t="s">
        <v>6030</v>
      </c>
      <c r="J724" s="7" t="s">
        <v>6841</v>
      </c>
      <c r="K724" s="7" t="s">
        <v>6938</v>
      </c>
      <c r="L724" s="12">
        <v>2</v>
      </c>
      <c r="M724" s="7" t="s">
        <v>156</v>
      </c>
    </row>
    <row r="725" spans="2:13" ht="37.5" customHeight="1" x14ac:dyDescent="0.35">
      <c r="B725" s="11">
        <v>48</v>
      </c>
      <c r="C725" s="5" t="s">
        <v>6810</v>
      </c>
      <c r="D725" s="11">
        <v>42</v>
      </c>
      <c r="E725" s="5" t="s">
        <v>6989</v>
      </c>
      <c r="F725" s="5" t="s">
        <v>6990</v>
      </c>
      <c r="G725" s="5" t="s">
        <v>198</v>
      </c>
      <c r="H725" s="5" t="s">
        <v>6394</v>
      </c>
      <c r="I725" s="5" t="s">
        <v>6922</v>
      </c>
      <c r="J725" s="5" t="s">
        <v>177</v>
      </c>
      <c r="K725" s="5" t="s">
        <v>6991</v>
      </c>
      <c r="L725" s="11">
        <v>2</v>
      </c>
      <c r="M725" s="5" t="s">
        <v>156</v>
      </c>
    </row>
    <row r="726" spans="2:13" ht="52.5" customHeight="1" x14ac:dyDescent="0.35">
      <c r="B726" s="12">
        <v>48</v>
      </c>
      <c r="C726" s="7" t="s">
        <v>6810</v>
      </c>
      <c r="D726" s="12">
        <v>43</v>
      </c>
      <c r="E726" s="7" t="s">
        <v>6992</v>
      </c>
      <c r="F726" s="7" t="s">
        <v>6993</v>
      </c>
      <c r="G726" s="7" t="s">
        <v>185</v>
      </c>
      <c r="H726" s="7" t="s">
        <v>6994</v>
      </c>
      <c r="I726" s="7" t="s">
        <v>6995</v>
      </c>
      <c r="J726" s="7" t="s">
        <v>6996</v>
      </c>
      <c r="K726" s="7" t="s">
        <v>6997</v>
      </c>
      <c r="L726" s="12">
        <v>3</v>
      </c>
      <c r="M726" s="7" t="s">
        <v>156</v>
      </c>
    </row>
    <row r="727" spans="2:13" ht="37.5" customHeight="1" x14ac:dyDescent="0.35">
      <c r="B727" s="11">
        <v>48</v>
      </c>
      <c r="C727" s="5" t="s">
        <v>6810</v>
      </c>
      <c r="D727" s="11">
        <v>44</v>
      </c>
      <c r="E727" s="5" t="s">
        <v>6998</v>
      </c>
      <c r="F727" s="5" t="s">
        <v>6999</v>
      </c>
      <c r="G727" s="5" t="s">
        <v>761</v>
      </c>
      <c r="H727" s="5" t="s">
        <v>6850</v>
      </c>
      <c r="I727" s="5" t="s">
        <v>7000</v>
      </c>
      <c r="J727" s="5" t="s">
        <v>7001</v>
      </c>
      <c r="K727" s="5" t="s">
        <v>7002</v>
      </c>
      <c r="L727" s="11">
        <v>2</v>
      </c>
      <c r="M727" s="5" t="s">
        <v>156</v>
      </c>
    </row>
    <row r="728" spans="2:13" ht="52.5" customHeight="1" x14ac:dyDescent="0.35">
      <c r="B728" s="12">
        <v>48</v>
      </c>
      <c r="C728" s="7" t="s">
        <v>6810</v>
      </c>
      <c r="D728" s="12">
        <v>45</v>
      </c>
      <c r="E728" s="7" t="s">
        <v>7003</v>
      </c>
      <c r="F728" s="7" t="s">
        <v>7004</v>
      </c>
      <c r="G728" s="7" t="s">
        <v>560</v>
      </c>
      <c r="H728" s="7" t="s">
        <v>6876</v>
      </c>
      <c r="I728" s="7" t="s">
        <v>7000</v>
      </c>
      <c r="J728" s="7" t="s">
        <v>7005</v>
      </c>
      <c r="K728" s="7" t="s">
        <v>7006</v>
      </c>
      <c r="L728" s="12">
        <v>3</v>
      </c>
      <c r="M728" s="7" t="s">
        <v>156</v>
      </c>
    </row>
    <row r="729" spans="2:13" ht="67.5" customHeight="1" x14ac:dyDescent="0.35">
      <c r="B729" s="11">
        <v>48</v>
      </c>
      <c r="C729" s="5" t="s">
        <v>6810</v>
      </c>
      <c r="D729" s="11">
        <v>46</v>
      </c>
      <c r="E729" s="5" t="s">
        <v>7007</v>
      </c>
      <c r="F729" s="5" t="s">
        <v>7008</v>
      </c>
      <c r="G729" s="5" t="s">
        <v>1294</v>
      </c>
      <c r="H729" s="5" t="s">
        <v>7009</v>
      </c>
      <c r="I729" s="5" t="s">
        <v>7010</v>
      </c>
      <c r="J729" s="5" t="s">
        <v>7011</v>
      </c>
      <c r="K729" s="5" t="s">
        <v>7012</v>
      </c>
      <c r="L729" s="11">
        <v>4</v>
      </c>
      <c r="M729" s="5" t="s">
        <v>156</v>
      </c>
    </row>
    <row r="730" spans="2:13" ht="52.5" customHeight="1" x14ac:dyDescent="0.35">
      <c r="B730" s="12">
        <v>48</v>
      </c>
      <c r="C730" s="7" t="s">
        <v>6810</v>
      </c>
      <c r="D730" s="12">
        <v>47</v>
      </c>
      <c r="E730" s="7" t="s">
        <v>7013</v>
      </c>
      <c r="F730" s="7" t="s">
        <v>7014</v>
      </c>
      <c r="G730" s="7" t="s">
        <v>25</v>
      </c>
      <c r="H730" s="7" t="s">
        <v>6901</v>
      </c>
      <c r="I730" s="7" t="s">
        <v>7015</v>
      </c>
      <c r="J730" s="7" t="s">
        <v>7016</v>
      </c>
      <c r="K730" s="7" t="s">
        <v>7017</v>
      </c>
      <c r="L730" s="12">
        <v>3</v>
      </c>
      <c r="M730" s="7" t="s">
        <v>156</v>
      </c>
    </row>
    <row r="731" spans="2:13" ht="52.5" customHeight="1" x14ac:dyDescent="0.35">
      <c r="B731" s="11">
        <v>48</v>
      </c>
      <c r="C731" s="5" t="s">
        <v>6810</v>
      </c>
      <c r="D731" s="11">
        <v>48</v>
      </c>
      <c r="E731" s="5" t="s">
        <v>7018</v>
      </c>
      <c r="F731" s="5" t="s">
        <v>7019</v>
      </c>
      <c r="G731" s="5" t="s">
        <v>3643</v>
      </c>
      <c r="H731" s="5" t="s">
        <v>7020</v>
      </c>
      <c r="I731" s="5" t="s">
        <v>7021</v>
      </c>
      <c r="J731" s="5" t="s">
        <v>7022</v>
      </c>
      <c r="K731" s="5" t="s">
        <v>7023</v>
      </c>
      <c r="L731" s="11">
        <v>3</v>
      </c>
      <c r="M731" s="5" t="s">
        <v>156</v>
      </c>
    </row>
    <row r="732" spans="2:13" ht="37.5" customHeight="1" x14ac:dyDescent="0.35">
      <c r="B732" s="12">
        <v>48</v>
      </c>
      <c r="C732" s="7" t="s">
        <v>6810</v>
      </c>
      <c r="D732" s="12">
        <v>49</v>
      </c>
      <c r="E732" s="7" t="s">
        <v>7024</v>
      </c>
      <c r="F732" s="7" t="s">
        <v>7025</v>
      </c>
      <c r="G732" s="7" t="s">
        <v>576</v>
      </c>
      <c r="H732" s="7" t="s">
        <v>36</v>
      </c>
      <c r="I732" s="7" t="s">
        <v>48</v>
      </c>
      <c r="J732" s="7" t="s">
        <v>194</v>
      </c>
      <c r="K732" s="7" t="s">
        <v>5527</v>
      </c>
      <c r="L732" s="12">
        <v>1</v>
      </c>
      <c r="M732" s="7" t="s">
        <v>156</v>
      </c>
    </row>
    <row r="733" spans="2:13" ht="52.5" customHeight="1" x14ac:dyDescent="0.35">
      <c r="B733" s="11">
        <v>48</v>
      </c>
      <c r="C733" s="5" t="s">
        <v>6810</v>
      </c>
      <c r="D733" s="11">
        <v>50</v>
      </c>
      <c r="E733" s="5" t="s">
        <v>7026</v>
      </c>
      <c r="F733" s="5" t="s">
        <v>7027</v>
      </c>
      <c r="G733" s="5" t="s">
        <v>24</v>
      </c>
      <c r="H733" s="5" t="s">
        <v>7028</v>
      </c>
      <c r="I733" s="5" t="s">
        <v>7029</v>
      </c>
      <c r="J733" s="5" t="s">
        <v>7030</v>
      </c>
      <c r="K733" s="5" t="s">
        <v>7031</v>
      </c>
      <c r="L733" s="11">
        <v>3</v>
      </c>
      <c r="M733" s="5" t="s">
        <v>156</v>
      </c>
    </row>
    <row r="734" spans="2:13" ht="37.5" customHeight="1" x14ac:dyDescent="0.35">
      <c r="B734" s="12">
        <v>48</v>
      </c>
      <c r="C734" s="7" t="s">
        <v>6810</v>
      </c>
      <c r="D734" s="12">
        <v>51</v>
      </c>
      <c r="E734" s="7" t="s">
        <v>7032</v>
      </c>
      <c r="F734" s="7" t="s">
        <v>7033</v>
      </c>
      <c r="G734" s="7" t="s">
        <v>176</v>
      </c>
      <c r="H734" s="7" t="s">
        <v>37</v>
      </c>
      <c r="I734" s="7" t="s">
        <v>55</v>
      </c>
      <c r="J734" s="7" t="s">
        <v>6882</v>
      </c>
      <c r="K734" s="7" t="s">
        <v>6883</v>
      </c>
      <c r="L734" s="12">
        <v>1</v>
      </c>
      <c r="M734" s="7" t="s">
        <v>156</v>
      </c>
    </row>
    <row r="735" spans="2:13" ht="52.5" customHeight="1" x14ac:dyDescent="0.35">
      <c r="B735" s="11">
        <v>48</v>
      </c>
      <c r="C735" s="5" t="s">
        <v>6810</v>
      </c>
      <c r="D735" s="11">
        <v>52</v>
      </c>
      <c r="E735" s="5" t="s">
        <v>7034</v>
      </c>
      <c r="F735" s="5" t="s">
        <v>7035</v>
      </c>
      <c r="G735" s="5" t="s">
        <v>1164</v>
      </c>
      <c r="H735" s="5" t="s">
        <v>7036</v>
      </c>
      <c r="I735" s="5" t="s">
        <v>7037</v>
      </c>
      <c r="J735" s="5" t="s">
        <v>7038</v>
      </c>
      <c r="K735" s="5" t="s">
        <v>7039</v>
      </c>
      <c r="L735" s="11">
        <v>3</v>
      </c>
      <c r="M735" s="5" t="s">
        <v>156</v>
      </c>
    </row>
    <row r="736" spans="2:13" ht="37.5" customHeight="1" x14ac:dyDescent="0.35">
      <c r="B736" s="12">
        <v>48</v>
      </c>
      <c r="C736" s="7" t="s">
        <v>6810</v>
      </c>
      <c r="D736" s="12">
        <v>53</v>
      </c>
      <c r="E736" s="7" t="s">
        <v>7040</v>
      </c>
      <c r="F736" s="7" t="s">
        <v>7041</v>
      </c>
      <c r="G736" s="7" t="s">
        <v>1657</v>
      </c>
      <c r="H736" s="7" t="s">
        <v>37</v>
      </c>
      <c r="I736" s="7" t="s">
        <v>55</v>
      </c>
      <c r="J736" s="7" t="s">
        <v>6882</v>
      </c>
      <c r="K736" s="7" t="s">
        <v>6883</v>
      </c>
      <c r="L736" s="12">
        <v>1</v>
      </c>
      <c r="M736" s="7" t="s">
        <v>156</v>
      </c>
    </row>
    <row r="737" spans="2:13" ht="37.5" customHeight="1" x14ac:dyDescent="0.35">
      <c r="B737" s="11">
        <v>48</v>
      </c>
      <c r="C737" s="5" t="s">
        <v>6810</v>
      </c>
      <c r="D737" s="11">
        <v>54</v>
      </c>
      <c r="E737" s="5" t="s">
        <v>7042</v>
      </c>
      <c r="F737" s="5" t="s">
        <v>7043</v>
      </c>
      <c r="G737" s="5" t="s">
        <v>825</v>
      </c>
      <c r="H737" s="5" t="s">
        <v>36</v>
      </c>
      <c r="I737" s="5" t="s">
        <v>1885</v>
      </c>
      <c r="J737" s="5" t="s">
        <v>7044</v>
      </c>
      <c r="K737" s="5" t="s">
        <v>7045</v>
      </c>
      <c r="L737" s="11">
        <v>1</v>
      </c>
      <c r="M737" s="5" t="s">
        <v>156</v>
      </c>
    </row>
    <row r="738" spans="2:13" ht="21.75" customHeight="1" x14ac:dyDescent="0.35">
      <c r="B738" s="12">
        <v>48</v>
      </c>
      <c r="C738" s="7" t="s">
        <v>6810</v>
      </c>
      <c r="D738" s="12">
        <v>55</v>
      </c>
      <c r="E738" s="7" t="s">
        <v>7046</v>
      </c>
      <c r="F738" s="7" t="s">
        <v>7047</v>
      </c>
      <c r="G738" s="7" t="s">
        <v>686</v>
      </c>
      <c r="H738" s="7" t="s">
        <v>36</v>
      </c>
      <c r="I738" s="7" t="s">
        <v>1885</v>
      </c>
      <c r="J738" s="7" t="s">
        <v>7044</v>
      </c>
      <c r="K738" s="7" t="s">
        <v>7045</v>
      </c>
      <c r="L738" s="12">
        <v>1</v>
      </c>
      <c r="M738" s="7" t="s">
        <v>156</v>
      </c>
    </row>
    <row r="739" spans="2:13" ht="52.5" customHeight="1" x14ac:dyDescent="0.35">
      <c r="B739" s="11">
        <v>48</v>
      </c>
      <c r="C739" s="5" t="s">
        <v>6810</v>
      </c>
      <c r="D739" s="11">
        <v>56</v>
      </c>
      <c r="E739" s="5" t="s">
        <v>7048</v>
      </c>
      <c r="F739" s="5" t="s">
        <v>7049</v>
      </c>
      <c r="G739" s="5" t="s">
        <v>704</v>
      </c>
      <c r="H739" s="5" t="s">
        <v>7050</v>
      </c>
      <c r="I739" s="5" t="s">
        <v>7051</v>
      </c>
      <c r="J739" s="5" t="s">
        <v>7052</v>
      </c>
      <c r="K739" s="5" t="s">
        <v>7053</v>
      </c>
      <c r="L739" s="11">
        <v>3</v>
      </c>
      <c r="M739" s="5" t="s">
        <v>156</v>
      </c>
    </row>
    <row r="740" spans="2:13" ht="37.5" customHeight="1" x14ac:dyDescent="0.35">
      <c r="B740" s="12">
        <v>48</v>
      </c>
      <c r="C740" s="7" t="s">
        <v>6810</v>
      </c>
      <c r="D740" s="12">
        <v>57</v>
      </c>
      <c r="E740" s="7" t="s">
        <v>7054</v>
      </c>
      <c r="F740" s="7" t="s">
        <v>7055</v>
      </c>
      <c r="G740" s="7" t="s">
        <v>358</v>
      </c>
      <c r="H740" s="7" t="s">
        <v>44</v>
      </c>
      <c r="I740" s="7" t="s">
        <v>49</v>
      </c>
      <c r="J740" s="7" t="s">
        <v>213</v>
      </c>
      <c r="K740" s="7" t="s">
        <v>6308</v>
      </c>
      <c r="L740" s="12">
        <v>1</v>
      </c>
      <c r="M740" s="7" t="s">
        <v>156</v>
      </c>
    </row>
    <row r="741" spans="2:13" ht="21.75" customHeight="1" x14ac:dyDescent="0.35">
      <c r="B741" s="11">
        <v>48</v>
      </c>
      <c r="C741" s="5" t="s">
        <v>6810</v>
      </c>
      <c r="D741" s="11">
        <v>58</v>
      </c>
      <c r="E741" s="5" t="s">
        <v>7056</v>
      </c>
      <c r="F741" s="5" t="s">
        <v>7057</v>
      </c>
      <c r="G741" s="5" t="s">
        <v>27</v>
      </c>
      <c r="H741" s="5" t="s">
        <v>44</v>
      </c>
      <c r="I741" s="5" t="s">
        <v>49</v>
      </c>
      <c r="J741" s="5" t="s">
        <v>213</v>
      </c>
      <c r="K741" s="5" t="s">
        <v>6308</v>
      </c>
      <c r="L741" s="11">
        <v>1</v>
      </c>
      <c r="M741" s="5" t="s">
        <v>156</v>
      </c>
    </row>
    <row r="742" spans="2:13" ht="37.5" customHeight="1" x14ac:dyDescent="0.35">
      <c r="B742" s="12">
        <v>48</v>
      </c>
      <c r="C742" s="7" t="s">
        <v>6810</v>
      </c>
      <c r="D742" s="12">
        <v>59</v>
      </c>
      <c r="E742" s="7" t="s">
        <v>7058</v>
      </c>
      <c r="F742" s="7" t="s">
        <v>7059</v>
      </c>
      <c r="G742" s="7" t="s">
        <v>32</v>
      </c>
      <c r="H742" s="7" t="s">
        <v>1521</v>
      </c>
      <c r="I742" s="7" t="s">
        <v>7060</v>
      </c>
      <c r="J742" s="7" t="s">
        <v>7061</v>
      </c>
      <c r="K742" s="7" t="s">
        <v>7062</v>
      </c>
      <c r="L742" s="12">
        <v>2</v>
      </c>
      <c r="M742" s="7" t="s">
        <v>156</v>
      </c>
    </row>
    <row r="743" spans="2:13" ht="37.5" customHeight="1" x14ac:dyDescent="0.35">
      <c r="B743" s="11">
        <v>48</v>
      </c>
      <c r="C743" s="5" t="s">
        <v>6810</v>
      </c>
      <c r="D743" s="11">
        <v>60</v>
      </c>
      <c r="E743" s="5" t="s">
        <v>7063</v>
      </c>
      <c r="F743" s="5" t="s">
        <v>7064</v>
      </c>
      <c r="G743" s="5" t="s">
        <v>645</v>
      </c>
      <c r="H743" s="5" t="s">
        <v>1521</v>
      </c>
      <c r="I743" s="5" t="s">
        <v>5310</v>
      </c>
      <c r="J743" s="5" t="s">
        <v>6820</v>
      </c>
      <c r="K743" s="5" t="s">
        <v>7065</v>
      </c>
      <c r="L743" s="11">
        <v>2</v>
      </c>
      <c r="M743" s="5" t="s">
        <v>156</v>
      </c>
    </row>
    <row r="744" spans="2:13" ht="37.5" customHeight="1" x14ac:dyDescent="0.35">
      <c r="B744" s="12">
        <v>48</v>
      </c>
      <c r="C744" s="7" t="s">
        <v>6810</v>
      </c>
      <c r="D744" s="12">
        <v>61</v>
      </c>
      <c r="E744" s="7" t="s">
        <v>7066</v>
      </c>
      <c r="F744" s="7" t="s">
        <v>7067</v>
      </c>
      <c r="G744" s="7" t="s">
        <v>722</v>
      </c>
      <c r="H744" s="7" t="s">
        <v>1521</v>
      </c>
      <c r="I744" s="7" t="s">
        <v>5310</v>
      </c>
      <c r="J744" s="7" t="s">
        <v>7061</v>
      </c>
      <c r="K744" s="7" t="s">
        <v>7068</v>
      </c>
      <c r="L744" s="12">
        <v>2</v>
      </c>
      <c r="M744" s="7" t="s">
        <v>156</v>
      </c>
    </row>
    <row r="745" spans="2:13" ht="37.5" customHeight="1" x14ac:dyDescent="0.35">
      <c r="B745" s="11">
        <v>48</v>
      </c>
      <c r="C745" s="5" t="s">
        <v>6810</v>
      </c>
      <c r="D745" s="11">
        <v>62</v>
      </c>
      <c r="E745" s="5" t="s">
        <v>7069</v>
      </c>
      <c r="F745" s="5" t="s">
        <v>7070</v>
      </c>
      <c r="G745" s="5" t="s">
        <v>244</v>
      </c>
      <c r="H745" s="5" t="s">
        <v>36</v>
      </c>
      <c r="I745" s="5" t="s">
        <v>48</v>
      </c>
      <c r="J745" s="5" t="s">
        <v>194</v>
      </c>
      <c r="K745" s="5" t="s">
        <v>5527</v>
      </c>
      <c r="L745" s="11">
        <v>1</v>
      </c>
      <c r="M745" s="5" t="s">
        <v>156</v>
      </c>
    </row>
    <row r="746" spans="2:13" ht="37.5" customHeight="1" x14ac:dyDescent="0.35">
      <c r="B746" s="12">
        <v>48</v>
      </c>
      <c r="C746" s="7" t="s">
        <v>6810</v>
      </c>
      <c r="D746" s="12">
        <v>63</v>
      </c>
      <c r="E746" s="7" t="s">
        <v>7071</v>
      </c>
      <c r="F746" s="7" t="s">
        <v>7072</v>
      </c>
      <c r="G746" s="7" t="s">
        <v>25</v>
      </c>
      <c r="H746" s="7" t="s">
        <v>1995</v>
      </c>
      <c r="I746" s="7" t="s">
        <v>6862</v>
      </c>
      <c r="J746" s="7" t="s">
        <v>6863</v>
      </c>
      <c r="K746" s="7" t="s">
        <v>6864</v>
      </c>
      <c r="L746" s="12">
        <v>2</v>
      </c>
      <c r="M746" s="7" t="s">
        <v>156</v>
      </c>
    </row>
    <row r="747" spans="2:13" ht="21.75" customHeight="1" x14ac:dyDescent="0.35">
      <c r="B747" s="11">
        <v>48</v>
      </c>
      <c r="C747" s="5" t="s">
        <v>6810</v>
      </c>
      <c r="D747" s="11">
        <v>64</v>
      </c>
      <c r="E747" s="5" t="s">
        <v>7073</v>
      </c>
      <c r="F747" s="5" t="s">
        <v>7074</v>
      </c>
      <c r="G747" s="5" t="s">
        <v>828</v>
      </c>
      <c r="H747" s="5" t="s">
        <v>37</v>
      </c>
      <c r="I747" s="5" t="s">
        <v>55</v>
      </c>
      <c r="J747" s="5" t="s">
        <v>6882</v>
      </c>
      <c r="K747" s="5" t="s">
        <v>6883</v>
      </c>
      <c r="L747" s="11">
        <v>1</v>
      </c>
      <c r="M747" s="5" t="s">
        <v>156</v>
      </c>
    </row>
    <row r="748" spans="2:13" ht="37.5" customHeight="1" x14ac:dyDescent="0.35">
      <c r="B748" s="12">
        <v>48</v>
      </c>
      <c r="C748" s="7" t="s">
        <v>6810</v>
      </c>
      <c r="D748" s="12">
        <v>65</v>
      </c>
      <c r="E748" s="7" t="s">
        <v>7075</v>
      </c>
      <c r="F748" s="7" t="s">
        <v>7076</v>
      </c>
      <c r="G748" s="7" t="s">
        <v>557</v>
      </c>
      <c r="H748" s="7" t="s">
        <v>37</v>
      </c>
      <c r="I748" s="7" t="s">
        <v>55</v>
      </c>
      <c r="J748" s="7" t="s">
        <v>6882</v>
      </c>
      <c r="K748" s="7" t="s">
        <v>6883</v>
      </c>
      <c r="L748" s="12">
        <v>1</v>
      </c>
      <c r="M748" s="7" t="s">
        <v>156</v>
      </c>
    </row>
    <row r="749" spans="2:13" ht="52.5" customHeight="1" x14ac:dyDescent="0.35">
      <c r="B749" s="11">
        <v>48</v>
      </c>
      <c r="C749" s="5" t="s">
        <v>6810</v>
      </c>
      <c r="D749" s="11">
        <v>66</v>
      </c>
      <c r="E749" s="5" t="s">
        <v>7077</v>
      </c>
      <c r="F749" s="5" t="s">
        <v>7078</v>
      </c>
      <c r="G749" s="5" t="s">
        <v>513</v>
      </c>
      <c r="H749" s="5" t="s">
        <v>6901</v>
      </c>
      <c r="I749" s="5" t="s">
        <v>6902</v>
      </c>
      <c r="J749" s="5" t="s">
        <v>7079</v>
      </c>
      <c r="K749" s="5" t="s">
        <v>7080</v>
      </c>
      <c r="L749" s="11">
        <v>3</v>
      </c>
      <c r="M749" s="5" t="s">
        <v>156</v>
      </c>
    </row>
    <row r="750" spans="2:13" ht="37.5" customHeight="1" x14ac:dyDescent="0.35">
      <c r="B750" s="12">
        <v>48</v>
      </c>
      <c r="C750" s="7" t="s">
        <v>6810</v>
      </c>
      <c r="D750" s="12">
        <v>67</v>
      </c>
      <c r="E750" s="7" t="s">
        <v>7081</v>
      </c>
      <c r="F750" s="7" t="s">
        <v>7082</v>
      </c>
      <c r="G750" s="7" t="s">
        <v>7083</v>
      </c>
      <c r="H750" s="7" t="s">
        <v>36</v>
      </c>
      <c r="I750" s="7" t="s">
        <v>1885</v>
      </c>
      <c r="J750" s="7" t="s">
        <v>177</v>
      </c>
      <c r="K750" s="7" t="s">
        <v>4796</v>
      </c>
      <c r="L750" s="12">
        <v>1</v>
      </c>
      <c r="M750" s="7" t="s">
        <v>156</v>
      </c>
    </row>
    <row r="751" spans="2:13" ht="52.5" customHeight="1" x14ac:dyDescent="0.35">
      <c r="B751" s="11">
        <v>48</v>
      </c>
      <c r="C751" s="5" t="s">
        <v>6810</v>
      </c>
      <c r="D751" s="11">
        <v>68</v>
      </c>
      <c r="E751" s="5" t="s">
        <v>7084</v>
      </c>
      <c r="F751" s="5" t="s">
        <v>7085</v>
      </c>
      <c r="G751" s="5" t="s">
        <v>365</v>
      </c>
      <c r="H751" s="5" t="s">
        <v>6901</v>
      </c>
      <c r="I751" s="5" t="s">
        <v>6902</v>
      </c>
      <c r="J751" s="5" t="s">
        <v>7086</v>
      </c>
      <c r="K751" s="5" t="s">
        <v>7087</v>
      </c>
      <c r="L751" s="11">
        <v>3</v>
      </c>
      <c r="M751" s="5" t="s">
        <v>156</v>
      </c>
    </row>
    <row r="752" spans="2:13" ht="37.5" customHeight="1" x14ac:dyDescent="0.35">
      <c r="B752" s="12">
        <v>48</v>
      </c>
      <c r="C752" s="7" t="s">
        <v>6810</v>
      </c>
      <c r="D752" s="12">
        <v>69</v>
      </c>
      <c r="E752" s="7" t="s">
        <v>7088</v>
      </c>
      <c r="F752" s="7" t="s">
        <v>7089</v>
      </c>
      <c r="G752" s="7" t="s">
        <v>678</v>
      </c>
      <c r="H752" s="7" t="s">
        <v>1521</v>
      </c>
      <c r="I752" s="7" t="s">
        <v>7060</v>
      </c>
      <c r="J752" s="7" t="s">
        <v>7090</v>
      </c>
      <c r="K752" s="7" t="s">
        <v>7091</v>
      </c>
      <c r="L752" s="12">
        <v>2</v>
      </c>
      <c r="M752" s="7" t="s">
        <v>156</v>
      </c>
    </row>
    <row r="753" spans="2:13" ht="21.75" customHeight="1" x14ac:dyDescent="0.35">
      <c r="B753" s="11">
        <v>48</v>
      </c>
      <c r="C753" s="5" t="s">
        <v>6810</v>
      </c>
      <c r="D753" s="11">
        <v>70</v>
      </c>
      <c r="E753" s="5" t="s">
        <v>7092</v>
      </c>
      <c r="F753" s="5" t="s">
        <v>7093</v>
      </c>
      <c r="G753" s="5" t="s">
        <v>2415</v>
      </c>
      <c r="H753" s="5" t="s">
        <v>36</v>
      </c>
      <c r="I753" s="5" t="s">
        <v>4559</v>
      </c>
      <c r="J753" s="5" t="s">
        <v>7044</v>
      </c>
      <c r="K753" s="5" t="s">
        <v>7094</v>
      </c>
      <c r="L753" s="11">
        <v>1</v>
      </c>
      <c r="M753" s="5" t="s">
        <v>156</v>
      </c>
    </row>
    <row r="754" spans="2:13" ht="37.5" customHeight="1" x14ac:dyDescent="0.35">
      <c r="B754" s="12">
        <v>48</v>
      </c>
      <c r="C754" s="7" t="s">
        <v>6810</v>
      </c>
      <c r="D754" s="12">
        <v>71</v>
      </c>
      <c r="E754" s="7" t="s">
        <v>7095</v>
      </c>
      <c r="F754" s="7" t="s">
        <v>7096</v>
      </c>
      <c r="G754" s="7" t="s">
        <v>585</v>
      </c>
      <c r="H754" s="7" t="s">
        <v>1521</v>
      </c>
      <c r="I754" s="7" t="s">
        <v>7060</v>
      </c>
      <c r="J754" s="7" t="s">
        <v>7090</v>
      </c>
      <c r="K754" s="7" t="s">
        <v>7091</v>
      </c>
      <c r="L754" s="12">
        <v>2</v>
      </c>
      <c r="M754" s="7" t="s">
        <v>156</v>
      </c>
    </row>
    <row r="755" spans="2:13" ht="37.5" customHeight="1" x14ac:dyDescent="0.35">
      <c r="B755" s="11">
        <v>48</v>
      </c>
      <c r="C755" s="5" t="s">
        <v>6810</v>
      </c>
      <c r="D755" s="11">
        <v>72</v>
      </c>
      <c r="E755" s="5" t="s">
        <v>7097</v>
      </c>
      <c r="F755" s="5" t="s">
        <v>7098</v>
      </c>
      <c r="G755" s="5" t="s">
        <v>28</v>
      </c>
      <c r="H755" s="5" t="s">
        <v>36</v>
      </c>
      <c r="I755" s="5" t="s">
        <v>1885</v>
      </c>
      <c r="J755" s="5" t="s">
        <v>7044</v>
      </c>
      <c r="K755" s="5" t="s">
        <v>7045</v>
      </c>
      <c r="L755" s="11">
        <v>1</v>
      </c>
      <c r="M755" s="5" t="s">
        <v>156</v>
      </c>
    </row>
    <row r="756" spans="2:13" ht="37.5" customHeight="1" x14ac:dyDescent="0.35">
      <c r="B756" s="12">
        <v>48</v>
      </c>
      <c r="C756" s="7" t="s">
        <v>6810</v>
      </c>
      <c r="D756" s="12">
        <v>73</v>
      </c>
      <c r="E756" s="7" t="s">
        <v>7099</v>
      </c>
      <c r="F756" s="7" t="s">
        <v>7100</v>
      </c>
      <c r="G756" s="7" t="s">
        <v>733</v>
      </c>
      <c r="H756" s="7" t="s">
        <v>36</v>
      </c>
      <c r="I756" s="7" t="s">
        <v>1885</v>
      </c>
      <c r="J756" s="7" t="s">
        <v>7044</v>
      </c>
      <c r="K756" s="7" t="s">
        <v>7045</v>
      </c>
      <c r="L756" s="12">
        <v>1</v>
      </c>
      <c r="M756" s="7" t="s">
        <v>156</v>
      </c>
    </row>
    <row r="757" spans="2:13" ht="37.5" customHeight="1" x14ac:dyDescent="0.35">
      <c r="B757" s="11">
        <v>48</v>
      </c>
      <c r="C757" s="5" t="s">
        <v>6810</v>
      </c>
      <c r="D757" s="11">
        <v>74</v>
      </c>
      <c r="E757" s="5" t="s">
        <v>7101</v>
      </c>
      <c r="F757" s="5" t="s">
        <v>7102</v>
      </c>
      <c r="G757" s="5" t="s">
        <v>638</v>
      </c>
      <c r="H757" s="5" t="s">
        <v>1521</v>
      </c>
      <c r="I757" s="5" t="s">
        <v>7060</v>
      </c>
      <c r="J757" s="5" t="s">
        <v>7090</v>
      </c>
      <c r="K757" s="5" t="s">
        <v>7091</v>
      </c>
      <c r="L757" s="11">
        <v>2</v>
      </c>
      <c r="M757" s="5" t="s">
        <v>156</v>
      </c>
    </row>
    <row r="758" spans="2:13" ht="21.75" customHeight="1" x14ac:dyDescent="0.35">
      <c r="B758" s="12">
        <v>48</v>
      </c>
      <c r="C758" s="7" t="s">
        <v>6810</v>
      </c>
      <c r="D758" s="12">
        <v>75</v>
      </c>
      <c r="E758" s="7" t="s">
        <v>7103</v>
      </c>
      <c r="F758" s="7" t="s">
        <v>7104</v>
      </c>
      <c r="G758" s="7" t="s">
        <v>813</v>
      </c>
      <c r="H758" s="7" t="s">
        <v>36</v>
      </c>
      <c r="I758" s="7" t="s">
        <v>48</v>
      </c>
      <c r="J758" s="7" t="s">
        <v>177</v>
      </c>
      <c r="K758" s="7" t="s">
        <v>4570</v>
      </c>
      <c r="L758" s="12">
        <v>1</v>
      </c>
      <c r="M758" s="7" t="s">
        <v>156</v>
      </c>
    </row>
    <row r="759" spans="2:13" ht="37.5" customHeight="1" x14ac:dyDescent="0.35">
      <c r="B759" s="11">
        <v>48</v>
      </c>
      <c r="C759" s="5" t="s">
        <v>6810</v>
      </c>
      <c r="D759" s="11">
        <v>76</v>
      </c>
      <c r="E759" s="5" t="s">
        <v>7105</v>
      </c>
      <c r="F759" s="5" t="s">
        <v>7106</v>
      </c>
      <c r="G759" s="5" t="s">
        <v>625</v>
      </c>
      <c r="H759" s="5" t="s">
        <v>1521</v>
      </c>
      <c r="I759" s="5" t="s">
        <v>5310</v>
      </c>
      <c r="J759" s="5" t="s">
        <v>6820</v>
      </c>
      <c r="K759" s="5" t="s">
        <v>7065</v>
      </c>
      <c r="L759" s="11">
        <v>2</v>
      </c>
      <c r="M759" s="5" t="s">
        <v>156</v>
      </c>
    </row>
    <row r="760" spans="2:13" ht="37.5" customHeight="1" x14ac:dyDescent="0.35">
      <c r="B760" s="12">
        <v>48</v>
      </c>
      <c r="C760" s="7" t="s">
        <v>6810</v>
      </c>
      <c r="D760" s="12">
        <v>77</v>
      </c>
      <c r="E760" s="7" t="s">
        <v>7107</v>
      </c>
      <c r="F760" s="7" t="s">
        <v>7108</v>
      </c>
      <c r="G760" s="7" t="s">
        <v>880</v>
      </c>
      <c r="H760" s="7" t="s">
        <v>1521</v>
      </c>
      <c r="I760" s="7" t="s">
        <v>5310</v>
      </c>
      <c r="J760" s="7" t="s">
        <v>7090</v>
      </c>
      <c r="K760" s="7" t="s">
        <v>7109</v>
      </c>
      <c r="L760" s="12">
        <v>2</v>
      </c>
      <c r="M760" s="7" t="s">
        <v>156</v>
      </c>
    </row>
    <row r="761" spans="2:13" ht="37.5" customHeight="1" x14ac:dyDescent="0.35">
      <c r="B761" s="11">
        <v>48</v>
      </c>
      <c r="C761" s="5" t="s">
        <v>6810</v>
      </c>
      <c r="D761" s="11">
        <v>78</v>
      </c>
      <c r="E761" s="5" t="s">
        <v>7110</v>
      </c>
      <c r="F761" s="5" t="s">
        <v>7111</v>
      </c>
      <c r="G761" s="5" t="s">
        <v>6147</v>
      </c>
      <c r="H761" s="5" t="s">
        <v>36</v>
      </c>
      <c r="I761" s="5" t="s">
        <v>1885</v>
      </c>
      <c r="J761" s="5" t="s">
        <v>177</v>
      </c>
      <c r="K761" s="5" t="s">
        <v>4796</v>
      </c>
      <c r="L761" s="11">
        <v>1</v>
      </c>
      <c r="M761" s="5" t="s">
        <v>156</v>
      </c>
    </row>
    <row r="762" spans="2:13" ht="37.5" customHeight="1" x14ac:dyDescent="0.35">
      <c r="B762" s="12">
        <v>48</v>
      </c>
      <c r="C762" s="7" t="s">
        <v>6810</v>
      </c>
      <c r="D762" s="12">
        <v>79</v>
      </c>
      <c r="E762" s="7" t="s">
        <v>7112</v>
      </c>
      <c r="F762" s="7" t="s">
        <v>7113</v>
      </c>
      <c r="G762" s="7" t="s">
        <v>552</v>
      </c>
      <c r="H762" s="7" t="s">
        <v>1521</v>
      </c>
      <c r="I762" s="7" t="s">
        <v>5310</v>
      </c>
      <c r="J762" s="7" t="s">
        <v>7090</v>
      </c>
      <c r="K762" s="7" t="s">
        <v>7109</v>
      </c>
      <c r="L762" s="12">
        <v>2</v>
      </c>
      <c r="M762" s="7" t="s">
        <v>156</v>
      </c>
    </row>
    <row r="763" spans="2:13" ht="37.5" customHeight="1" x14ac:dyDescent="0.35">
      <c r="B763" s="11">
        <v>48</v>
      </c>
      <c r="C763" s="5" t="s">
        <v>6810</v>
      </c>
      <c r="D763" s="11">
        <v>80</v>
      </c>
      <c r="E763" s="5" t="s">
        <v>7114</v>
      </c>
      <c r="F763" s="5" t="s">
        <v>7115</v>
      </c>
      <c r="G763" s="5" t="s">
        <v>282</v>
      </c>
      <c r="H763" s="5" t="s">
        <v>1521</v>
      </c>
      <c r="I763" s="5" t="s">
        <v>5310</v>
      </c>
      <c r="J763" s="5" t="s">
        <v>7090</v>
      </c>
      <c r="K763" s="5" t="s">
        <v>7109</v>
      </c>
      <c r="L763" s="11">
        <v>2</v>
      </c>
      <c r="M763" s="5" t="s">
        <v>156</v>
      </c>
    </row>
    <row r="764" spans="2:13" ht="37.5" customHeight="1" x14ac:dyDescent="0.35">
      <c r="B764" s="12">
        <v>48</v>
      </c>
      <c r="C764" s="7" t="s">
        <v>6810</v>
      </c>
      <c r="D764" s="12">
        <v>81</v>
      </c>
      <c r="E764" s="7" t="s">
        <v>7116</v>
      </c>
      <c r="F764" s="7" t="s">
        <v>7117</v>
      </c>
      <c r="G764" s="7" t="s">
        <v>33</v>
      </c>
      <c r="H764" s="7" t="s">
        <v>1521</v>
      </c>
      <c r="I764" s="7" t="s">
        <v>5310</v>
      </c>
      <c r="J764" s="7" t="s">
        <v>7090</v>
      </c>
      <c r="K764" s="7" t="s">
        <v>7109</v>
      </c>
      <c r="L764" s="12">
        <v>2</v>
      </c>
      <c r="M764" s="7" t="s">
        <v>156</v>
      </c>
    </row>
    <row r="765" spans="2:13" ht="37.5" customHeight="1" x14ac:dyDescent="0.35">
      <c r="B765" s="11">
        <v>48</v>
      </c>
      <c r="C765" s="5" t="s">
        <v>6810</v>
      </c>
      <c r="D765" s="11">
        <v>82</v>
      </c>
      <c r="E765" s="5" t="s">
        <v>7118</v>
      </c>
      <c r="F765" s="5" t="s">
        <v>7119</v>
      </c>
      <c r="G765" s="5" t="s">
        <v>648</v>
      </c>
      <c r="H765" s="5" t="s">
        <v>36</v>
      </c>
      <c r="I765" s="5" t="s">
        <v>48</v>
      </c>
      <c r="J765" s="5" t="s">
        <v>7044</v>
      </c>
      <c r="K765" s="5" t="s">
        <v>7120</v>
      </c>
      <c r="L765" s="11">
        <v>1</v>
      </c>
      <c r="M765" s="5" t="s">
        <v>156</v>
      </c>
    </row>
    <row r="766" spans="2:13" ht="21.75" customHeight="1" x14ac:dyDescent="0.35">
      <c r="B766" s="12">
        <v>48</v>
      </c>
      <c r="C766" s="7" t="s">
        <v>6810</v>
      </c>
      <c r="D766" s="12">
        <v>83</v>
      </c>
      <c r="E766" s="7" t="s">
        <v>7121</v>
      </c>
      <c r="F766" s="7" t="s">
        <v>7122</v>
      </c>
      <c r="G766" s="7" t="s">
        <v>212</v>
      </c>
      <c r="H766" s="7" t="s">
        <v>36</v>
      </c>
      <c r="I766" s="7" t="s">
        <v>48</v>
      </c>
      <c r="J766" s="7" t="s">
        <v>7044</v>
      </c>
      <c r="K766" s="7" t="s">
        <v>7120</v>
      </c>
      <c r="L766" s="12">
        <v>1</v>
      </c>
      <c r="M766" s="7" t="s">
        <v>156</v>
      </c>
    </row>
    <row r="767" spans="2:13" ht="21.75" customHeight="1" x14ac:dyDescent="0.35">
      <c r="B767" s="11">
        <v>48</v>
      </c>
      <c r="C767" s="5" t="s">
        <v>6810</v>
      </c>
      <c r="D767" s="11">
        <v>84</v>
      </c>
      <c r="E767" s="5" t="s">
        <v>7123</v>
      </c>
      <c r="F767" s="5" t="s">
        <v>7124</v>
      </c>
      <c r="G767" s="5" t="s">
        <v>1647</v>
      </c>
      <c r="H767" s="5" t="s">
        <v>37</v>
      </c>
      <c r="I767" s="5" t="s">
        <v>55</v>
      </c>
      <c r="J767" s="5" t="s">
        <v>6882</v>
      </c>
      <c r="K767" s="5" t="s">
        <v>6883</v>
      </c>
      <c r="L767" s="11">
        <v>1</v>
      </c>
      <c r="M767" s="5" t="s">
        <v>156</v>
      </c>
    </row>
    <row r="768" spans="2:13" ht="37.5" customHeight="1" x14ac:dyDescent="0.35">
      <c r="B768" s="12">
        <v>48</v>
      </c>
      <c r="C768" s="7" t="s">
        <v>6810</v>
      </c>
      <c r="D768" s="12">
        <v>85</v>
      </c>
      <c r="E768" s="7" t="s">
        <v>7125</v>
      </c>
      <c r="F768" s="7" t="s">
        <v>7126</v>
      </c>
      <c r="G768" s="7" t="s">
        <v>232</v>
      </c>
      <c r="H768" s="7" t="s">
        <v>37</v>
      </c>
      <c r="I768" s="7" t="s">
        <v>55</v>
      </c>
      <c r="J768" s="7" t="s">
        <v>7127</v>
      </c>
      <c r="K768" s="7" t="s">
        <v>7128</v>
      </c>
      <c r="L768" s="12">
        <v>1</v>
      </c>
      <c r="M768" s="7" t="s">
        <v>156</v>
      </c>
    </row>
    <row r="769" spans="2:13" ht="37.5" customHeight="1" x14ac:dyDescent="0.35">
      <c r="B769" s="11">
        <v>48</v>
      </c>
      <c r="C769" s="5" t="s">
        <v>6810</v>
      </c>
      <c r="D769" s="11">
        <v>86</v>
      </c>
      <c r="E769" s="5" t="s">
        <v>7129</v>
      </c>
      <c r="F769" s="5" t="s">
        <v>7130</v>
      </c>
      <c r="G769" s="5" t="s">
        <v>395</v>
      </c>
      <c r="H769" s="5" t="s">
        <v>37</v>
      </c>
      <c r="I769" s="5" t="s">
        <v>55</v>
      </c>
      <c r="J769" s="5" t="s">
        <v>7127</v>
      </c>
      <c r="K769" s="5" t="s">
        <v>7128</v>
      </c>
      <c r="L769" s="11">
        <v>1</v>
      </c>
      <c r="M769" s="5" t="s">
        <v>156</v>
      </c>
    </row>
    <row r="770" spans="2:13" ht="37.5" customHeight="1" x14ac:dyDescent="0.35">
      <c r="B770" s="12">
        <v>48</v>
      </c>
      <c r="C770" s="7" t="s">
        <v>6810</v>
      </c>
      <c r="D770" s="12">
        <v>87</v>
      </c>
      <c r="E770" s="7" t="s">
        <v>7131</v>
      </c>
      <c r="F770" s="7" t="s">
        <v>7132</v>
      </c>
      <c r="G770" s="7" t="s">
        <v>862</v>
      </c>
      <c r="H770" s="7" t="s">
        <v>1521</v>
      </c>
      <c r="I770" s="7" t="s">
        <v>7060</v>
      </c>
      <c r="J770" s="7" t="s">
        <v>7090</v>
      </c>
      <c r="K770" s="7" t="s">
        <v>7091</v>
      </c>
      <c r="L770" s="12">
        <v>2</v>
      </c>
      <c r="M770" s="7" t="s">
        <v>156</v>
      </c>
    </row>
    <row r="771" spans="2:13" ht="37.5" customHeight="1" x14ac:dyDescent="0.35">
      <c r="B771" s="11">
        <v>48</v>
      </c>
      <c r="C771" s="5" t="s">
        <v>6810</v>
      </c>
      <c r="D771" s="11">
        <v>88</v>
      </c>
      <c r="E771" s="5" t="s">
        <v>7133</v>
      </c>
      <c r="F771" s="5" t="s">
        <v>7134</v>
      </c>
      <c r="G771" s="5" t="s">
        <v>742</v>
      </c>
      <c r="H771" s="5" t="s">
        <v>306</v>
      </c>
      <c r="I771" s="5" t="s">
        <v>5332</v>
      </c>
      <c r="J771" s="5" t="s">
        <v>7135</v>
      </c>
      <c r="K771" s="5" t="s">
        <v>7136</v>
      </c>
      <c r="L771" s="11">
        <v>2</v>
      </c>
      <c r="M771" s="5" t="s">
        <v>156</v>
      </c>
    </row>
    <row r="772" spans="2:13" ht="37.5" customHeight="1" x14ac:dyDescent="0.35">
      <c r="B772" s="12">
        <v>48</v>
      </c>
      <c r="C772" s="7" t="s">
        <v>6810</v>
      </c>
      <c r="D772" s="12">
        <v>89</v>
      </c>
      <c r="E772" s="7" t="s">
        <v>7137</v>
      </c>
      <c r="F772" s="7" t="s">
        <v>7138</v>
      </c>
      <c r="G772" s="7" t="s">
        <v>698</v>
      </c>
      <c r="H772" s="7" t="s">
        <v>36</v>
      </c>
      <c r="I772" s="7" t="s">
        <v>1885</v>
      </c>
      <c r="J772" s="7" t="s">
        <v>7044</v>
      </c>
      <c r="K772" s="7" t="s">
        <v>7045</v>
      </c>
      <c r="L772" s="12">
        <v>1</v>
      </c>
      <c r="M772" s="7" t="s">
        <v>156</v>
      </c>
    </row>
    <row r="773" spans="2:13" ht="37.5" customHeight="1" x14ac:dyDescent="0.35">
      <c r="B773" s="11">
        <v>48</v>
      </c>
      <c r="C773" s="5" t="s">
        <v>6810</v>
      </c>
      <c r="D773" s="11">
        <v>90</v>
      </c>
      <c r="E773" s="5" t="s">
        <v>7139</v>
      </c>
      <c r="F773" s="5" t="s">
        <v>7140</v>
      </c>
      <c r="G773" s="5" t="s">
        <v>1606</v>
      </c>
      <c r="H773" s="5" t="s">
        <v>4599</v>
      </c>
      <c r="I773" s="5" t="s">
        <v>7141</v>
      </c>
      <c r="J773" s="5" t="s">
        <v>7142</v>
      </c>
      <c r="K773" s="5" t="s">
        <v>7143</v>
      </c>
      <c r="L773" s="11">
        <v>2</v>
      </c>
      <c r="M773" s="5" t="s">
        <v>156</v>
      </c>
    </row>
    <row r="774" spans="2:13" ht="37.5" customHeight="1" x14ac:dyDescent="0.35">
      <c r="B774" s="12">
        <v>48</v>
      </c>
      <c r="C774" s="7" t="s">
        <v>6810</v>
      </c>
      <c r="D774" s="12">
        <v>91</v>
      </c>
      <c r="E774" s="7" t="s">
        <v>7144</v>
      </c>
      <c r="F774" s="7" t="s">
        <v>7145</v>
      </c>
      <c r="G774" s="7" t="s">
        <v>766</v>
      </c>
      <c r="H774" s="7" t="s">
        <v>7146</v>
      </c>
      <c r="I774" s="7" t="s">
        <v>7147</v>
      </c>
      <c r="J774" s="7" t="s">
        <v>7148</v>
      </c>
      <c r="K774" s="7" t="s">
        <v>7149</v>
      </c>
      <c r="L774" s="12">
        <v>2</v>
      </c>
      <c r="M774" s="7" t="s">
        <v>156</v>
      </c>
    </row>
    <row r="775" spans="2:13" ht="37.5" customHeight="1" x14ac:dyDescent="0.35">
      <c r="B775" s="11">
        <v>48</v>
      </c>
      <c r="C775" s="5" t="s">
        <v>6810</v>
      </c>
      <c r="D775" s="11">
        <v>92</v>
      </c>
      <c r="E775" s="5" t="s">
        <v>7150</v>
      </c>
      <c r="F775" s="5" t="s">
        <v>7151</v>
      </c>
      <c r="G775" s="5" t="s">
        <v>3135</v>
      </c>
      <c r="H775" s="5" t="s">
        <v>5017</v>
      </c>
      <c r="I775" s="5" t="s">
        <v>7152</v>
      </c>
      <c r="J775" s="5" t="s">
        <v>7153</v>
      </c>
      <c r="K775" s="5" t="s">
        <v>7154</v>
      </c>
      <c r="L775" s="11">
        <v>2</v>
      </c>
      <c r="M775" s="5" t="s">
        <v>156</v>
      </c>
    </row>
    <row r="776" spans="2:13" ht="21.75" customHeight="1" x14ac:dyDescent="0.35">
      <c r="B776" s="12">
        <v>48</v>
      </c>
      <c r="C776" s="7" t="s">
        <v>6810</v>
      </c>
      <c r="D776" s="12">
        <v>93</v>
      </c>
      <c r="E776" s="7" t="s">
        <v>7155</v>
      </c>
      <c r="F776" s="7" t="s">
        <v>7156</v>
      </c>
      <c r="G776" s="7" t="s">
        <v>26</v>
      </c>
      <c r="H776" s="7" t="s">
        <v>38</v>
      </c>
      <c r="I776" s="7" t="s">
        <v>268</v>
      </c>
      <c r="J776" s="7" t="s">
        <v>269</v>
      </c>
      <c r="K776" s="7" t="s">
        <v>270</v>
      </c>
      <c r="L776" s="12">
        <v>1</v>
      </c>
      <c r="M776" s="7" t="s">
        <v>156</v>
      </c>
    </row>
    <row r="777" spans="2:13" ht="37.5" customHeight="1" x14ac:dyDescent="0.35">
      <c r="B777" s="11">
        <v>48</v>
      </c>
      <c r="C777" s="5" t="s">
        <v>6810</v>
      </c>
      <c r="D777" s="11">
        <v>94</v>
      </c>
      <c r="E777" s="5" t="s">
        <v>7157</v>
      </c>
      <c r="F777" s="5" t="s">
        <v>7158</v>
      </c>
      <c r="G777" s="5" t="s">
        <v>939</v>
      </c>
      <c r="H777" s="5" t="s">
        <v>44</v>
      </c>
      <c r="I777" s="5" t="s">
        <v>49</v>
      </c>
      <c r="J777" s="5" t="s">
        <v>213</v>
      </c>
      <c r="K777" s="5" t="s">
        <v>6308</v>
      </c>
      <c r="L777" s="11">
        <v>1</v>
      </c>
      <c r="M777" s="5" t="s">
        <v>156</v>
      </c>
    </row>
    <row r="778" spans="2:13" ht="21.75" customHeight="1" x14ac:dyDescent="0.35">
      <c r="B778" s="12">
        <v>48</v>
      </c>
      <c r="C778" s="7" t="s">
        <v>6810</v>
      </c>
      <c r="D778" s="12">
        <v>95</v>
      </c>
      <c r="E778" s="7" t="s">
        <v>7159</v>
      </c>
      <c r="F778" s="7" t="s">
        <v>7160</v>
      </c>
      <c r="G778" s="7" t="s">
        <v>2768</v>
      </c>
      <c r="H778" s="7" t="s">
        <v>36</v>
      </c>
      <c r="I778" s="7" t="s">
        <v>48</v>
      </c>
      <c r="J778" s="7" t="s">
        <v>7044</v>
      </c>
      <c r="K778" s="7" t="s">
        <v>7120</v>
      </c>
      <c r="L778" s="12">
        <v>1</v>
      </c>
      <c r="M778" s="7" t="s">
        <v>156</v>
      </c>
    </row>
    <row r="779" spans="2:13" ht="21.75" customHeight="1" x14ac:dyDescent="0.35">
      <c r="B779" s="11">
        <v>48</v>
      </c>
      <c r="C779" s="5" t="s">
        <v>6810</v>
      </c>
      <c r="D779" s="11">
        <v>96</v>
      </c>
      <c r="E779" s="5" t="s">
        <v>7161</v>
      </c>
      <c r="F779" s="5" t="s">
        <v>7162</v>
      </c>
      <c r="G779" s="5" t="s">
        <v>800</v>
      </c>
      <c r="H779" s="5" t="s">
        <v>36</v>
      </c>
      <c r="I779" s="5" t="s">
        <v>48</v>
      </c>
      <c r="J779" s="5" t="s">
        <v>177</v>
      </c>
      <c r="K779" s="5" t="s">
        <v>4570</v>
      </c>
      <c r="L779" s="11">
        <v>1</v>
      </c>
      <c r="M779" s="5" t="s">
        <v>156</v>
      </c>
    </row>
    <row r="780" spans="2:13" ht="37.5" customHeight="1" x14ac:dyDescent="0.35">
      <c r="B780" s="12">
        <v>48</v>
      </c>
      <c r="C780" s="7" t="s">
        <v>6810</v>
      </c>
      <c r="D780" s="12">
        <v>97</v>
      </c>
      <c r="E780" s="7" t="s">
        <v>7163</v>
      </c>
      <c r="F780" s="7" t="s">
        <v>7164</v>
      </c>
      <c r="G780" s="7" t="s">
        <v>6044</v>
      </c>
      <c r="H780" s="7" t="s">
        <v>1521</v>
      </c>
      <c r="I780" s="7" t="s">
        <v>7060</v>
      </c>
      <c r="J780" s="7" t="s">
        <v>7090</v>
      </c>
      <c r="K780" s="7" t="s">
        <v>7091</v>
      </c>
      <c r="L780" s="12">
        <v>2</v>
      </c>
      <c r="M780" s="7" t="s">
        <v>156</v>
      </c>
    </row>
    <row r="781" spans="2:13" ht="21.75" customHeight="1" x14ac:dyDescent="0.35">
      <c r="B781" s="11">
        <v>48</v>
      </c>
      <c r="C781" s="5" t="s">
        <v>6810</v>
      </c>
      <c r="D781" s="11">
        <v>98</v>
      </c>
      <c r="E781" s="5" t="s">
        <v>7165</v>
      </c>
      <c r="F781" s="5" t="s">
        <v>7166</v>
      </c>
      <c r="G781" s="5" t="s">
        <v>973</v>
      </c>
      <c r="H781" s="5" t="s">
        <v>36</v>
      </c>
      <c r="I781" s="5" t="s">
        <v>1885</v>
      </c>
      <c r="J781" s="5" t="s">
        <v>7167</v>
      </c>
      <c r="K781" s="5" t="s">
        <v>7168</v>
      </c>
      <c r="L781" s="11">
        <v>1</v>
      </c>
      <c r="M781" s="5" t="s">
        <v>156</v>
      </c>
    </row>
    <row r="782" spans="2:13" ht="37.5" customHeight="1" x14ac:dyDescent="0.35">
      <c r="B782" s="12">
        <v>48</v>
      </c>
      <c r="C782" s="7" t="s">
        <v>6810</v>
      </c>
      <c r="D782" s="12">
        <v>99</v>
      </c>
      <c r="E782" s="7" t="s">
        <v>7169</v>
      </c>
      <c r="F782" s="7" t="s">
        <v>7170</v>
      </c>
      <c r="G782" s="7" t="s">
        <v>905</v>
      </c>
      <c r="H782" s="7" t="s">
        <v>4034</v>
      </c>
      <c r="I782" s="7" t="s">
        <v>7000</v>
      </c>
      <c r="J782" s="7" t="s">
        <v>7171</v>
      </c>
      <c r="K782" s="7" t="s">
        <v>7172</v>
      </c>
      <c r="L782" s="12">
        <v>2</v>
      </c>
      <c r="M782" s="7" t="s">
        <v>156</v>
      </c>
    </row>
    <row r="783" spans="2:13" ht="21.75" customHeight="1" x14ac:dyDescent="0.35">
      <c r="B783" s="11">
        <v>48</v>
      </c>
      <c r="C783" s="5" t="s">
        <v>6810</v>
      </c>
      <c r="D783" s="11">
        <v>100</v>
      </c>
      <c r="E783" s="5" t="s">
        <v>7173</v>
      </c>
      <c r="F783" s="5" t="s">
        <v>7174</v>
      </c>
      <c r="G783" s="5" t="s">
        <v>645</v>
      </c>
      <c r="H783" s="5" t="s">
        <v>36</v>
      </c>
      <c r="I783" s="5" t="s">
        <v>48</v>
      </c>
      <c r="J783" s="5" t="s">
        <v>7044</v>
      </c>
      <c r="K783" s="5" t="s">
        <v>7120</v>
      </c>
      <c r="L783" s="11">
        <v>1</v>
      </c>
      <c r="M783" s="5" t="s">
        <v>156</v>
      </c>
    </row>
    <row r="784" spans="2:13" ht="21.75" customHeight="1" x14ac:dyDescent="0.35">
      <c r="B784" s="12">
        <v>48</v>
      </c>
      <c r="C784" s="7" t="s">
        <v>6810</v>
      </c>
      <c r="D784" s="12">
        <v>101</v>
      </c>
      <c r="E784" s="7" t="s">
        <v>7175</v>
      </c>
      <c r="F784" s="7" t="s">
        <v>7176</v>
      </c>
      <c r="G784" s="7" t="s">
        <v>7177</v>
      </c>
      <c r="H784" s="7" t="s">
        <v>37</v>
      </c>
      <c r="I784" s="7" t="s">
        <v>55</v>
      </c>
      <c r="J784" s="7" t="s">
        <v>7178</v>
      </c>
      <c r="K784" s="7" t="s">
        <v>7179</v>
      </c>
      <c r="L784" s="12">
        <v>1</v>
      </c>
      <c r="M784" s="7" t="s">
        <v>156</v>
      </c>
    </row>
    <row r="785" spans="2:13" ht="37.5" customHeight="1" x14ac:dyDescent="0.35">
      <c r="B785" s="11">
        <v>48</v>
      </c>
      <c r="C785" s="5" t="s">
        <v>6810</v>
      </c>
      <c r="D785" s="11">
        <v>101</v>
      </c>
      <c r="E785" s="5" t="s">
        <v>7180</v>
      </c>
      <c r="F785" s="5" t="s">
        <v>7181</v>
      </c>
      <c r="G785" s="5" t="s">
        <v>6244</v>
      </c>
      <c r="H785" s="5" t="s">
        <v>36</v>
      </c>
      <c r="I785" s="5" t="s">
        <v>48</v>
      </c>
      <c r="J785" s="5" t="s">
        <v>7044</v>
      </c>
      <c r="K785" s="5" t="s">
        <v>7120</v>
      </c>
      <c r="L785" s="11">
        <v>1</v>
      </c>
      <c r="M785" s="5" t="s">
        <v>156</v>
      </c>
    </row>
    <row r="786" spans="2:13" ht="21.75" customHeight="1" x14ac:dyDescent="0.35">
      <c r="B786" s="12">
        <v>48</v>
      </c>
      <c r="C786" s="7" t="s">
        <v>6810</v>
      </c>
      <c r="D786" s="12">
        <v>102</v>
      </c>
      <c r="E786" s="7" t="s">
        <v>7182</v>
      </c>
      <c r="F786" s="7" t="s">
        <v>7183</v>
      </c>
      <c r="G786" s="7" t="s">
        <v>755</v>
      </c>
      <c r="H786" s="7" t="s">
        <v>36</v>
      </c>
      <c r="I786" s="7" t="s">
        <v>48</v>
      </c>
      <c r="J786" s="7" t="s">
        <v>7044</v>
      </c>
      <c r="K786" s="7" t="s">
        <v>7120</v>
      </c>
      <c r="L786" s="12">
        <v>1</v>
      </c>
      <c r="M786" s="7" t="s">
        <v>156</v>
      </c>
    </row>
    <row r="787" spans="2:13" ht="37.5" customHeight="1" x14ac:dyDescent="0.35">
      <c r="B787" s="11">
        <v>48</v>
      </c>
      <c r="C787" s="5" t="s">
        <v>6810</v>
      </c>
      <c r="D787" s="11">
        <v>103</v>
      </c>
      <c r="E787" s="5" t="s">
        <v>7184</v>
      </c>
      <c r="F787" s="5" t="s">
        <v>7185</v>
      </c>
      <c r="G787" s="5" t="s">
        <v>713</v>
      </c>
      <c r="H787" s="5" t="s">
        <v>1521</v>
      </c>
      <c r="I787" s="5" t="s">
        <v>5310</v>
      </c>
      <c r="J787" s="5" t="s">
        <v>7186</v>
      </c>
      <c r="K787" s="5" t="s">
        <v>7187</v>
      </c>
      <c r="L787" s="11">
        <v>2</v>
      </c>
      <c r="M787" s="5" t="s">
        <v>156</v>
      </c>
    </row>
    <row r="788" spans="2:13" ht="37.5" customHeight="1" x14ac:dyDescent="0.35">
      <c r="B788" s="12">
        <v>48</v>
      </c>
      <c r="C788" s="7" t="s">
        <v>6810</v>
      </c>
      <c r="D788" s="12">
        <v>104</v>
      </c>
      <c r="E788" s="7" t="s">
        <v>7188</v>
      </c>
      <c r="F788" s="7" t="s">
        <v>7189</v>
      </c>
      <c r="G788" s="7" t="s">
        <v>4654</v>
      </c>
      <c r="H788" s="7" t="s">
        <v>36</v>
      </c>
      <c r="I788" s="7" t="s">
        <v>48</v>
      </c>
      <c r="J788" s="7" t="s">
        <v>177</v>
      </c>
      <c r="K788" s="7" t="s">
        <v>4570</v>
      </c>
      <c r="L788" s="12">
        <v>1</v>
      </c>
      <c r="M788" s="7" t="s">
        <v>156</v>
      </c>
    </row>
    <row r="789" spans="2:13" ht="37.5" customHeight="1" x14ac:dyDescent="0.35">
      <c r="B789" s="11">
        <v>48</v>
      </c>
      <c r="C789" s="5" t="s">
        <v>6810</v>
      </c>
      <c r="D789" s="11">
        <v>105</v>
      </c>
      <c r="E789" s="5" t="s">
        <v>7190</v>
      </c>
      <c r="F789" s="5" t="s">
        <v>7191</v>
      </c>
      <c r="G789" s="5" t="s">
        <v>573</v>
      </c>
      <c r="H789" s="5" t="s">
        <v>36</v>
      </c>
      <c r="I789" s="5" t="s">
        <v>1885</v>
      </c>
      <c r="J789" s="5" t="s">
        <v>7167</v>
      </c>
      <c r="K789" s="5" t="s">
        <v>7168</v>
      </c>
      <c r="L789" s="11">
        <v>1</v>
      </c>
      <c r="M789" s="5" t="s">
        <v>156</v>
      </c>
    </row>
    <row r="790" spans="2:13" ht="37.5" customHeight="1" x14ac:dyDescent="0.35">
      <c r="B790" s="12">
        <v>48</v>
      </c>
      <c r="C790" s="7" t="s">
        <v>6810</v>
      </c>
      <c r="D790" s="12">
        <v>106</v>
      </c>
      <c r="E790" s="7" t="s">
        <v>7192</v>
      </c>
      <c r="F790" s="7" t="s">
        <v>7193</v>
      </c>
      <c r="G790" s="7" t="s">
        <v>662</v>
      </c>
      <c r="H790" s="7" t="s">
        <v>37</v>
      </c>
      <c r="I790" s="7" t="s">
        <v>55</v>
      </c>
      <c r="J790" s="7" t="s">
        <v>7127</v>
      </c>
      <c r="K790" s="7" t="s">
        <v>7128</v>
      </c>
      <c r="L790" s="12">
        <v>1</v>
      </c>
      <c r="M790" s="7" t="s">
        <v>156</v>
      </c>
    </row>
    <row r="791" spans="2:13" ht="21.75" customHeight="1" x14ac:dyDescent="0.35">
      <c r="B791" s="11">
        <v>48</v>
      </c>
      <c r="C791" s="5" t="s">
        <v>6810</v>
      </c>
      <c r="D791" s="11">
        <v>107</v>
      </c>
      <c r="E791" s="5" t="s">
        <v>7194</v>
      </c>
      <c r="F791" s="5" t="s">
        <v>7195</v>
      </c>
      <c r="G791" s="5" t="s">
        <v>549</v>
      </c>
      <c r="H791" s="5" t="s">
        <v>37</v>
      </c>
      <c r="I791" s="5" t="s">
        <v>55</v>
      </c>
      <c r="J791" s="5" t="s">
        <v>7178</v>
      </c>
      <c r="K791" s="5" t="s">
        <v>7179</v>
      </c>
      <c r="L791" s="11">
        <v>1</v>
      </c>
      <c r="M791" s="5" t="s">
        <v>156</v>
      </c>
    </row>
    <row r="792" spans="2:13" ht="37.5" customHeight="1" x14ac:dyDescent="0.35">
      <c r="B792" s="12">
        <v>48</v>
      </c>
      <c r="C792" s="7" t="s">
        <v>6810</v>
      </c>
      <c r="D792" s="12">
        <v>108</v>
      </c>
      <c r="E792" s="7" t="s">
        <v>7196</v>
      </c>
      <c r="F792" s="7" t="s">
        <v>7197</v>
      </c>
      <c r="G792" s="7" t="s">
        <v>1628</v>
      </c>
      <c r="H792" s="7" t="s">
        <v>1355</v>
      </c>
      <c r="I792" s="7" t="s">
        <v>5310</v>
      </c>
      <c r="J792" s="7" t="s">
        <v>7198</v>
      </c>
      <c r="K792" s="7" t="s">
        <v>7199</v>
      </c>
      <c r="L792" s="12">
        <v>2</v>
      </c>
      <c r="M792" s="7" t="s">
        <v>156</v>
      </c>
    </row>
    <row r="793" spans="2:13" ht="52.5" customHeight="1" x14ac:dyDescent="0.35">
      <c r="B793" s="11">
        <v>48</v>
      </c>
      <c r="C793" s="5" t="s">
        <v>6810</v>
      </c>
      <c r="D793" s="11">
        <v>109</v>
      </c>
      <c r="E793" s="5" t="s">
        <v>7200</v>
      </c>
      <c r="F793" s="5" t="s">
        <v>7201</v>
      </c>
      <c r="G793" s="5" t="s">
        <v>7202</v>
      </c>
      <c r="H793" s="5" t="s">
        <v>7203</v>
      </c>
      <c r="I793" s="5" t="s">
        <v>7204</v>
      </c>
      <c r="J793" s="5" t="s">
        <v>7205</v>
      </c>
      <c r="K793" s="5" t="s">
        <v>7206</v>
      </c>
      <c r="L793" s="11">
        <v>3</v>
      </c>
      <c r="M793" s="5" t="s">
        <v>156</v>
      </c>
    </row>
    <row r="794" spans="2:13" ht="21.75" customHeight="1" x14ac:dyDescent="0.35">
      <c r="B794" s="12">
        <v>48</v>
      </c>
      <c r="C794" s="7" t="s">
        <v>6810</v>
      </c>
      <c r="D794" s="12">
        <v>110</v>
      </c>
      <c r="E794" s="7" t="s">
        <v>7207</v>
      </c>
      <c r="F794" s="7" t="s">
        <v>7208</v>
      </c>
      <c r="G794" s="7" t="s">
        <v>862</v>
      </c>
      <c r="H794" s="7" t="s">
        <v>36</v>
      </c>
      <c r="I794" s="7" t="s">
        <v>1885</v>
      </c>
      <c r="J794" s="7" t="s">
        <v>7209</v>
      </c>
      <c r="K794" s="7" t="s">
        <v>7210</v>
      </c>
      <c r="L794" s="12">
        <v>1</v>
      </c>
      <c r="M794" s="7" t="s">
        <v>156</v>
      </c>
    </row>
    <row r="795" spans="2:13" ht="21.75" customHeight="1" x14ac:dyDescent="0.35">
      <c r="B795" s="11">
        <v>48</v>
      </c>
      <c r="C795" s="5" t="s">
        <v>6810</v>
      </c>
      <c r="D795" s="11">
        <v>111</v>
      </c>
      <c r="E795" s="5" t="s">
        <v>7211</v>
      </c>
      <c r="F795" s="5" t="s">
        <v>7212</v>
      </c>
      <c r="G795" s="5" t="s">
        <v>442</v>
      </c>
      <c r="H795" s="5" t="s">
        <v>37</v>
      </c>
      <c r="I795" s="5" t="s">
        <v>55</v>
      </c>
      <c r="J795" s="5" t="s">
        <v>7178</v>
      </c>
      <c r="K795" s="5" t="s">
        <v>7179</v>
      </c>
      <c r="L795" s="11">
        <v>1</v>
      </c>
      <c r="M795" s="5" t="s">
        <v>156</v>
      </c>
    </row>
    <row r="796" spans="2:13" ht="21.75" customHeight="1" x14ac:dyDescent="0.35">
      <c r="B796" s="12">
        <v>48</v>
      </c>
      <c r="C796" s="7" t="s">
        <v>6810</v>
      </c>
      <c r="D796" s="12">
        <v>112</v>
      </c>
      <c r="E796" s="7" t="s">
        <v>7213</v>
      </c>
      <c r="F796" s="7" t="s">
        <v>7214</v>
      </c>
      <c r="G796" s="7" t="s">
        <v>1661</v>
      </c>
      <c r="H796" s="7" t="s">
        <v>37</v>
      </c>
      <c r="I796" s="7" t="s">
        <v>55</v>
      </c>
      <c r="J796" s="7" t="s">
        <v>7127</v>
      </c>
      <c r="K796" s="7" t="s">
        <v>7128</v>
      </c>
      <c r="L796" s="12">
        <v>1</v>
      </c>
      <c r="M796" s="7" t="s">
        <v>156</v>
      </c>
    </row>
    <row r="797" spans="2:13" ht="21.75" customHeight="1" x14ac:dyDescent="0.35">
      <c r="B797" s="11">
        <v>48</v>
      </c>
      <c r="C797" s="5" t="s">
        <v>6810</v>
      </c>
      <c r="D797" s="11">
        <v>113</v>
      </c>
      <c r="E797" s="5" t="s">
        <v>7215</v>
      </c>
      <c r="F797" s="5" t="s">
        <v>7216</v>
      </c>
      <c r="G797" s="5" t="s">
        <v>7217</v>
      </c>
      <c r="H797" s="5" t="s">
        <v>37</v>
      </c>
      <c r="I797" s="5" t="s">
        <v>55</v>
      </c>
      <c r="J797" s="5" t="s">
        <v>6882</v>
      </c>
      <c r="K797" s="5" t="s">
        <v>6883</v>
      </c>
      <c r="L797" s="11">
        <v>1</v>
      </c>
      <c r="M797" s="5" t="s">
        <v>156</v>
      </c>
    </row>
    <row r="798" spans="2:13" ht="21.75" customHeight="1" x14ac:dyDescent="0.35">
      <c r="B798" s="12">
        <v>48</v>
      </c>
      <c r="C798" s="7" t="s">
        <v>6810</v>
      </c>
      <c r="D798" s="12">
        <v>114</v>
      </c>
      <c r="E798" s="7" t="s">
        <v>7218</v>
      </c>
      <c r="F798" s="7" t="s">
        <v>7219</v>
      </c>
      <c r="G798" s="7" t="s">
        <v>1653</v>
      </c>
      <c r="H798" s="7" t="s">
        <v>36</v>
      </c>
      <c r="I798" s="7" t="s">
        <v>48</v>
      </c>
      <c r="J798" s="7" t="s">
        <v>7044</v>
      </c>
      <c r="K798" s="7" t="s">
        <v>7120</v>
      </c>
      <c r="L798" s="12">
        <v>1</v>
      </c>
      <c r="M798" s="7" t="s">
        <v>156</v>
      </c>
    </row>
    <row r="799" spans="2:13" ht="37.5" customHeight="1" x14ac:dyDescent="0.35">
      <c r="B799" s="11">
        <v>48</v>
      </c>
      <c r="C799" s="5" t="s">
        <v>6810</v>
      </c>
      <c r="D799" s="11">
        <v>115</v>
      </c>
      <c r="E799" s="5" t="s">
        <v>7220</v>
      </c>
      <c r="F799" s="5" t="s">
        <v>7221</v>
      </c>
      <c r="G799" s="5" t="s">
        <v>848</v>
      </c>
      <c r="H799" s="5" t="s">
        <v>36</v>
      </c>
      <c r="I799" s="5" t="s">
        <v>48</v>
      </c>
      <c r="J799" s="5" t="s">
        <v>7044</v>
      </c>
      <c r="K799" s="5" t="s">
        <v>7120</v>
      </c>
      <c r="L799" s="11">
        <v>1</v>
      </c>
      <c r="M799" s="5" t="s">
        <v>156</v>
      </c>
    </row>
    <row r="800" spans="2:13" ht="37.5" customHeight="1" x14ac:dyDescent="0.35">
      <c r="B800" s="12">
        <v>48</v>
      </c>
      <c r="C800" s="7" t="s">
        <v>6810</v>
      </c>
      <c r="D800" s="12">
        <v>116</v>
      </c>
      <c r="E800" s="7" t="s">
        <v>7222</v>
      </c>
      <c r="F800" s="7" t="s">
        <v>7223</v>
      </c>
      <c r="G800" s="7" t="s">
        <v>6090</v>
      </c>
      <c r="H800" s="7" t="s">
        <v>36</v>
      </c>
      <c r="I800" s="7" t="s">
        <v>48</v>
      </c>
      <c r="J800" s="7" t="s">
        <v>7044</v>
      </c>
      <c r="K800" s="7" t="s">
        <v>7120</v>
      </c>
      <c r="L800" s="12">
        <v>1</v>
      </c>
      <c r="M800" s="7" t="s">
        <v>156</v>
      </c>
    </row>
    <row r="801" spans="2:13" ht="37.5" customHeight="1" x14ac:dyDescent="0.35">
      <c r="B801" s="11">
        <v>48</v>
      </c>
      <c r="C801" s="5" t="s">
        <v>6810</v>
      </c>
      <c r="D801" s="11">
        <v>117</v>
      </c>
      <c r="E801" s="5" t="s">
        <v>7224</v>
      </c>
      <c r="F801" s="5" t="s">
        <v>7225</v>
      </c>
      <c r="G801" s="5" t="s">
        <v>939</v>
      </c>
      <c r="H801" s="5" t="s">
        <v>36</v>
      </c>
      <c r="I801" s="5" t="s">
        <v>1885</v>
      </c>
      <c r="J801" s="5" t="s">
        <v>7044</v>
      </c>
      <c r="K801" s="5" t="s">
        <v>7045</v>
      </c>
      <c r="L801" s="11">
        <v>1</v>
      </c>
      <c r="M801" s="5" t="s">
        <v>156</v>
      </c>
    </row>
    <row r="802" spans="2:13" ht="52.5" customHeight="1" x14ac:dyDescent="0.35">
      <c r="B802" s="12">
        <v>48</v>
      </c>
      <c r="C802" s="7" t="s">
        <v>6810</v>
      </c>
      <c r="D802" s="12">
        <v>118</v>
      </c>
      <c r="E802" s="7" t="s">
        <v>7226</v>
      </c>
      <c r="F802" s="7" t="s">
        <v>7227</v>
      </c>
      <c r="G802" s="7" t="s">
        <v>831</v>
      </c>
      <c r="H802" s="7" t="s">
        <v>6901</v>
      </c>
      <c r="I802" s="7" t="s">
        <v>7228</v>
      </c>
      <c r="J802" s="7" t="s">
        <v>7086</v>
      </c>
      <c r="K802" s="7" t="s">
        <v>7229</v>
      </c>
      <c r="L802" s="12">
        <v>3</v>
      </c>
      <c r="M802" s="7" t="s">
        <v>156</v>
      </c>
    </row>
    <row r="803" spans="2:13" ht="21.75" customHeight="1" x14ac:dyDescent="0.35">
      <c r="B803" s="11">
        <v>48</v>
      </c>
      <c r="C803" s="5" t="s">
        <v>6810</v>
      </c>
      <c r="D803" s="11">
        <v>119</v>
      </c>
      <c r="E803" s="5" t="s">
        <v>7230</v>
      </c>
      <c r="F803" s="5" t="s">
        <v>7231</v>
      </c>
      <c r="G803" s="5" t="s">
        <v>6211</v>
      </c>
      <c r="H803" s="5" t="s">
        <v>39</v>
      </c>
      <c r="I803" s="5" t="s">
        <v>227</v>
      </c>
      <c r="J803" s="5" t="s">
        <v>213</v>
      </c>
      <c r="K803" s="5" t="s">
        <v>7232</v>
      </c>
      <c r="L803" s="11">
        <v>1</v>
      </c>
      <c r="M803" s="5" t="s">
        <v>156</v>
      </c>
    </row>
    <row r="804" spans="2:13" ht="37.5" customHeight="1" x14ac:dyDescent="0.35">
      <c r="B804" s="12">
        <v>48</v>
      </c>
      <c r="C804" s="7" t="s">
        <v>6810</v>
      </c>
      <c r="D804" s="12">
        <v>120</v>
      </c>
      <c r="E804" s="7" t="s">
        <v>7233</v>
      </c>
      <c r="F804" s="7" t="s">
        <v>7234</v>
      </c>
      <c r="G804" s="7" t="s">
        <v>7235</v>
      </c>
      <c r="H804" s="7" t="s">
        <v>38</v>
      </c>
      <c r="I804" s="7" t="s">
        <v>268</v>
      </c>
      <c r="J804" s="7" t="s">
        <v>154</v>
      </c>
      <c r="K804" s="7" t="s">
        <v>7236</v>
      </c>
      <c r="L804" s="12">
        <v>1</v>
      </c>
      <c r="M804" s="7" t="s">
        <v>156</v>
      </c>
    </row>
    <row r="805" spans="2:13" ht="21.75" customHeight="1" x14ac:dyDescent="0.35">
      <c r="B805" s="11">
        <v>48</v>
      </c>
      <c r="C805" s="5" t="s">
        <v>6810</v>
      </c>
      <c r="D805" s="11">
        <v>121</v>
      </c>
      <c r="E805" s="5" t="s">
        <v>7237</v>
      </c>
      <c r="F805" s="5" t="s">
        <v>7238</v>
      </c>
      <c r="G805" s="5" t="s">
        <v>402</v>
      </c>
      <c r="H805" s="5" t="s">
        <v>37</v>
      </c>
      <c r="I805" s="5" t="s">
        <v>55</v>
      </c>
      <c r="J805" s="5" t="s">
        <v>7127</v>
      </c>
      <c r="K805" s="5" t="s">
        <v>7128</v>
      </c>
      <c r="L805" s="11">
        <v>1</v>
      </c>
      <c r="M805" s="5" t="s">
        <v>156</v>
      </c>
    </row>
    <row r="806" spans="2:13" ht="37.5" customHeight="1" x14ac:dyDescent="0.35">
      <c r="B806" s="12">
        <v>48</v>
      </c>
      <c r="C806" s="7" t="s">
        <v>6810</v>
      </c>
      <c r="D806" s="12">
        <v>122</v>
      </c>
      <c r="E806" s="7" t="s">
        <v>7239</v>
      </c>
      <c r="F806" s="7" t="s">
        <v>7240</v>
      </c>
      <c r="G806" s="7" t="s">
        <v>816</v>
      </c>
      <c r="H806" s="7" t="s">
        <v>37</v>
      </c>
      <c r="I806" s="7" t="s">
        <v>55</v>
      </c>
      <c r="J806" s="7" t="s">
        <v>7127</v>
      </c>
      <c r="K806" s="7" t="s">
        <v>7128</v>
      </c>
      <c r="L806" s="12">
        <v>1</v>
      </c>
      <c r="M806" s="7" t="s">
        <v>156</v>
      </c>
    </row>
    <row r="807" spans="2:13" ht="37.5" customHeight="1" x14ac:dyDescent="0.35">
      <c r="B807" s="11">
        <v>48</v>
      </c>
      <c r="C807" s="5" t="s">
        <v>6810</v>
      </c>
      <c r="D807" s="11">
        <v>123</v>
      </c>
      <c r="E807" s="5" t="s">
        <v>7241</v>
      </c>
      <c r="F807" s="5" t="s">
        <v>7242</v>
      </c>
      <c r="G807" s="5" t="s">
        <v>24</v>
      </c>
      <c r="H807" s="5" t="s">
        <v>36</v>
      </c>
      <c r="I807" s="5" t="s">
        <v>48</v>
      </c>
      <c r="J807" s="5" t="s">
        <v>7044</v>
      </c>
      <c r="K807" s="5" t="s">
        <v>7120</v>
      </c>
      <c r="L807" s="11">
        <v>1</v>
      </c>
      <c r="M807" s="5" t="s">
        <v>156</v>
      </c>
    </row>
    <row r="808" spans="2:13" ht="37.5" customHeight="1" x14ac:dyDescent="0.35">
      <c r="B808" s="12">
        <v>48</v>
      </c>
      <c r="C808" s="7" t="s">
        <v>6810</v>
      </c>
      <c r="D808" s="12">
        <v>124</v>
      </c>
      <c r="E808" s="7" t="s">
        <v>7243</v>
      </c>
      <c r="F808" s="7" t="s">
        <v>7244</v>
      </c>
      <c r="G808" s="7" t="s">
        <v>1622</v>
      </c>
      <c r="H808" s="7" t="s">
        <v>36</v>
      </c>
      <c r="I808" s="7" t="s">
        <v>48</v>
      </c>
      <c r="J808" s="7" t="s">
        <v>7044</v>
      </c>
      <c r="K808" s="7" t="s">
        <v>7120</v>
      </c>
      <c r="L808" s="12">
        <v>1</v>
      </c>
      <c r="M808" s="7" t="s">
        <v>156</v>
      </c>
    </row>
    <row r="809" spans="2:13" ht="21.75" customHeight="1" x14ac:dyDescent="0.35">
      <c r="B809" s="11">
        <v>48</v>
      </c>
      <c r="C809" s="5" t="s">
        <v>6810</v>
      </c>
      <c r="D809" s="11">
        <v>125</v>
      </c>
      <c r="E809" s="5" t="s">
        <v>7245</v>
      </c>
      <c r="F809" s="5" t="s">
        <v>7246</v>
      </c>
      <c r="G809" s="5" t="s">
        <v>531</v>
      </c>
      <c r="H809" s="5" t="s">
        <v>36</v>
      </c>
      <c r="I809" s="5" t="s">
        <v>48</v>
      </c>
      <c r="J809" s="5" t="s">
        <v>7044</v>
      </c>
      <c r="K809" s="5" t="s">
        <v>7120</v>
      </c>
      <c r="L809" s="11">
        <v>1</v>
      </c>
      <c r="M809" s="5" t="s">
        <v>156</v>
      </c>
    </row>
    <row r="810" spans="2:13" ht="52.5" customHeight="1" x14ac:dyDescent="0.35">
      <c r="B810" s="12">
        <v>48</v>
      </c>
      <c r="C810" s="7" t="s">
        <v>6810</v>
      </c>
      <c r="D810" s="12">
        <v>126</v>
      </c>
      <c r="E810" s="7" t="s">
        <v>7247</v>
      </c>
      <c r="F810" s="7" t="s">
        <v>7248</v>
      </c>
      <c r="G810" s="7" t="s">
        <v>25</v>
      </c>
      <c r="H810" s="7" t="s">
        <v>7249</v>
      </c>
      <c r="I810" s="7" t="s">
        <v>7250</v>
      </c>
      <c r="J810" s="7" t="s">
        <v>7251</v>
      </c>
      <c r="K810" s="7" t="s">
        <v>7252</v>
      </c>
      <c r="L810" s="12">
        <v>3</v>
      </c>
      <c r="M810" s="7" t="s">
        <v>156</v>
      </c>
    </row>
    <row r="811" spans="2:13" ht="21.75" customHeight="1" x14ac:dyDescent="0.35">
      <c r="B811" s="11">
        <v>48</v>
      </c>
      <c r="C811" s="5" t="s">
        <v>6810</v>
      </c>
      <c r="D811" s="11">
        <v>127</v>
      </c>
      <c r="E811" s="5" t="s">
        <v>7253</v>
      </c>
      <c r="F811" s="5" t="s">
        <v>7254</v>
      </c>
      <c r="G811" s="5" t="s">
        <v>1373</v>
      </c>
      <c r="H811" s="5" t="s">
        <v>37</v>
      </c>
      <c r="I811" s="5" t="s">
        <v>55</v>
      </c>
      <c r="J811" s="5" t="s">
        <v>7127</v>
      </c>
      <c r="K811" s="5" t="s">
        <v>7128</v>
      </c>
      <c r="L811" s="11">
        <v>1</v>
      </c>
      <c r="M811" s="5" t="s">
        <v>156</v>
      </c>
    </row>
    <row r="812" spans="2:13" ht="37.5" customHeight="1" x14ac:dyDescent="0.35">
      <c r="B812" s="12">
        <v>48</v>
      </c>
      <c r="C812" s="7" t="s">
        <v>6810</v>
      </c>
      <c r="D812" s="12">
        <v>128</v>
      </c>
      <c r="E812" s="7" t="s">
        <v>7255</v>
      </c>
      <c r="F812" s="7" t="s">
        <v>7256</v>
      </c>
      <c r="G812" s="7" t="s">
        <v>1685</v>
      </c>
      <c r="H812" s="7" t="s">
        <v>36</v>
      </c>
      <c r="I812" s="7" t="s">
        <v>48</v>
      </c>
      <c r="J812" s="7" t="s">
        <v>7044</v>
      </c>
      <c r="K812" s="7" t="s">
        <v>7120</v>
      </c>
      <c r="L812" s="12">
        <v>1</v>
      </c>
      <c r="M812" s="7" t="s">
        <v>156</v>
      </c>
    </row>
    <row r="813" spans="2:13" ht="21.75" customHeight="1" x14ac:dyDescent="0.35">
      <c r="B813" s="11">
        <v>48</v>
      </c>
      <c r="C813" s="5" t="s">
        <v>6810</v>
      </c>
      <c r="D813" s="11">
        <v>129</v>
      </c>
      <c r="E813" s="5" t="s">
        <v>7257</v>
      </c>
      <c r="F813" s="5" t="s">
        <v>7258</v>
      </c>
      <c r="G813" s="5" t="s">
        <v>845</v>
      </c>
      <c r="H813" s="5" t="s">
        <v>36</v>
      </c>
      <c r="I813" s="5" t="s">
        <v>48</v>
      </c>
      <c r="J813" s="5" t="s">
        <v>7044</v>
      </c>
      <c r="K813" s="5" t="s">
        <v>7120</v>
      </c>
      <c r="L813" s="11">
        <v>1</v>
      </c>
      <c r="M813" s="5" t="s">
        <v>156</v>
      </c>
    </row>
    <row r="814" spans="2:13" ht="37.5" customHeight="1" x14ac:dyDescent="0.35">
      <c r="B814" s="12">
        <v>48</v>
      </c>
      <c r="C814" s="7" t="s">
        <v>6810</v>
      </c>
      <c r="D814" s="12">
        <v>130</v>
      </c>
      <c r="E814" s="7" t="s">
        <v>7259</v>
      </c>
      <c r="F814" s="7" t="s">
        <v>7260</v>
      </c>
      <c r="G814" s="7" t="s">
        <v>1692</v>
      </c>
      <c r="H814" s="7" t="s">
        <v>1521</v>
      </c>
      <c r="I814" s="7" t="s">
        <v>5310</v>
      </c>
      <c r="J814" s="7" t="s">
        <v>7090</v>
      </c>
      <c r="K814" s="7" t="s">
        <v>7109</v>
      </c>
      <c r="L814" s="12">
        <v>2</v>
      </c>
      <c r="M814" s="7" t="s">
        <v>156</v>
      </c>
    </row>
    <row r="815" spans="2:13" ht="37.5" customHeight="1" x14ac:dyDescent="0.35">
      <c r="B815" s="11">
        <v>48</v>
      </c>
      <c r="C815" s="5" t="s">
        <v>6810</v>
      </c>
      <c r="D815" s="11">
        <v>131</v>
      </c>
      <c r="E815" s="5" t="s">
        <v>7261</v>
      </c>
      <c r="F815" s="5" t="s">
        <v>7262</v>
      </c>
      <c r="G815" s="5" t="s">
        <v>192</v>
      </c>
      <c r="H815" s="5" t="s">
        <v>36</v>
      </c>
      <c r="I815" s="5" t="s">
        <v>48</v>
      </c>
      <c r="J815" s="5" t="s">
        <v>177</v>
      </c>
      <c r="K815" s="5" t="s">
        <v>4570</v>
      </c>
      <c r="L815" s="11">
        <v>1</v>
      </c>
      <c r="M815" s="5" t="s">
        <v>156</v>
      </c>
    </row>
    <row r="816" spans="2:13" ht="21.75" customHeight="1" x14ac:dyDescent="0.35">
      <c r="B816" s="12">
        <v>48</v>
      </c>
      <c r="C816" s="7" t="s">
        <v>6810</v>
      </c>
      <c r="D816" s="12">
        <v>132</v>
      </c>
      <c r="E816" s="7" t="s">
        <v>7263</v>
      </c>
      <c r="F816" s="7" t="s">
        <v>7264</v>
      </c>
      <c r="G816" s="7" t="s">
        <v>1713</v>
      </c>
      <c r="H816" s="7" t="s">
        <v>36</v>
      </c>
      <c r="I816" s="7" t="s">
        <v>5409</v>
      </c>
      <c r="J816" s="7" t="s">
        <v>7044</v>
      </c>
      <c r="K816" s="7" t="s">
        <v>7265</v>
      </c>
      <c r="L816" s="12">
        <v>1</v>
      </c>
      <c r="M816" s="7" t="s">
        <v>156</v>
      </c>
    </row>
    <row r="817" spans="2:13" ht="37.5" customHeight="1" x14ac:dyDescent="0.35">
      <c r="B817" s="11">
        <v>48</v>
      </c>
      <c r="C817" s="5" t="s">
        <v>6810</v>
      </c>
      <c r="D817" s="11">
        <v>133</v>
      </c>
      <c r="E817" s="5" t="s">
        <v>7266</v>
      </c>
      <c r="F817" s="5" t="s">
        <v>7267</v>
      </c>
      <c r="G817" s="5" t="s">
        <v>7268</v>
      </c>
      <c r="H817" s="5" t="s">
        <v>5142</v>
      </c>
      <c r="I817" s="5" t="s">
        <v>5143</v>
      </c>
      <c r="J817" s="5" t="s">
        <v>240</v>
      </c>
      <c r="K817" s="5" t="s">
        <v>7269</v>
      </c>
      <c r="L817" s="11">
        <v>2</v>
      </c>
      <c r="M817" s="5" t="s">
        <v>156</v>
      </c>
    </row>
    <row r="818" spans="2:13" ht="37.5" customHeight="1" x14ac:dyDescent="0.35">
      <c r="B818" s="12">
        <v>48</v>
      </c>
      <c r="C818" s="7" t="s">
        <v>6810</v>
      </c>
      <c r="D818" s="12">
        <v>134</v>
      </c>
      <c r="E818" s="7" t="s">
        <v>7270</v>
      </c>
      <c r="F818" s="7" t="s">
        <v>7271</v>
      </c>
      <c r="G818" s="7" t="s">
        <v>736</v>
      </c>
      <c r="H818" s="7" t="s">
        <v>37</v>
      </c>
      <c r="I818" s="7" t="s">
        <v>55</v>
      </c>
      <c r="J818" s="7" t="s">
        <v>7127</v>
      </c>
      <c r="K818" s="7" t="s">
        <v>7128</v>
      </c>
      <c r="L818" s="12">
        <v>1</v>
      </c>
      <c r="M818" s="7" t="s">
        <v>156</v>
      </c>
    </row>
    <row r="819" spans="2:13" ht="21.75" customHeight="1" x14ac:dyDescent="0.35">
      <c r="B819" s="11">
        <v>48</v>
      </c>
      <c r="C819" s="5" t="s">
        <v>6810</v>
      </c>
      <c r="D819" s="11">
        <v>135</v>
      </c>
      <c r="E819" s="5" t="s">
        <v>7272</v>
      </c>
      <c r="F819" s="5" t="s">
        <v>7273</v>
      </c>
      <c r="G819" s="5" t="s">
        <v>26</v>
      </c>
      <c r="H819" s="5" t="s">
        <v>38</v>
      </c>
      <c r="I819" s="5" t="s">
        <v>49</v>
      </c>
      <c r="J819" s="5" t="s">
        <v>213</v>
      </c>
      <c r="K819" s="5" t="s">
        <v>6311</v>
      </c>
      <c r="L819" s="11">
        <v>1</v>
      </c>
      <c r="M819" s="5" t="s">
        <v>156</v>
      </c>
    </row>
    <row r="820" spans="2:13" ht="21.75" customHeight="1" x14ac:dyDescent="0.35">
      <c r="B820" s="12">
        <v>48</v>
      </c>
      <c r="C820" s="7" t="s">
        <v>6810</v>
      </c>
      <c r="D820" s="12">
        <v>136</v>
      </c>
      <c r="E820" s="7" t="s">
        <v>7274</v>
      </c>
      <c r="F820" s="7" t="s">
        <v>7275</v>
      </c>
      <c r="G820" s="7" t="s">
        <v>749</v>
      </c>
      <c r="H820" s="7" t="s">
        <v>36</v>
      </c>
      <c r="I820" s="7" t="s">
        <v>48</v>
      </c>
      <c r="J820" s="7" t="s">
        <v>7044</v>
      </c>
      <c r="K820" s="7" t="s">
        <v>7120</v>
      </c>
      <c r="L820" s="12">
        <v>1</v>
      </c>
      <c r="M820" s="7" t="s">
        <v>156</v>
      </c>
    </row>
    <row r="821" spans="2:13" ht="37.5" customHeight="1" x14ac:dyDescent="0.35">
      <c r="B821" s="11">
        <v>48</v>
      </c>
      <c r="C821" s="5" t="s">
        <v>6810</v>
      </c>
      <c r="D821" s="11">
        <v>137</v>
      </c>
      <c r="E821" s="5" t="s">
        <v>7276</v>
      </c>
      <c r="F821" s="5" t="s">
        <v>7277</v>
      </c>
      <c r="G821" s="5" t="s">
        <v>871</v>
      </c>
      <c r="H821" s="5" t="s">
        <v>39</v>
      </c>
      <c r="I821" s="5" t="s">
        <v>227</v>
      </c>
      <c r="J821" s="5" t="s">
        <v>194</v>
      </c>
      <c r="K821" s="5" t="s">
        <v>250</v>
      </c>
      <c r="L821" s="11">
        <v>1</v>
      </c>
      <c r="M821" s="5" t="s">
        <v>156</v>
      </c>
    </row>
    <row r="822" spans="2:13" ht="21.75" customHeight="1" x14ac:dyDescent="0.35">
      <c r="B822" s="12">
        <v>48</v>
      </c>
      <c r="C822" s="7" t="s">
        <v>6810</v>
      </c>
      <c r="D822" s="12">
        <v>138</v>
      </c>
      <c r="E822" s="7" t="s">
        <v>7278</v>
      </c>
      <c r="F822" s="7" t="s">
        <v>7279</v>
      </c>
      <c r="G822" s="7" t="s">
        <v>4634</v>
      </c>
      <c r="H822" s="7" t="s">
        <v>37</v>
      </c>
      <c r="I822" s="7" t="s">
        <v>55</v>
      </c>
      <c r="J822" s="7" t="s">
        <v>7127</v>
      </c>
      <c r="K822" s="7" t="s">
        <v>7128</v>
      </c>
      <c r="L822" s="12">
        <v>1</v>
      </c>
      <c r="M822" s="7" t="s">
        <v>156</v>
      </c>
    </row>
    <row r="823" spans="2:13" ht="21.75" customHeight="1" x14ac:dyDescent="0.35">
      <c r="B823" s="11">
        <v>48</v>
      </c>
      <c r="C823" s="5" t="s">
        <v>6810</v>
      </c>
      <c r="D823" s="11">
        <v>139</v>
      </c>
      <c r="E823" s="5" t="s">
        <v>7280</v>
      </c>
      <c r="F823" s="5" t="s">
        <v>7281</v>
      </c>
      <c r="G823" s="5" t="s">
        <v>285</v>
      </c>
      <c r="H823" s="5" t="s">
        <v>37</v>
      </c>
      <c r="I823" s="5" t="s">
        <v>55</v>
      </c>
      <c r="J823" s="5" t="s">
        <v>7127</v>
      </c>
      <c r="K823" s="5" t="s">
        <v>7128</v>
      </c>
      <c r="L823" s="11">
        <v>1</v>
      </c>
      <c r="M823" s="5" t="s">
        <v>156</v>
      </c>
    </row>
    <row r="824" spans="2:13" ht="21.75" customHeight="1" x14ac:dyDescent="0.35">
      <c r="B824" s="12">
        <v>48</v>
      </c>
      <c r="C824" s="7" t="s">
        <v>6810</v>
      </c>
      <c r="D824" s="12">
        <v>140</v>
      </c>
      <c r="E824" s="7" t="s">
        <v>7282</v>
      </c>
      <c r="F824" s="7" t="s">
        <v>7283</v>
      </c>
      <c r="G824" s="7" t="s">
        <v>6230</v>
      </c>
      <c r="H824" s="7" t="s">
        <v>37</v>
      </c>
      <c r="I824" s="7" t="s">
        <v>55</v>
      </c>
      <c r="J824" s="7" t="s">
        <v>7127</v>
      </c>
      <c r="K824" s="7" t="s">
        <v>7128</v>
      </c>
      <c r="L824" s="12">
        <v>1</v>
      </c>
      <c r="M824" s="7" t="s">
        <v>156</v>
      </c>
    </row>
    <row r="825" spans="2:13" ht="21.75" customHeight="1" x14ac:dyDescent="0.35">
      <c r="B825" s="11">
        <v>48</v>
      </c>
      <c r="C825" s="5" t="s">
        <v>6810</v>
      </c>
      <c r="D825" s="11">
        <v>141</v>
      </c>
      <c r="E825" s="5" t="s">
        <v>7284</v>
      </c>
      <c r="F825" s="5" t="s">
        <v>7285</v>
      </c>
      <c r="G825" s="5" t="s">
        <v>921</v>
      </c>
      <c r="H825" s="5" t="s">
        <v>37</v>
      </c>
      <c r="I825" s="5" t="s">
        <v>55</v>
      </c>
      <c r="J825" s="5" t="s">
        <v>7127</v>
      </c>
      <c r="K825" s="5" t="s">
        <v>7128</v>
      </c>
      <c r="L825" s="11">
        <v>1</v>
      </c>
      <c r="M825" s="5" t="s">
        <v>156</v>
      </c>
    </row>
    <row r="826" spans="2:13" ht="21.75" customHeight="1" x14ac:dyDescent="0.35">
      <c r="B826" s="12">
        <v>48</v>
      </c>
      <c r="C826" s="7" t="s">
        <v>6810</v>
      </c>
      <c r="D826" s="12">
        <v>142</v>
      </c>
      <c r="E826" s="7" t="s">
        <v>7286</v>
      </c>
      <c r="F826" s="7" t="s">
        <v>7287</v>
      </c>
      <c r="G826" s="7" t="s">
        <v>897</v>
      </c>
      <c r="H826" s="7" t="s">
        <v>36</v>
      </c>
      <c r="I826" s="7" t="s">
        <v>48</v>
      </c>
      <c r="J826" s="7" t="s">
        <v>177</v>
      </c>
      <c r="K826" s="7" t="s">
        <v>4570</v>
      </c>
      <c r="L826" s="12">
        <v>1</v>
      </c>
      <c r="M826" s="7" t="s">
        <v>156</v>
      </c>
    </row>
    <row r="827" spans="2:13" ht="37.5" customHeight="1" x14ac:dyDescent="0.35">
      <c r="B827" s="11">
        <v>48</v>
      </c>
      <c r="C827" s="5" t="s">
        <v>6810</v>
      </c>
      <c r="D827" s="11">
        <v>143</v>
      </c>
      <c r="E827" s="5" t="s">
        <v>7288</v>
      </c>
      <c r="F827" s="5" t="s">
        <v>7289</v>
      </c>
      <c r="G827" s="5" t="s">
        <v>1784</v>
      </c>
      <c r="H827" s="5" t="s">
        <v>6394</v>
      </c>
      <c r="I827" s="5" t="s">
        <v>6922</v>
      </c>
      <c r="J827" s="5" t="s">
        <v>7290</v>
      </c>
      <c r="K827" s="5" t="s">
        <v>7291</v>
      </c>
      <c r="L827" s="11">
        <v>2</v>
      </c>
      <c r="M827" s="5" t="s">
        <v>156</v>
      </c>
    </row>
    <row r="828" spans="2:13" ht="37.5" customHeight="1" x14ac:dyDescent="0.35">
      <c r="B828" s="12">
        <v>48</v>
      </c>
      <c r="C828" s="7" t="s">
        <v>6810</v>
      </c>
      <c r="D828" s="12">
        <v>144</v>
      </c>
      <c r="E828" s="7" t="s">
        <v>7292</v>
      </c>
      <c r="F828" s="7" t="s">
        <v>7293</v>
      </c>
      <c r="G828" s="7" t="s">
        <v>185</v>
      </c>
      <c r="H828" s="7" t="s">
        <v>306</v>
      </c>
      <c r="I828" s="7" t="s">
        <v>5332</v>
      </c>
      <c r="J828" s="7" t="s">
        <v>7135</v>
      </c>
      <c r="K828" s="7" t="s">
        <v>7136</v>
      </c>
      <c r="L828" s="12">
        <v>2</v>
      </c>
      <c r="M828" s="7" t="s">
        <v>156</v>
      </c>
    </row>
    <row r="829" spans="2:13" ht="37.5" customHeight="1" x14ac:dyDescent="0.35">
      <c r="B829" s="11">
        <v>48</v>
      </c>
      <c r="C829" s="5" t="s">
        <v>6810</v>
      </c>
      <c r="D829" s="11">
        <v>145</v>
      </c>
      <c r="E829" s="5" t="s">
        <v>7294</v>
      </c>
      <c r="F829" s="5" t="s">
        <v>7295</v>
      </c>
      <c r="G829" s="5" t="s">
        <v>7296</v>
      </c>
      <c r="H829" s="5" t="s">
        <v>7297</v>
      </c>
      <c r="I829" s="5" t="s">
        <v>5225</v>
      </c>
      <c r="J829" s="5" t="s">
        <v>7148</v>
      </c>
      <c r="K829" s="5" t="s">
        <v>7298</v>
      </c>
      <c r="L829" s="11">
        <v>2</v>
      </c>
      <c r="M829" s="5" t="s">
        <v>156</v>
      </c>
    </row>
    <row r="830" spans="2:13" ht="21.75" customHeight="1" x14ac:dyDescent="0.35">
      <c r="B830" s="12">
        <v>48</v>
      </c>
      <c r="C830" s="7" t="s">
        <v>6810</v>
      </c>
      <c r="D830" s="12">
        <v>146</v>
      </c>
      <c r="E830" s="7" t="s">
        <v>7299</v>
      </c>
      <c r="F830" s="7" t="s">
        <v>7300</v>
      </c>
      <c r="G830" s="7" t="s">
        <v>1829</v>
      </c>
      <c r="H830" s="7" t="s">
        <v>37</v>
      </c>
      <c r="I830" s="7" t="s">
        <v>55</v>
      </c>
      <c r="J830" s="7" t="s">
        <v>7127</v>
      </c>
      <c r="K830" s="7" t="s">
        <v>7128</v>
      </c>
      <c r="L830" s="12">
        <v>1</v>
      </c>
      <c r="M830" s="7" t="s">
        <v>156</v>
      </c>
    </row>
    <row r="831" spans="2:13" ht="37.5" customHeight="1" x14ac:dyDescent="0.35">
      <c r="B831" s="11">
        <v>48</v>
      </c>
      <c r="C831" s="5" t="s">
        <v>6810</v>
      </c>
      <c r="D831" s="11">
        <v>147</v>
      </c>
      <c r="E831" s="5" t="s">
        <v>7301</v>
      </c>
      <c r="F831" s="5" t="s">
        <v>7302</v>
      </c>
      <c r="G831" s="5" t="s">
        <v>573</v>
      </c>
      <c r="H831" s="5" t="s">
        <v>1355</v>
      </c>
      <c r="I831" s="5" t="s">
        <v>7303</v>
      </c>
      <c r="J831" s="5" t="s">
        <v>6928</v>
      </c>
      <c r="K831" s="5" t="s">
        <v>7304</v>
      </c>
      <c r="L831" s="11">
        <v>2</v>
      </c>
      <c r="M831" s="5" t="s">
        <v>156</v>
      </c>
    </row>
    <row r="832" spans="2:13" ht="37.5" customHeight="1" x14ac:dyDescent="0.35">
      <c r="B832" s="12">
        <v>48</v>
      </c>
      <c r="C832" s="7" t="s">
        <v>6810</v>
      </c>
      <c r="D832" s="12">
        <v>148</v>
      </c>
      <c r="E832" s="7" t="s">
        <v>7305</v>
      </c>
      <c r="F832" s="7" t="s">
        <v>7306</v>
      </c>
      <c r="G832" s="7" t="s">
        <v>842</v>
      </c>
      <c r="H832" s="7" t="s">
        <v>36</v>
      </c>
      <c r="I832" s="7" t="s">
        <v>48</v>
      </c>
      <c r="J832" s="7" t="s">
        <v>7044</v>
      </c>
      <c r="K832" s="7" t="s">
        <v>7120</v>
      </c>
      <c r="L832" s="12">
        <v>1</v>
      </c>
      <c r="M832" s="7" t="s">
        <v>156</v>
      </c>
    </row>
    <row r="833" spans="2:13" ht="21.75" customHeight="1" x14ac:dyDescent="0.35">
      <c r="B833" s="11">
        <v>48</v>
      </c>
      <c r="C833" s="5" t="s">
        <v>6810</v>
      </c>
      <c r="D833" s="11">
        <v>149</v>
      </c>
      <c r="E833" s="5" t="s">
        <v>7307</v>
      </c>
      <c r="F833" s="5" t="s">
        <v>7308</v>
      </c>
      <c r="G833" s="5" t="s">
        <v>7309</v>
      </c>
      <c r="H833" s="5" t="s">
        <v>36</v>
      </c>
      <c r="I833" s="5" t="s">
        <v>48</v>
      </c>
      <c r="J833" s="5" t="s">
        <v>7044</v>
      </c>
      <c r="K833" s="5" t="s">
        <v>7120</v>
      </c>
      <c r="L833" s="11">
        <v>1</v>
      </c>
      <c r="M833" s="5" t="s">
        <v>156</v>
      </c>
    </row>
    <row r="834" spans="2:13" ht="37.5" customHeight="1" x14ac:dyDescent="0.35">
      <c r="B834" s="12">
        <v>48</v>
      </c>
      <c r="C834" s="7" t="s">
        <v>6810</v>
      </c>
      <c r="D834" s="12">
        <v>150</v>
      </c>
      <c r="E834" s="7" t="s">
        <v>7310</v>
      </c>
      <c r="F834" s="7" t="s">
        <v>7311</v>
      </c>
      <c r="G834" s="7" t="s">
        <v>7312</v>
      </c>
      <c r="H834" s="7" t="s">
        <v>36</v>
      </c>
      <c r="I834" s="7" t="s">
        <v>48</v>
      </c>
      <c r="J834" s="7" t="s">
        <v>7044</v>
      </c>
      <c r="K834" s="7" t="s">
        <v>7120</v>
      </c>
      <c r="L834" s="12">
        <v>1</v>
      </c>
      <c r="M834" s="7" t="s">
        <v>156</v>
      </c>
    </row>
    <row r="835" spans="2:13" ht="37.5" customHeight="1" x14ac:dyDescent="0.35">
      <c r="B835" s="11">
        <v>48</v>
      </c>
      <c r="C835" s="5" t="s">
        <v>6810</v>
      </c>
      <c r="D835" s="11">
        <v>151</v>
      </c>
      <c r="E835" s="5" t="s">
        <v>7313</v>
      </c>
      <c r="F835" s="5" t="s">
        <v>7314</v>
      </c>
      <c r="G835" s="5" t="s">
        <v>439</v>
      </c>
      <c r="H835" s="5" t="s">
        <v>38</v>
      </c>
      <c r="I835" s="5" t="s">
        <v>268</v>
      </c>
      <c r="J835" s="5" t="s">
        <v>269</v>
      </c>
      <c r="K835" s="5" t="s">
        <v>270</v>
      </c>
      <c r="L835" s="11">
        <v>1</v>
      </c>
      <c r="M835" s="5" t="s">
        <v>156</v>
      </c>
    </row>
    <row r="836" spans="2:13" ht="37.5" customHeight="1" x14ac:dyDescent="0.35">
      <c r="B836" s="12">
        <v>48</v>
      </c>
      <c r="C836" s="7" t="s">
        <v>6810</v>
      </c>
      <c r="D836" s="12">
        <v>152</v>
      </c>
      <c r="E836" s="7" t="s">
        <v>7315</v>
      </c>
      <c r="F836" s="7" t="s">
        <v>7316</v>
      </c>
      <c r="G836" s="7" t="s">
        <v>1742</v>
      </c>
      <c r="H836" s="7" t="s">
        <v>36</v>
      </c>
      <c r="I836" s="7" t="s">
        <v>48</v>
      </c>
      <c r="J836" s="7" t="s">
        <v>7044</v>
      </c>
      <c r="K836" s="7" t="s">
        <v>7120</v>
      </c>
      <c r="L836" s="12">
        <v>1</v>
      </c>
      <c r="M836" s="7" t="s">
        <v>156</v>
      </c>
    </row>
    <row r="837" spans="2:13" ht="21.75" customHeight="1" x14ac:dyDescent="0.35">
      <c r="B837" s="11">
        <v>48</v>
      </c>
      <c r="C837" s="5" t="s">
        <v>6810</v>
      </c>
      <c r="D837" s="11">
        <v>153</v>
      </c>
      <c r="E837" s="5" t="s">
        <v>7317</v>
      </c>
      <c r="F837" s="5" t="s">
        <v>7318</v>
      </c>
      <c r="G837" s="5" t="s">
        <v>877</v>
      </c>
      <c r="H837" s="5" t="s">
        <v>38</v>
      </c>
      <c r="I837" s="5" t="s">
        <v>268</v>
      </c>
      <c r="J837" s="5" t="s">
        <v>269</v>
      </c>
      <c r="K837" s="5" t="s">
        <v>270</v>
      </c>
      <c r="L837" s="11">
        <v>1</v>
      </c>
      <c r="M837" s="5" t="s">
        <v>156</v>
      </c>
    </row>
    <row r="838" spans="2:13" ht="37.5" customHeight="1" x14ac:dyDescent="0.35">
      <c r="B838" s="12">
        <v>48</v>
      </c>
      <c r="C838" s="7" t="s">
        <v>6810</v>
      </c>
      <c r="D838" s="12">
        <v>154</v>
      </c>
      <c r="E838" s="7" t="s">
        <v>7319</v>
      </c>
      <c r="F838" s="7" t="s">
        <v>7320</v>
      </c>
      <c r="G838" s="7" t="s">
        <v>7083</v>
      </c>
      <c r="H838" s="7" t="s">
        <v>36</v>
      </c>
      <c r="I838" s="7" t="s">
        <v>48</v>
      </c>
      <c r="J838" s="7" t="s">
        <v>7044</v>
      </c>
      <c r="K838" s="7" t="s">
        <v>7120</v>
      </c>
      <c r="L838" s="12">
        <v>1</v>
      </c>
      <c r="M838" s="7" t="s">
        <v>156</v>
      </c>
    </row>
    <row r="839" spans="2:13" ht="21.75" customHeight="1" x14ac:dyDescent="0.35">
      <c r="B839" s="11">
        <v>48</v>
      </c>
      <c r="C839" s="5" t="s">
        <v>6810</v>
      </c>
      <c r="D839" s="11">
        <v>155</v>
      </c>
      <c r="E839" s="5" t="s">
        <v>7321</v>
      </c>
      <c r="F839" s="5" t="s">
        <v>7322</v>
      </c>
      <c r="G839" s="5" t="s">
        <v>810</v>
      </c>
      <c r="H839" s="5" t="s">
        <v>37</v>
      </c>
      <c r="I839" s="5" t="s">
        <v>55</v>
      </c>
      <c r="J839" s="5" t="s">
        <v>7178</v>
      </c>
      <c r="K839" s="5" t="s">
        <v>7179</v>
      </c>
      <c r="L839" s="11">
        <v>1</v>
      </c>
      <c r="M839" s="5" t="s">
        <v>156</v>
      </c>
    </row>
    <row r="840" spans="2:13" ht="21.75" customHeight="1" x14ac:dyDescent="0.35">
      <c r="B840" s="12">
        <v>48</v>
      </c>
      <c r="C840" s="7" t="s">
        <v>6810</v>
      </c>
      <c r="D840" s="12">
        <v>156</v>
      </c>
      <c r="E840" s="7" t="s">
        <v>7323</v>
      </c>
      <c r="F840" s="7" t="s">
        <v>7324</v>
      </c>
      <c r="G840" s="7" t="s">
        <v>188</v>
      </c>
      <c r="H840" s="7" t="s">
        <v>38</v>
      </c>
      <c r="I840" s="7" t="s">
        <v>268</v>
      </c>
      <c r="J840" s="7" t="s">
        <v>269</v>
      </c>
      <c r="K840" s="7" t="s">
        <v>270</v>
      </c>
      <c r="L840" s="12">
        <v>1</v>
      </c>
      <c r="M840" s="7" t="s">
        <v>156</v>
      </c>
    </row>
    <row r="841" spans="2:13" ht="21.75" customHeight="1" x14ac:dyDescent="0.35">
      <c r="B841" s="11">
        <v>48</v>
      </c>
      <c r="C841" s="5" t="s">
        <v>6810</v>
      </c>
      <c r="D841" s="11">
        <v>157</v>
      </c>
      <c r="E841" s="5" t="s">
        <v>7325</v>
      </c>
      <c r="F841" s="5" t="s">
        <v>7326</v>
      </c>
      <c r="G841" s="5" t="s">
        <v>3065</v>
      </c>
      <c r="H841" s="5" t="s">
        <v>44</v>
      </c>
      <c r="I841" s="5" t="s">
        <v>49</v>
      </c>
      <c r="J841" s="5" t="s">
        <v>213</v>
      </c>
      <c r="K841" s="5" t="s">
        <v>6308</v>
      </c>
      <c r="L841" s="11">
        <v>1</v>
      </c>
      <c r="M841" s="5" t="s">
        <v>156</v>
      </c>
    </row>
    <row r="842" spans="2:13" ht="37.5" customHeight="1" x14ac:dyDescent="0.35">
      <c r="B842" s="12">
        <v>48</v>
      </c>
      <c r="C842" s="7" t="s">
        <v>6810</v>
      </c>
      <c r="D842" s="12">
        <v>158</v>
      </c>
      <c r="E842" s="7" t="s">
        <v>7327</v>
      </c>
      <c r="F842" s="7" t="s">
        <v>7328</v>
      </c>
      <c r="G842" s="7" t="s">
        <v>185</v>
      </c>
      <c r="H842" s="7" t="s">
        <v>38</v>
      </c>
      <c r="I842" s="7" t="s">
        <v>268</v>
      </c>
      <c r="J842" s="7" t="s">
        <v>7329</v>
      </c>
      <c r="K842" s="7" t="s">
        <v>7330</v>
      </c>
      <c r="L842" s="12">
        <v>1</v>
      </c>
      <c r="M842" s="7" t="s">
        <v>156</v>
      </c>
    </row>
    <row r="843" spans="2:13" ht="97.5" customHeight="1" x14ac:dyDescent="0.35">
      <c r="B843" s="11">
        <v>49</v>
      </c>
      <c r="C843" s="5" t="s">
        <v>7331</v>
      </c>
      <c r="D843" s="11">
        <v>1</v>
      </c>
      <c r="E843" s="5" t="s">
        <v>7332</v>
      </c>
      <c r="F843" s="5" t="s">
        <v>7333</v>
      </c>
      <c r="G843" s="5" t="s">
        <v>29</v>
      </c>
      <c r="H843" s="5" t="s">
        <v>7334</v>
      </c>
      <c r="I843" s="5" t="s">
        <v>7335</v>
      </c>
      <c r="J843" s="5" t="s">
        <v>7336</v>
      </c>
      <c r="K843" s="5" t="s">
        <v>7337</v>
      </c>
      <c r="L843" s="11">
        <v>4</v>
      </c>
      <c r="M843" s="5" t="s">
        <v>156</v>
      </c>
    </row>
    <row r="844" spans="2:13" ht="67.5" customHeight="1" x14ac:dyDescent="0.35">
      <c r="B844" s="12">
        <v>49</v>
      </c>
      <c r="C844" s="7" t="s">
        <v>7331</v>
      </c>
      <c r="D844" s="12">
        <v>2</v>
      </c>
      <c r="E844" s="7" t="s">
        <v>7338</v>
      </c>
      <c r="F844" s="7" t="s">
        <v>7339</v>
      </c>
      <c r="G844" s="7" t="s">
        <v>2405</v>
      </c>
      <c r="H844" s="7" t="s">
        <v>7340</v>
      </c>
      <c r="I844" s="7" t="s">
        <v>7341</v>
      </c>
      <c r="J844" s="7" t="s">
        <v>7342</v>
      </c>
      <c r="K844" s="7" t="s">
        <v>7343</v>
      </c>
      <c r="L844" s="12">
        <v>4</v>
      </c>
      <c r="M844" s="7" t="s">
        <v>156</v>
      </c>
    </row>
    <row r="845" spans="2:13" ht="37.5" customHeight="1" x14ac:dyDescent="0.35">
      <c r="B845" s="11">
        <v>49</v>
      </c>
      <c r="C845" s="5" t="s">
        <v>7331</v>
      </c>
      <c r="D845" s="11">
        <v>3</v>
      </c>
      <c r="E845" s="5" t="s">
        <v>7344</v>
      </c>
      <c r="F845" s="5" t="s">
        <v>7345</v>
      </c>
      <c r="G845" s="5" t="s">
        <v>188</v>
      </c>
      <c r="H845" s="5" t="s">
        <v>37</v>
      </c>
      <c r="I845" s="5" t="s">
        <v>55</v>
      </c>
      <c r="J845" s="5" t="s">
        <v>7127</v>
      </c>
      <c r="K845" s="5" t="s">
        <v>7128</v>
      </c>
      <c r="L845" s="11">
        <v>1</v>
      </c>
      <c r="M845" s="5" t="s">
        <v>156</v>
      </c>
    </row>
    <row r="846" spans="2:13" ht="37.5" customHeight="1" x14ac:dyDescent="0.35">
      <c r="B846" s="12">
        <v>49</v>
      </c>
      <c r="C846" s="7" t="s">
        <v>7331</v>
      </c>
      <c r="D846" s="12">
        <v>4</v>
      </c>
      <c r="E846" s="7" t="s">
        <v>7346</v>
      </c>
      <c r="F846" s="7" t="s">
        <v>7347</v>
      </c>
      <c r="G846" s="7" t="s">
        <v>573</v>
      </c>
      <c r="H846" s="7" t="s">
        <v>42</v>
      </c>
      <c r="I846" s="7" t="s">
        <v>7348</v>
      </c>
      <c r="J846" s="7" t="s">
        <v>1903</v>
      </c>
      <c r="K846" s="7" t="s">
        <v>7349</v>
      </c>
      <c r="L846" s="12">
        <v>1</v>
      </c>
      <c r="M846" s="7" t="s">
        <v>156</v>
      </c>
    </row>
    <row r="847" spans="2:13" ht="37.5" customHeight="1" x14ac:dyDescent="0.35">
      <c r="B847" s="11">
        <v>49</v>
      </c>
      <c r="C847" s="5" t="s">
        <v>7331</v>
      </c>
      <c r="D847" s="11">
        <v>5</v>
      </c>
      <c r="E847" s="5" t="s">
        <v>7350</v>
      </c>
      <c r="F847" s="5" t="s">
        <v>7351</v>
      </c>
      <c r="G847" s="5" t="s">
        <v>29</v>
      </c>
      <c r="H847" s="5" t="s">
        <v>7352</v>
      </c>
      <c r="I847" s="5" t="s">
        <v>7353</v>
      </c>
      <c r="J847" s="5" t="s">
        <v>7354</v>
      </c>
      <c r="K847" s="5" t="s">
        <v>7355</v>
      </c>
      <c r="L847" s="11">
        <v>2</v>
      </c>
      <c r="M847" s="5" t="s">
        <v>156</v>
      </c>
    </row>
    <row r="848" spans="2:13" ht="37.5" customHeight="1" x14ac:dyDescent="0.35">
      <c r="B848" s="12">
        <v>49</v>
      </c>
      <c r="C848" s="7" t="s">
        <v>7331</v>
      </c>
      <c r="D848" s="12">
        <v>6</v>
      </c>
      <c r="E848" s="7" t="s">
        <v>7356</v>
      </c>
      <c r="F848" s="7" t="s">
        <v>7357</v>
      </c>
      <c r="G848" s="7" t="s">
        <v>778</v>
      </c>
      <c r="H848" s="7" t="s">
        <v>1995</v>
      </c>
      <c r="I848" s="7" t="s">
        <v>5327</v>
      </c>
      <c r="J848" s="7" t="s">
        <v>7358</v>
      </c>
      <c r="K848" s="7" t="s">
        <v>7359</v>
      </c>
      <c r="L848" s="12">
        <v>2</v>
      </c>
      <c r="M848" s="7" t="s">
        <v>156</v>
      </c>
    </row>
    <row r="849" spans="2:13" ht="37.5" customHeight="1" x14ac:dyDescent="0.35">
      <c r="B849" s="11">
        <v>49</v>
      </c>
      <c r="C849" s="5" t="s">
        <v>7331</v>
      </c>
      <c r="D849" s="11">
        <v>7</v>
      </c>
      <c r="E849" s="5" t="s">
        <v>7360</v>
      </c>
      <c r="F849" s="5" t="s">
        <v>7361</v>
      </c>
      <c r="G849" s="5" t="s">
        <v>428</v>
      </c>
      <c r="H849" s="5" t="s">
        <v>4676</v>
      </c>
      <c r="I849" s="5" t="s">
        <v>49</v>
      </c>
      <c r="J849" s="5" t="s">
        <v>213</v>
      </c>
      <c r="K849" s="5" t="s">
        <v>7362</v>
      </c>
      <c r="L849" s="11">
        <v>1</v>
      </c>
      <c r="M849" s="5" t="s">
        <v>156</v>
      </c>
    </row>
    <row r="850" spans="2:13" ht="37.5" customHeight="1" x14ac:dyDescent="0.35">
      <c r="B850" s="12">
        <v>49</v>
      </c>
      <c r="C850" s="7" t="s">
        <v>7331</v>
      </c>
      <c r="D850" s="12">
        <v>8</v>
      </c>
      <c r="E850" s="7" t="s">
        <v>7363</v>
      </c>
      <c r="F850" s="7" t="s">
        <v>7364</v>
      </c>
      <c r="G850" s="7" t="s">
        <v>395</v>
      </c>
      <c r="H850" s="7" t="s">
        <v>37</v>
      </c>
      <c r="I850" s="7" t="s">
        <v>55</v>
      </c>
      <c r="J850" s="7" t="s">
        <v>7127</v>
      </c>
      <c r="K850" s="7" t="s">
        <v>7128</v>
      </c>
      <c r="L850" s="12">
        <v>1</v>
      </c>
      <c r="M850" s="7" t="s">
        <v>156</v>
      </c>
    </row>
    <row r="851" spans="2:13" ht="37.5" customHeight="1" x14ac:dyDescent="0.35">
      <c r="B851" s="11">
        <v>49</v>
      </c>
      <c r="C851" s="5" t="s">
        <v>7331</v>
      </c>
      <c r="D851" s="11">
        <v>9</v>
      </c>
      <c r="E851" s="5" t="s">
        <v>7365</v>
      </c>
      <c r="F851" s="5" t="s">
        <v>7366</v>
      </c>
      <c r="G851" s="5" t="s">
        <v>32</v>
      </c>
      <c r="H851" s="5" t="s">
        <v>37</v>
      </c>
      <c r="I851" s="5" t="s">
        <v>55</v>
      </c>
      <c r="J851" s="5" t="s">
        <v>7127</v>
      </c>
      <c r="K851" s="5" t="s">
        <v>7128</v>
      </c>
      <c r="L851" s="11">
        <v>1</v>
      </c>
      <c r="M851" s="5" t="s">
        <v>156</v>
      </c>
    </row>
    <row r="852" spans="2:13" ht="37.5" customHeight="1" x14ac:dyDescent="0.35">
      <c r="B852" s="12">
        <v>49</v>
      </c>
      <c r="C852" s="7" t="s">
        <v>7331</v>
      </c>
      <c r="D852" s="12">
        <v>10</v>
      </c>
      <c r="E852" s="7" t="s">
        <v>7367</v>
      </c>
      <c r="F852" s="7" t="s">
        <v>7368</v>
      </c>
      <c r="G852" s="7" t="s">
        <v>232</v>
      </c>
      <c r="H852" s="7" t="s">
        <v>37</v>
      </c>
      <c r="I852" s="7" t="s">
        <v>51</v>
      </c>
      <c r="J852" s="7" t="s">
        <v>7127</v>
      </c>
      <c r="K852" s="7" t="s">
        <v>7369</v>
      </c>
      <c r="L852" s="12">
        <v>1</v>
      </c>
      <c r="M852" s="7" t="s">
        <v>156</v>
      </c>
    </row>
    <row r="853" spans="2:13" ht="37.5" customHeight="1" x14ac:dyDescent="0.35">
      <c r="B853" s="11">
        <v>49</v>
      </c>
      <c r="C853" s="5" t="s">
        <v>7331</v>
      </c>
      <c r="D853" s="11">
        <v>11</v>
      </c>
      <c r="E853" s="5" t="s">
        <v>7370</v>
      </c>
      <c r="F853" s="5" t="s">
        <v>7371</v>
      </c>
      <c r="G853" s="5" t="s">
        <v>865</v>
      </c>
      <c r="H853" s="5" t="s">
        <v>37</v>
      </c>
      <c r="I853" s="5" t="s">
        <v>55</v>
      </c>
      <c r="J853" s="5" t="s">
        <v>7127</v>
      </c>
      <c r="K853" s="5" t="s">
        <v>7128</v>
      </c>
      <c r="L853" s="11">
        <v>1</v>
      </c>
      <c r="M853" s="5" t="s">
        <v>156</v>
      </c>
    </row>
    <row r="854" spans="2:13" ht="37.5" customHeight="1" x14ac:dyDescent="0.35">
      <c r="B854" s="12">
        <v>49</v>
      </c>
      <c r="C854" s="7" t="s">
        <v>7331</v>
      </c>
      <c r="D854" s="12">
        <v>12</v>
      </c>
      <c r="E854" s="7" t="s">
        <v>7372</v>
      </c>
      <c r="F854" s="7" t="s">
        <v>7373</v>
      </c>
      <c r="G854" s="7" t="s">
        <v>33</v>
      </c>
      <c r="H854" s="7" t="s">
        <v>5017</v>
      </c>
      <c r="I854" s="7" t="s">
        <v>7152</v>
      </c>
      <c r="J854" s="7" t="s">
        <v>7374</v>
      </c>
      <c r="K854" s="7" t="s">
        <v>7375</v>
      </c>
      <c r="L854" s="12">
        <v>2</v>
      </c>
      <c r="M854" s="7" t="s">
        <v>156</v>
      </c>
    </row>
    <row r="855" spans="2:13" ht="37.5" customHeight="1" x14ac:dyDescent="0.35">
      <c r="B855" s="11">
        <v>49</v>
      </c>
      <c r="C855" s="5" t="s">
        <v>7331</v>
      </c>
      <c r="D855" s="11">
        <v>13</v>
      </c>
      <c r="E855" s="5" t="s">
        <v>7376</v>
      </c>
      <c r="F855" s="5" t="s">
        <v>7377</v>
      </c>
      <c r="G855" s="5" t="s">
        <v>733</v>
      </c>
      <c r="H855" s="5" t="s">
        <v>5017</v>
      </c>
      <c r="I855" s="5" t="s">
        <v>7152</v>
      </c>
      <c r="J855" s="5" t="s">
        <v>7374</v>
      </c>
      <c r="K855" s="5" t="s">
        <v>7375</v>
      </c>
      <c r="L855" s="11">
        <v>2</v>
      </c>
      <c r="M855" s="5" t="s">
        <v>156</v>
      </c>
    </row>
    <row r="856" spans="2:13" ht="37.5" customHeight="1" x14ac:dyDescent="0.35">
      <c r="B856" s="12">
        <v>49</v>
      </c>
      <c r="C856" s="7" t="s">
        <v>7331</v>
      </c>
      <c r="D856" s="12">
        <v>14</v>
      </c>
      <c r="E856" s="7" t="s">
        <v>7378</v>
      </c>
      <c r="F856" s="7" t="s">
        <v>7379</v>
      </c>
      <c r="G856" s="7" t="s">
        <v>805</v>
      </c>
      <c r="H856" s="7" t="s">
        <v>38</v>
      </c>
      <c r="I856" s="7" t="s">
        <v>268</v>
      </c>
      <c r="J856" s="7" t="s">
        <v>154</v>
      </c>
      <c r="K856" s="7" t="s">
        <v>7236</v>
      </c>
      <c r="L856" s="12">
        <v>1</v>
      </c>
      <c r="M856" s="7" t="s">
        <v>156</v>
      </c>
    </row>
    <row r="857" spans="2:13" ht="37.5" customHeight="1" x14ac:dyDescent="0.35">
      <c r="B857" s="11">
        <v>49</v>
      </c>
      <c r="C857" s="5" t="s">
        <v>7331</v>
      </c>
      <c r="D857" s="11">
        <v>15</v>
      </c>
      <c r="E857" s="5" t="s">
        <v>7380</v>
      </c>
      <c r="F857" s="5" t="s">
        <v>7381</v>
      </c>
      <c r="G857" s="5" t="s">
        <v>631</v>
      </c>
      <c r="H857" s="5" t="s">
        <v>37</v>
      </c>
      <c r="I857" s="5" t="s">
        <v>55</v>
      </c>
      <c r="J857" s="5" t="s">
        <v>7127</v>
      </c>
      <c r="K857" s="5" t="s">
        <v>7128</v>
      </c>
      <c r="L857" s="11">
        <v>1</v>
      </c>
      <c r="M857" s="5" t="s">
        <v>156</v>
      </c>
    </row>
    <row r="858" spans="2:13" ht="37.5" customHeight="1" x14ac:dyDescent="0.35">
      <c r="B858" s="12">
        <v>49</v>
      </c>
      <c r="C858" s="7" t="s">
        <v>7331</v>
      </c>
      <c r="D858" s="12">
        <v>16</v>
      </c>
      <c r="E858" s="7" t="s">
        <v>7382</v>
      </c>
      <c r="F858" s="7" t="s">
        <v>7383</v>
      </c>
      <c r="G858" s="7" t="s">
        <v>625</v>
      </c>
      <c r="H858" s="7" t="s">
        <v>37</v>
      </c>
      <c r="I858" s="7" t="s">
        <v>55</v>
      </c>
      <c r="J858" s="7" t="s">
        <v>7127</v>
      </c>
      <c r="K858" s="7" t="s">
        <v>7128</v>
      </c>
      <c r="L858" s="12">
        <v>1</v>
      </c>
      <c r="M858" s="7" t="s">
        <v>156</v>
      </c>
    </row>
    <row r="859" spans="2:13" ht="37.5" customHeight="1" x14ac:dyDescent="0.35">
      <c r="B859" s="11">
        <v>49</v>
      </c>
      <c r="C859" s="5" t="s">
        <v>7331</v>
      </c>
      <c r="D859" s="11">
        <v>17</v>
      </c>
      <c r="E859" s="5" t="s">
        <v>7384</v>
      </c>
      <c r="F859" s="5" t="s">
        <v>7385</v>
      </c>
      <c r="G859" s="5" t="s">
        <v>656</v>
      </c>
      <c r="H859" s="5" t="s">
        <v>37</v>
      </c>
      <c r="I859" s="5" t="s">
        <v>55</v>
      </c>
      <c r="J859" s="5" t="s">
        <v>7127</v>
      </c>
      <c r="K859" s="5" t="s">
        <v>7128</v>
      </c>
      <c r="L859" s="11">
        <v>1</v>
      </c>
      <c r="M859" s="5" t="s">
        <v>156</v>
      </c>
    </row>
    <row r="860" spans="2:13" ht="37.5" customHeight="1" x14ac:dyDescent="0.35">
      <c r="B860" s="12">
        <v>49</v>
      </c>
      <c r="C860" s="7" t="s">
        <v>7331</v>
      </c>
      <c r="D860" s="12">
        <v>18</v>
      </c>
      <c r="E860" s="7" t="s">
        <v>7386</v>
      </c>
      <c r="F860" s="7" t="s">
        <v>7387</v>
      </c>
      <c r="G860" s="7" t="s">
        <v>742</v>
      </c>
      <c r="H860" s="7" t="s">
        <v>42</v>
      </c>
      <c r="I860" s="7" t="s">
        <v>4657</v>
      </c>
      <c r="J860" s="7" t="s">
        <v>1903</v>
      </c>
      <c r="K860" s="7" t="s">
        <v>7388</v>
      </c>
      <c r="L860" s="12">
        <v>1</v>
      </c>
      <c r="M860" s="7" t="s">
        <v>156</v>
      </c>
    </row>
    <row r="861" spans="2:13" ht="52.5" customHeight="1" x14ac:dyDescent="0.35">
      <c r="B861" s="11">
        <v>49</v>
      </c>
      <c r="C861" s="5" t="s">
        <v>7331</v>
      </c>
      <c r="D861" s="11">
        <v>19</v>
      </c>
      <c r="E861" s="5" t="s">
        <v>7389</v>
      </c>
      <c r="F861" s="5" t="s">
        <v>7390</v>
      </c>
      <c r="G861" s="5" t="s">
        <v>24</v>
      </c>
      <c r="H861" s="5" t="s">
        <v>7340</v>
      </c>
      <c r="I861" s="5" t="s">
        <v>7341</v>
      </c>
      <c r="J861" s="5" t="s">
        <v>7391</v>
      </c>
      <c r="K861" s="5" t="s">
        <v>7392</v>
      </c>
      <c r="L861" s="11">
        <v>3</v>
      </c>
      <c r="M861" s="5" t="s">
        <v>156</v>
      </c>
    </row>
    <row r="862" spans="2:13" ht="37.5" customHeight="1" x14ac:dyDescent="0.35">
      <c r="B862" s="12">
        <v>49</v>
      </c>
      <c r="C862" s="7" t="s">
        <v>7331</v>
      </c>
      <c r="D862" s="12">
        <v>20</v>
      </c>
      <c r="E862" s="7" t="s">
        <v>7393</v>
      </c>
      <c r="F862" s="7" t="s">
        <v>7394</v>
      </c>
      <c r="G862" s="7" t="s">
        <v>552</v>
      </c>
      <c r="H862" s="7" t="s">
        <v>44</v>
      </c>
      <c r="I862" s="7" t="s">
        <v>49</v>
      </c>
      <c r="J862" s="7" t="s">
        <v>154</v>
      </c>
      <c r="K862" s="7" t="s">
        <v>7395</v>
      </c>
      <c r="L862" s="12">
        <v>1</v>
      </c>
      <c r="M862" s="7" t="s">
        <v>156</v>
      </c>
    </row>
    <row r="863" spans="2:13" ht="37.5" customHeight="1" x14ac:dyDescent="0.35">
      <c r="B863" s="11">
        <v>49</v>
      </c>
      <c r="C863" s="5" t="s">
        <v>7331</v>
      </c>
      <c r="D863" s="11">
        <v>21</v>
      </c>
      <c r="E863" s="5" t="s">
        <v>7396</v>
      </c>
      <c r="F863" s="5" t="s">
        <v>7397</v>
      </c>
      <c r="G863" s="5" t="s">
        <v>282</v>
      </c>
      <c r="H863" s="5" t="s">
        <v>5017</v>
      </c>
      <c r="I863" s="5" t="s">
        <v>7152</v>
      </c>
      <c r="J863" s="5" t="s">
        <v>7374</v>
      </c>
      <c r="K863" s="5" t="s">
        <v>7375</v>
      </c>
      <c r="L863" s="11">
        <v>2</v>
      </c>
      <c r="M863" s="5" t="s">
        <v>156</v>
      </c>
    </row>
    <row r="864" spans="2:13" ht="37.5" customHeight="1" x14ac:dyDescent="0.35">
      <c r="B864" s="12">
        <v>49</v>
      </c>
      <c r="C864" s="7" t="s">
        <v>7331</v>
      </c>
      <c r="D864" s="12">
        <v>22</v>
      </c>
      <c r="E864" s="7" t="s">
        <v>7398</v>
      </c>
      <c r="F864" s="7" t="s">
        <v>7399</v>
      </c>
      <c r="G864" s="7" t="s">
        <v>2529</v>
      </c>
      <c r="H864" s="7" t="s">
        <v>44</v>
      </c>
      <c r="I864" s="7" t="s">
        <v>49</v>
      </c>
      <c r="J864" s="7" t="s">
        <v>154</v>
      </c>
      <c r="K864" s="7" t="s">
        <v>7395</v>
      </c>
      <c r="L864" s="12">
        <v>1</v>
      </c>
      <c r="M864" s="7" t="s">
        <v>156</v>
      </c>
    </row>
    <row r="865" spans="2:13" ht="37.5" customHeight="1" x14ac:dyDescent="0.35">
      <c r="B865" s="11">
        <v>49</v>
      </c>
      <c r="C865" s="5" t="s">
        <v>7331</v>
      </c>
      <c r="D865" s="11">
        <v>23</v>
      </c>
      <c r="E865" s="5" t="s">
        <v>7400</v>
      </c>
      <c r="F865" s="5" t="s">
        <v>7401</v>
      </c>
      <c r="G865" s="5" t="s">
        <v>825</v>
      </c>
      <c r="H865" s="5" t="s">
        <v>5017</v>
      </c>
      <c r="I865" s="5" t="s">
        <v>7152</v>
      </c>
      <c r="J865" s="5" t="s">
        <v>7374</v>
      </c>
      <c r="K865" s="5" t="s">
        <v>7375</v>
      </c>
      <c r="L865" s="11">
        <v>2</v>
      </c>
      <c r="M865" s="5" t="s">
        <v>156</v>
      </c>
    </row>
    <row r="866" spans="2:13" ht="37.5" customHeight="1" x14ac:dyDescent="0.35">
      <c r="B866" s="12">
        <v>49</v>
      </c>
      <c r="C866" s="7" t="s">
        <v>7331</v>
      </c>
      <c r="D866" s="12">
        <v>24</v>
      </c>
      <c r="E866" s="7" t="s">
        <v>7402</v>
      </c>
      <c r="F866" s="7" t="s">
        <v>7403</v>
      </c>
      <c r="G866" s="7" t="s">
        <v>973</v>
      </c>
      <c r="H866" s="7" t="s">
        <v>4034</v>
      </c>
      <c r="I866" s="7" t="s">
        <v>7000</v>
      </c>
      <c r="J866" s="7" t="s">
        <v>7374</v>
      </c>
      <c r="K866" s="7" t="s">
        <v>7404</v>
      </c>
      <c r="L866" s="12">
        <v>2</v>
      </c>
      <c r="M866" s="7" t="s">
        <v>156</v>
      </c>
    </row>
    <row r="867" spans="2:13" ht="37.5" customHeight="1" x14ac:dyDescent="0.35">
      <c r="B867" s="11">
        <v>49</v>
      </c>
      <c r="C867" s="5" t="s">
        <v>7331</v>
      </c>
      <c r="D867" s="11">
        <v>25</v>
      </c>
      <c r="E867" s="5" t="s">
        <v>7405</v>
      </c>
      <c r="F867" s="5" t="s">
        <v>7406</v>
      </c>
      <c r="G867" s="5" t="s">
        <v>1667</v>
      </c>
      <c r="H867" s="5" t="s">
        <v>2090</v>
      </c>
      <c r="I867" s="5" t="s">
        <v>7152</v>
      </c>
      <c r="J867" s="5" t="s">
        <v>7153</v>
      </c>
      <c r="K867" s="5" t="s">
        <v>7407</v>
      </c>
      <c r="L867" s="11">
        <v>2</v>
      </c>
      <c r="M867" s="5" t="s">
        <v>156</v>
      </c>
    </row>
    <row r="868" spans="2:13" ht="37.5" customHeight="1" x14ac:dyDescent="0.35">
      <c r="B868" s="12">
        <v>49</v>
      </c>
      <c r="C868" s="7" t="s">
        <v>7331</v>
      </c>
      <c r="D868" s="12">
        <v>26</v>
      </c>
      <c r="E868" s="7" t="s">
        <v>7408</v>
      </c>
      <c r="F868" s="7" t="s">
        <v>7409</v>
      </c>
      <c r="G868" s="7" t="s">
        <v>7410</v>
      </c>
      <c r="H868" s="7" t="s">
        <v>7411</v>
      </c>
      <c r="I868" s="7" t="s">
        <v>49</v>
      </c>
      <c r="J868" s="7" t="s">
        <v>213</v>
      </c>
      <c r="K868" s="7" t="s">
        <v>7412</v>
      </c>
      <c r="L868" s="12">
        <v>1</v>
      </c>
      <c r="M868" s="7" t="s">
        <v>156</v>
      </c>
    </row>
    <row r="869" spans="2:13" ht="37.5" customHeight="1" x14ac:dyDescent="0.35">
      <c r="B869" s="11">
        <v>49</v>
      </c>
      <c r="C869" s="5" t="s">
        <v>7331</v>
      </c>
      <c r="D869" s="11">
        <v>27</v>
      </c>
      <c r="E869" s="5" t="s">
        <v>7413</v>
      </c>
      <c r="F869" s="5" t="s">
        <v>7414</v>
      </c>
      <c r="G869" s="5" t="s">
        <v>670</v>
      </c>
      <c r="H869" s="5" t="s">
        <v>218</v>
      </c>
      <c r="I869" s="5" t="s">
        <v>7415</v>
      </c>
      <c r="J869" s="5" t="s">
        <v>7358</v>
      </c>
      <c r="K869" s="5" t="s">
        <v>7416</v>
      </c>
      <c r="L869" s="11">
        <v>2</v>
      </c>
      <c r="M869" s="5" t="s">
        <v>156</v>
      </c>
    </row>
    <row r="870" spans="2:13" ht="37.5" customHeight="1" x14ac:dyDescent="0.35">
      <c r="B870" s="12">
        <v>49</v>
      </c>
      <c r="C870" s="7" t="s">
        <v>7331</v>
      </c>
      <c r="D870" s="12">
        <v>28</v>
      </c>
      <c r="E870" s="7" t="s">
        <v>7417</v>
      </c>
      <c r="F870" s="7" t="s">
        <v>7418</v>
      </c>
      <c r="G870" s="7" t="s">
        <v>877</v>
      </c>
      <c r="H870" s="7" t="s">
        <v>37</v>
      </c>
      <c r="I870" s="7" t="s">
        <v>55</v>
      </c>
      <c r="J870" s="7" t="s">
        <v>7127</v>
      </c>
      <c r="K870" s="7" t="s">
        <v>7128</v>
      </c>
      <c r="L870" s="12">
        <v>1</v>
      </c>
      <c r="M870" s="7" t="s">
        <v>156</v>
      </c>
    </row>
    <row r="871" spans="2:13" ht="37.5" customHeight="1" x14ac:dyDescent="0.35">
      <c r="B871" s="11">
        <v>49</v>
      </c>
      <c r="C871" s="5" t="s">
        <v>7331</v>
      </c>
      <c r="D871" s="11">
        <v>29</v>
      </c>
      <c r="E871" s="5" t="s">
        <v>7419</v>
      </c>
      <c r="F871" s="5" t="s">
        <v>7420</v>
      </c>
      <c r="G871" s="5" t="s">
        <v>445</v>
      </c>
      <c r="H871" s="5" t="s">
        <v>37</v>
      </c>
      <c r="I871" s="5" t="s">
        <v>55</v>
      </c>
      <c r="J871" s="5" t="s">
        <v>7127</v>
      </c>
      <c r="K871" s="5" t="s">
        <v>7128</v>
      </c>
      <c r="L871" s="11">
        <v>1</v>
      </c>
      <c r="M871" s="5" t="s">
        <v>156</v>
      </c>
    </row>
    <row r="872" spans="2:13" ht="37.5" customHeight="1" x14ac:dyDescent="0.35">
      <c r="B872" s="12">
        <v>49</v>
      </c>
      <c r="C872" s="7" t="s">
        <v>7331</v>
      </c>
      <c r="D872" s="12">
        <v>30</v>
      </c>
      <c r="E872" s="7" t="s">
        <v>7421</v>
      </c>
      <c r="F872" s="7" t="s">
        <v>7422</v>
      </c>
      <c r="G872" s="7" t="s">
        <v>28</v>
      </c>
      <c r="H872" s="7" t="s">
        <v>4034</v>
      </c>
      <c r="I872" s="7" t="s">
        <v>7000</v>
      </c>
      <c r="J872" s="7" t="s">
        <v>7374</v>
      </c>
      <c r="K872" s="7" t="s">
        <v>7404</v>
      </c>
      <c r="L872" s="12">
        <v>2</v>
      </c>
      <c r="M872" s="7" t="s">
        <v>156</v>
      </c>
    </row>
    <row r="873" spans="2:13" ht="37.5" customHeight="1" x14ac:dyDescent="0.35">
      <c r="B873" s="11">
        <v>49</v>
      </c>
      <c r="C873" s="5" t="s">
        <v>7331</v>
      </c>
      <c r="D873" s="11">
        <v>31</v>
      </c>
      <c r="E873" s="5" t="s">
        <v>7423</v>
      </c>
      <c r="F873" s="5" t="s">
        <v>7424</v>
      </c>
      <c r="G873" s="5" t="s">
        <v>3135</v>
      </c>
      <c r="H873" s="5" t="s">
        <v>38</v>
      </c>
      <c r="I873" s="5" t="s">
        <v>268</v>
      </c>
      <c r="J873" s="5" t="s">
        <v>154</v>
      </c>
      <c r="K873" s="5" t="s">
        <v>7236</v>
      </c>
      <c r="L873" s="11">
        <v>1</v>
      </c>
      <c r="M873" s="5" t="s">
        <v>156</v>
      </c>
    </row>
    <row r="874" spans="2:13" ht="37.5" customHeight="1" x14ac:dyDescent="0.35">
      <c r="B874" s="12">
        <v>49</v>
      </c>
      <c r="C874" s="7" t="s">
        <v>7331</v>
      </c>
      <c r="D874" s="12">
        <v>32</v>
      </c>
      <c r="E874" s="7" t="s">
        <v>7425</v>
      </c>
      <c r="F874" s="7" t="s">
        <v>7426</v>
      </c>
      <c r="G874" s="7" t="s">
        <v>206</v>
      </c>
      <c r="H874" s="7" t="s">
        <v>38</v>
      </c>
      <c r="I874" s="7" t="s">
        <v>268</v>
      </c>
      <c r="J874" s="7" t="s">
        <v>154</v>
      </c>
      <c r="K874" s="7" t="s">
        <v>7236</v>
      </c>
      <c r="L874" s="12">
        <v>1</v>
      </c>
      <c r="M874" s="7" t="s">
        <v>156</v>
      </c>
    </row>
    <row r="875" spans="2:13" ht="37.5" customHeight="1" x14ac:dyDescent="0.35">
      <c r="B875" s="11">
        <v>49</v>
      </c>
      <c r="C875" s="5" t="s">
        <v>7331</v>
      </c>
      <c r="D875" s="11">
        <v>33</v>
      </c>
      <c r="E875" s="5" t="s">
        <v>7427</v>
      </c>
      <c r="F875" s="5" t="s">
        <v>7428</v>
      </c>
      <c r="G875" s="5" t="s">
        <v>856</v>
      </c>
      <c r="H875" s="5" t="s">
        <v>38</v>
      </c>
      <c r="I875" s="5" t="s">
        <v>268</v>
      </c>
      <c r="J875" s="5" t="s">
        <v>154</v>
      </c>
      <c r="K875" s="5" t="s">
        <v>7236</v>
      </c>
      <c r="L875" s="11">
        <v>1</v>
      </c>
      <c r="M875" s="5" t="s">
        <v>156</v>
      </c>
    </row>
    <row r="876" spans="2:13" ht="37.5" customHeight="1" x14ac:dyDescent="0.35">
      <c r="B876" s="12">
        <v>49</v>
      </c>
      <c r="C876" s="7" t="s">
        <v>7331</v>
      </c>
      <c r="D876" s="12">
        <v>34</v>
      </c>
      <c r="E876" s="7" t="s">
        <v>7429</v>
      </c>
      <c r="F876" s="7" t="s">
        <v>7430</v>
      </c>
      <c r="G876" s="7" t="s">
        <v>549</v>
      </c>
      <c r="H876" s="7" t="s">
        <v>41</v>
      </c>
      <c r="I876" s="7" t="s">
        <v>49</v>
      </c>
      <c r="J876" s="7" t="s">
        <v>213</v>
      </c>
      <c r="K876" s="7" t="s">
        <v>214</v>
      </c>
      <c r="L876" s="12">
        <v>1</v>
      </c>
      <c r="M876" s="7" t="s">
        <v>156</v>
      </c>
    </row>
    <row r="877" spans="2:13" ht="37.5" customHeight="1" x14ac:dyDescent="0.35">
      <c r="B877" s="11">
        <v>49</v>
      </c>
      <c r="C877" s="5" t="s">
        <v>7331</v>
      </c>
      <c r="D877" s="11">
        <v>35</v>
      </c>
      <c r="E877" s="5" t="s">
        <v>7431</v>
      </c>
      <c r="F877" s="5" t="s">
        <v>7432</v>
      </c>
      <c r="G877" s="5" t="s">
        <v>212</v>
      </c>
      <c r="H877" s="5" t="s">
        <v>41</v>
      </c>
      <c r="I877" s="5" t="s">
        <v>49</v>
      </c>
      <c r="J877" s="5" t="s">
        <v>213</v>
      </c>
      <c r="K877" s="5" t="s">
        <v>214</v>
      </c>
      <c r="L877" s="11">
        <v>1</v>
      </c>
      <c r="M877" s="5" t="s">
        <v>156</v>
      </c>
    </row>
    <row r="878" spans="2:13" ht="37.5" customHeight="1" x14ac:dyDescent="0.35">
      <c r="B878" s="12">
        <v>49</v>
      </c>
      <c r="C878" s="7" t="s">
        <v>7331</v>
      </c>
      <c r="D878" s="12">
        <v>36</v>
      </c>
      <c r="E878" s="7" t="s">
        <v>7433</v>
      </c>
      <c r="F878" s="7" t="s">
        <v>7434</v>
      </c>
      <c r="G878" s="7" t="s">
        <v>513</v>
      </c>
      <c r="H878" s="7" t="s">
        <v>44</v>
      </c>
      <c r="I878" s="7" t="s">
        <v>49</v>
      </c>
      <c r="J878" s="7" t="s">
        <v>213</v>
      </c>
      <c r="K878" s="7" t="s">
        <v>6308</v>
      </c>
      <c r="L878" s="12">
        <v>1</v>
      </c>
      <c r="M878" s="7" t="s">
        <v>156</v>
      </c>
    </row>
    <row r="879" spans="2:13" ht="37.5" customHeight="1" x14ac:dyDescent="0.35">
      <c r="B879" s="11">
        <v>49</v>
      </c>
      <c r="C879" s="5" t="s">
        <v>7331</v>
      </c>
      <c r="D879" s="11">
        <v>37</v>
      </c>
      <c r="E879" s="5" t="s">
        <v>7435</v>
      </c>
      <c r="F879" s="5" t="s">
        <v>7436</v>
      </c>
      <c r="G879" s="5" t="s">
        <v>653</v>
      </c>
      <c r="H879" s="5" t="s">
        <v>5017</v>
      </c>
      <c r="I879" s="5" t="s">
        <v>7152</v>
      </c>
      <c r="J879" s="5" t="s">
        <v>7153</v>
      </c>
      <c r="K879" s="5" t="s">
        <v>7154</v>
      </c>
      <c r="L879" s="11">
        <v>2</v>
      </c>
      <c r="M879" s="5" t="s">
        <v>156</v>
      </c>
    </row>
    <row r="880" spans="2:13" ht="37.5" customHeight="1" x14ac:dyDescent="0.35">
      <c r="B880" s="12">
        <v>49</v>
      </c>
      <c r="C880" s="7" t="s">
        <v>7331</v>
      </c>
      <c r="D880" s="12">
        <v>38</v>
      </c>
      <c r="E880" s="7" t="s">
        <v>7437</v>
      </c>
      <c r="F880" s="7" t="s">
        <v>7438</v>
      </c>
      <c r="G880" s="7" t="s">
        <v>2768</v>
      </c>
      <c r="H880" s="7" t="s">
        <v>37</v>
      </c>
      <c r="I880" s="7" t="s">
        <v>55</v>
      </c>
      <c r="J880" s="7" t="s">
        <v>7127</v>
      </c>
      <c r="K880" s="7" t="s">
        <v>7128</v>
      </c>
      <c r="L880" s="12">
        <v>1</v>
      </c>
      <c r="M880" s="7" t="s">
        <v>156</v>
      </c>
    </row>
    <row r="881" spans="2:13" ht="37.5" customHeight="1" x14ac:dyDescent="0.35">
      <c r="B881" s="11">
        <v>49</v>
      </c>
      <c r="C881" s="5" t="s">
        <v>7331</v>
      </c>
      <c r="D881" s="11">
        <v>39</v>
      </c>
      <c r="E881" s="5" t="s">
        <v>7439</v>
      </c>
      <c r="F881" s="5" t="s">
        <v>7440</v>
      </c>
      <c r="G881" s="5" t="s">
        <v>862</v>
      </c>
      <c r="H881" s="5" t="s">
        <v>38</v>
      </c>
      <c r="I881" s="5" t="s">
        <v>49</v>
      </c>
      <c r="J881" s="5" t="s">
        <v>213</v>
      </c>
      <c r="K881" s="5" t="s">
        <v>6311</v>
      </c>
      <c r="L881" s="11">
        <v>1</v>
      </c>
      <c r="M881" s="5" t="s">
        <v>156</v>
      </c>
    </row>
    <row r="882" spans="2:13" ht="37.5" customHeight="1" x14ac:dyDescent="0.35">
      <c r="B882" s="12">
        <v>49</v>
      </c>
      <c r="C882" s="7" t="s">
        <v>7331</v>
      </c>
      <c r="D882" s="12">
        <v>40</v>
      </c>
      <c r="E882" s="7" t="s">
        <v>7441</v>
      </c>
      <c r="F882" s="7" t="s">
        <v>7442</v>
      </c>
      <c r="G882" s="7" t="s">
        <v>761</v>
      </c>
      <c r="H882" s="7" t="s">
        <v>1943</v>
      </c>
      <c r="I882" s="7" t="s">
        <v>49</v>
      </c>
      <c r="J882" s="7" t="s">
        <v>213</v>
      </c>
      <c r="K882" s="7" t="s">
        <v>5428</v>
      </c>
      <c r="L882" s="12">
        <v>1</v>
      </c>
      <c r="M882" s="7" t="s">
        <v>156</v>
      </c>
    </row>
    <row r="883" spans="2:13" ht="37.5" customHeight="1" x14ac:dyDescent="0.35">
      <c r="B883" s="11">
        <v>49</v>
      </c>
      <c r="C883" s="5" t="s">
        <v>7331</v>
      </c>
      <c r="D883" s="11">
        <v>41</v>
      </c>
      <c r="E883" s="5" t="s">
        <v>7443</v>
      </c>
      <c r="F883" s="5" t="s">
        <v>7444</v>
      </c>
      <c r="G883" s="5" t="s">
        <v>645</v>
      </c>
      <c r="H883" s="5" t="s">
        <v>37</v>
      </c>
      <c r="I883" s="5" t="s">
        <v>55</v>
      </c>
      <c r="J883" s="5" t="s">
        <v>7127</v>
      </c>
      <c r="K883" s="5" t="s">
        <v>7128</v>
      </c>
      <c r="L883" s="11">
        <v>1</v>
      </c>
      <c r="M883" s="5" t="s">
        <v>156</v>
      </c>
    </row>
    <row r="884" spans="2:13" ht="37.5" customHeight="1" x14ac:dyDescent="0.35">
      <c r="B884" s="12">
        <v>49</v>
      </c>
      <c r="C884" s="7" t="s">
        <v>7331</v>
      </c>
      <c r="D884" s="12">
        <v>42</v>
      </c>
      <c r="E884" s="7" t="s">
        <v>7445</v>
      </c>
      <c r="F884" s="7" t="s">
        <v>7446</v>
      </c>
      <c r="G884" s="7" t="s">
        <v>176</v>
      </c>
      <c r="H884" s="7" t="s">
        <v>37</v>
      </c>
      <c r="I884" s="7" t="s">
        <v>55</v>
      </c>
      <c r="J884" s="7" t="s">
        <v>7127</v>
      </c>
      <c r="K884" s="7" t="s">
        <v>7128</v>
      </c>
      <c r="L884" s="12">
        <v>1</v>
      </c>
      <c r="M884" s="7" t="s">
        <v>156</v>
      </c>
    </row>
    <row r="885" spans="2:13" ht="52.5" customHeight="1" x14ac:dyDescent="0.35">
      <c r="B885" s="11">
        <v>49</v>
      </c>
      <c r="C885" s="5" t="s">
        <v>7331</v>
      </c>
      <c r="D885" s="11">
        <v>43</v>
      </c>
      <c r="E885" s="5" t="s">
        <v>7447</v>
      </c>
      <c r="F885" s="5" t="s">
        <v>7448</v>
      </c>
      <c r="G885" s="5" t="s">
        <v>497</v>
      </c>
      <c r="H885" s="5" t="s">
        <v>4599</v>
      </c>
      <c r="I885" s="5" t="s">
        <v>7449</v>
      </c>
      <c r="J885" s="5" t="s">
        <v>7142</v>
      </c>
      <c r="K885" s="5" t="s">
        <v>7450</v>
      </c>
      <c r="L885" s="11">
        <v>2</v>
      </c>
      <c r="M885" s="5" t="s">
        <v>156</v>
      </c>
    </row>
    <row r="886" spans="2:13" ht="37.5" customHeight="1" x14ac:dyDescent="0.35">
      <c r="B886" s="12">
        <v>49</v>
      </c>
      <c r="C886" s="7" t="s">
        <v>7331</v>
      </c>
      <c r="D886" s="12">
        <v>44</v>
      </c>
      <c r="E886" s="7" t="s">
        <v>7451</v>
      </c>
      <c r="F886" s="7" t="s">
        <v>7452</v>
      </c>
      <c r="G886" s="7" t="s">
        <v>1680</v>
      </c>
      <c r="H886" s="7" t="s">
        <v>42</v>
      </c>
      <c r="I886" s="7" t="s">
        <v>5023</v>
      </c>
      <c r="J886" s="7" t="s">
        <v>1903</v>
      </c>
      <c r="K886" s="7" t="s">
        <v>7453</v>
      </c>
      <c r="L886" s="12">
        <v>1</v>
      </c>
      <c r="M886" s="7" t="s">
        <v>156</v>
      </c>
    </row>
    <row r="887" spans="2:13" ht="37.5" customHeight="1" x14ac:dyDescent="0.35">
      <c r="B887" s="11">
        <v>49</v>
      </c>
      <c r="C887" s="5" t="s">
        <v>7331</v>
      </c>
      <c r="D887" s="11">
        <v>45</v>
      </c>
      <c r="E887" s="5" t="s">
        <v>7454</v>
      </c>
      <c r="F887" s="5" t="s">
        <v>7455</v>
      </c>
      <c r="G887" s="5" t="s">
        <v>939</v>
      </c>
      <c r="H887" s="5" t="s">
        <v>238</v>
      </c>
      <c r="I887" s="5" t="s">
        <v>7456</v>
      </c>
      <c r="J887" s="5" t="s">
        <v>7153</v>
      </c>
      <c r="K887" s="5" t="s">
        <v>7457</v>
      </c>
      <c r="L887" s="11">
        <v>2</v>
      </c>
      <c r="M887" s="5" t="s">
        <v>156</v>
      </c>
    </row>
    <row r="888" spans="2:13" ht="37.5" customHeight="1" x14ac:dyDescent="0.35">
      <c r="B888" s="12">
        <v>49</v>
      </c>
      <c r="C888" s="7" t="s">
        <v>7331</v>
      </c>
      <c r="D888" s="12">
        <v>46</v>
      </c>
      <c r="E888" s="7" t="s">
        <v>7458</v>
      </c>
      <c r="F888" s="7" t="s">
        <v>7459</v>
      </c>
      <c r="G888" s="7" t="s">
        <v>678</v>
      </c>
      <c r="H888" s="7" t="s">
        <v>218</v>
      </c>
      <c r="I888" s="7" t="s">
        <v>7415</v>
      </c>
      <c r="J888" s="7" t="s">
        <v>7358</v>
      </c>
      <c r="K888" s="7" t="s">
        <v>7416</v>
      </c>
      <c r="L888" s="12">
        <v>2</v>
      </c>
      <c r="M888" s="7" t="s">
        <v>156</v>
      </c>
    </row>
    <row r="889" spans="2:13" ht="37.5" customHeight="1" x14ac:dyDescent="0.35">
      <c r="B889" s="11">
        <v>49</v>
      </c>
      <c r="C889" s="5" t="s">
        <v>7331</v>
      </c>
      <c r="D889" s="11">
        <v>47</v>
      </c>
      <c r="E889" s="5" t="s">
        <v>7460</v>
      </c>
      <c r="F889" s="5" t="s">
        <v>7461</v>
      </c>
      <c r="G889" s="5" t="s">
        <v>749</v>
      </c>
      <c r="H889" s="5" t="s">
        <v>37</v>
      </c>
      <c r="I889" s="5" t="s">
        <v>55</v>
      </c>
      <c r="J889" s="5" t="s">
        <v>7127</v>
      </c>
      <c r="K889" s="5" t="s">
        <v>7128</v>
      </c>
      <c r="L889" s="11">
        <v>1</v>
      </c>
      <c r="M889" s="5" t="s">
        <v>156</v>
      </c>
    </row>
    <row r="890" spans="2:13" ht="37.5" customHeight="1" x14ac:dyDescent="0.35">
      <c r="B890" s="12">
        <v>49</v>
      </c>
      <c r="C890" s="7" t="s">
        <v>7331</v>
      </c>
      <c r="D890" s="12">
        <v>48</v>
      </c>
      <c r="E890" s="7" t="s">
        <v>7462</v>
      </c>
      <c r="F890" s="7" t="s">
        <v>7463</v>
      </c>
      <c r="G890" s="7" t="s">
        <v>1373</v>
      </c>
      <c r="H890" s="7" t="s">
        <v>37</v>
      </c>
      <c r="I890" s="7" t="s">
        <v>55</v>
      </c>
      <c r="J890" s="7" t="s">
        <v>7127</v>
      </c>
      <c r="K890" s="7" t="s">
        <v>7128</v>
      </c>
      <c r="L890" s="12">
        <v>1</v>
      </c>
      <c r="M890" s="7" t="s">
        <v>156</v>
      </c>
    </row>
    <row r="891" spans="2:13" ht="37.5" customHeight="1" x14ac:dyDescent="0.35">
      <c r="B891" s="11">
        <v>49</v>
      </c>
      <c r="C891" s="5" t="s">
        <v>7331</v>
      </c>
      <c r="D891" s="11">
        <v>49</v>
      </c>
      <c r="E891" s="5" t="s">
        <v>7464</v>
      </c>
      <c r="F891" s="5" t="s">
        <v>7465</v>
      </c>
      <c r="G891" s="5" t="s">
        <v>541</v>
      </c>
      <c r="H891" s="5" t="s">
        <v>37</v>
      </c>
      <c r="I891" s="5" t="s">
        <v>55</v>
      </c>
      <c r="J891" s="5" t="s">
        <v>7127</v>
      </c>
      <c r="K891" s="5" t="s">
        <v>7128</v>
      </c>
      <c r="L891" s="11">
        <v>1</v>
      </c>
      <c r="M891" s="5" t="s">
        <v>156</v>
      </c>
    </row>
    <row r="892" spans="2:13" ht="37.5" customHeight="1" x14ac:dyDescent="0.35">
      <c r="B892" s="12">
        <v>49</v>
      </c>
      <c r="C892" s="7" t="s">
        <v>7331</v>
      </c>
      <c r="D892" s="12">
        <v>50</v>
      </c>
      <c r="E892" s="7" t="s">
        <v>7466</v>
      </c>
      <c r="F892" s="7" t="s">
        <v>7467</v>
      </c>
      <c r="G892" s="7" t="s">
        <v>7309</v>
      </c>
      <c r="H892" s="7" t="s">
        <v>37</v>
      </c>
      <c r="I892" s="7" t="s">
        <v>55</v>
      </c>
      <c r="J892" s="7" t="s">
        <v>7127</v>
      </c>
      <c r="K892" s="7" t="s">
        <v>7128</v>
      </c>
      <c r="L892" s="12">
        <v>1</v>
      </c>
      <c r="M892" s="7" t="s">
        <v>156</v>
      </c>
    </row>
    <row r="893" spans="2:13" ht="37.5" customHeight="1" x14ac:dyDescent="0.35">
      <c r="B893" s="11">
        <v>49</v>
      </c>
      <c r="C893" s="5" t="s">
        <v>7331</v>
      </c>
      <c r="D893" s="11">
        <v>51</v>
      </c>
      <c r="E893" s="5" t="s">
        <v>7468</v>
      </c>
      <c r="F893" s="5" t="s">
        <v>7469</v>
      </c>
      <c r="G893" s="5" t="s">
        <v>576</v>
      </c>
      <c r="H893" s="5" t="s">
        <v>37</v>
      </c>
      <c r="I893" s="5" t="s">
        <v>55</v>
      </c>
      <c r="J893" s="5" t="s">
        <v>7127</v>
      </c>
      <c r="K893" s="5" t="s">
        <v>7128</v>
      </c>
      <c r="L893" s="11">
        <v>1</v>
      </c>
      <c r="M893" s="5" t="s">
        <v>156</v>
      </c>
    </row>
    <row r="894" spans="2:13" ht="37.5" customHeight="1" x14ac:dyDescent="0.35">
      <c r="B894" s="12">
        <v>49</v>
      </c>
      <c r="C894" s="7" t="s">
        <v>7331</v>
      </c>
      <c r="D894" s="12">
        <v>52</v>
      </c>
      <c r="E894" s="7" t="s">
        <v>7470</v>
      </c>
      <c r="F894" s="7" t="s">
        <v>7471</v>
      </c>
      <c r="G894" s="7" t="s">
        <v>1603</v>
      </c>
      <c r="H894" s="7" t="s">
        <v>41</v>
      </c>
      <c r="I894" s="7" t="s">
        <v>49</v>
      </c>
      <c r="J894" s="7" t="s">
        <v>213</v>
      </c>
      <c r="K894" s="7" t="s">
        <v>214</v>
      </c>
      <c r="L894" s="12">
        <v>1</v>
      </c>
      <c r="M894" s="7" t="s">
        <v>156</v>
      </c>
    </row>
    <row r="895" spans="2:13" ht="37.5" customHeight="1" x14ac:dyDescent="0.35">
      <c r="B895" s="11">
        <v>49</v>
      </c>
      <c r="C895" s="5" t="s">
        <v>7331</v>
      </c>
      <c r="D895" s="11">
        <v>53</v>
      </c>
      <c r="E895" s="5" t="s">
        <v>7472</v>
      </c>
      <c r="F895" s="5" t="s">
        <v>7473</v>
      </c>
      <c r="G895" s="5" t="s">
        <v>7474</v>
      </c>
      <c r="H895" s="5" t="s">
        <v>42</v>
      </c>
      <c r="I895" s="5" t="s">
        <v>7475</v>
      </c>
      <c r="J895" s="5" t="s">
        <v>177</v>
      </c>
      <c r="K895" s="5" t="s">
        <v>7476</v>
      </c>
      <c r="L895" s="11">
        <v>1</v>
      </c>
      <c r="M895" s="5" t="s">
        <v>156</v>
      </c>
    </row>
    <row r="896" spans="2:13" ht="37.5" customHeight="1" x14ac:dyDescent="0.35">
      <c r="B896" s="12">
        <v>49</v>
      </c>
      <c r="C896" s="7" t="s">
        <v>7331</v>
      </c>
      <c r="D896" s="12">
        <v>54</v>
      </c>
      <c r="E896" s="7" t="s">
        <v>7477</v>
      </c>
      <c r="F896" s="7" t="s">
        <v>7478</v>
      </c>
      <c r="G896" s="7" t="s">
        <v>3703</v>
      </c>
      <c r="H896" s="7" t="s">
        <v>44</v>
      </c>
      <c r="I896" s="7" t="s">
        <v>49</v>
      </c>
      <c r="J896" s="7" t="s">
        <v>213</v>
      </c>
      <c r="K896" s="7" t="s">
        <v>6308</v>
      </c>
      <c r="L896" s="12">
        <v>1</v>
      </c>
      <c r="M896" s="7" t="s">
        <v>156</v>
      </c>
    </row>
    <row r="897" spans="2:13" ht="37.5" customHeight="1" x14ac:dyDescent="0.35">
      <c r="B897" s="11">
        <v>49</v>
      </c>
      <c r="C897" s="5" t="s">
        <v>7331</v>
      </c>
      <c r="D897" s="11">
        <v>55</v>
      </c>
      <c r="E897" s="5" t="s">
        <v>7479</v>
      </c>
      <c r="F897" s="5" t="s">
        <v>7480</v>
      </c>
      <c r="G897" s="5" t="s">
        <v>686</v>
      </c>
      <c r="H897" s="5" t="s">
        <v>37</v>
      </c>
      <c r="I897" s="5" t="s">
        <v>55</v>
      </c>
      <c r="J897" s="5" t="s">
        <v>7127</v>
      </c>
      <c r="K897" s="5" t="s">
        <v>7128</v>
      </c>
      <c r="L897" s="11">
        <v>1</v>
      </c>
      <c r="M897" s="5" t="s">
        <v>156</v>
      </c>
    </row>
    <row r="898" spans="2:13" ht="37.5" customHeight="1" x14ac:dyDescent="0.35">
      <c r="B898" s="12">
        <v>49</v>
      </c>
      <c r="C898" s="7" t="s">
        <v>7331</v>
      </c>
      <c r="D898" s="12">
        <v>56</v>
      </c>
      <c r="E898" s="7" t="s">
        <v>7481</v>
      </c>
      <c r="F898" s="7" t="s">
        <v>7482</v>
      </c>
      <c r="G898" s="7" t="s">
        <v>3729</v>
      </c>
      <c r="H898" s="7" t="s">
        <v>37</v>
      </c>
      <c r="I898" s="7" t="s">
        <v>55</v>
      </c>
      <c r="J898" s="7" t="s">
        <v>7127</v>
      </c>
      <c r="K898" s="7" t="s">
        <v>7128</v>
      </c>
      <c r="L898" s="12">
        <v>1</v>
      </c>
      <c r="M898" s="7" t="s">
        <v>156</v>
      </c>
    </row>
    <row r="899" spans="2:13" ht="37.5" customHeight="1" x14ac:dyDescent="0.35">
      <c r="B899" s="11">
        <v>49</v>
      </c>
      <c r="C899" s="5" t="s">
        <v>7331</v>
      </c>
      <c r="D899" s="11">
        <v>57</v>
      </c>
      <c r="E899" s="5" t="s">
        <v>7483</v>
      </c>
      <c r="F899" s="5" t="s">
        <v>7484</v>
      </c>
      <c r="G899" s="5" t="s">
        <v>7485</v>
      </c>
      <c r="H899" s="5" t="s">
        <v>37</v>
      </c>
      <c r="I899" s="5" t="s">
        <v>55</v>
      </c>
      <c r="J899" s="5" t="s">
        <v>7127</v>
      </c>
      <c r="K899" s="5" t="s">
        <v>7128</v>
      </c>
      <c r="L899" s="11">
        <v>1</v>
      </c>
      <c r="M899" s="5" t="s">
        <v>156</v>
      </c>
    </row>
    <row r="900" spans="2:13" ht="37.5" customHeight="1" x14ac:dyDescent="0.35">
      <c r="B900" s="12">
        <v>49</v>
      </c>
      <c r="C900" s="7" t="s">
        <v>7331</v>
      </c>
      <c r="D900" s="12">
        <v>58</v>
      </c>
      <c r="E900" s="7" t="s">
        <v>7486</v>
      </c>
      <c r="F900" s="7" t="s">
        <v>7487</v>
      </c>
      <c r="G900" s="7" t="s">
        <v>1653</v>
      </c>
      <c r="H900" s="7" t="s">
        <v>37</v>
      </c>
      <c r="I900" s="7" t="s">
        <v>55</v>
      </c>
      <c r="J900" s="7" t="s">
        <v>7127</v>
      </c>
      <c r="K900" s="7" t="s">
        <v>7128</v>
      </c>
      <c r="L900" s="12">
        <v>1</v>
      </c>
      <c r="M900" s="7" t="s">
        <v>156</v>
      </c>
    </row>
    <row r="901" spans="2:13" ht="37.5" customHeight="1" x14ac:dyDescent="0.35">
      <c r="B901" s="11">
        <v>49</v>
      </c>
      <c r="C901" s="5" t="s">
        <v>7331</v>
      </c>
      <c r="D901" s="11">
        <v>59</v>
      </c>
      <c r="E901" s="5" t="s">
        <v>7488</v>
      </c>
      <c r="F901" s="5" t="s">
        <v>7489</v>
      </c>
      <c r="G901" s="5" t="s">
        <v>26</v>
      </c>
      <c r="H901" s="5" t="s">
        <v>41</v>
      </c>
      <c r="I901" s="5" t="s">
        <v>49</v>
      </c>
      <c r="J901" s="5" t="s">
        <v>213</v>
      </c>
      <c r="K901" s="5" t="s">
        <v>214</v>
      </c>
      <c r="L901" s="11">
        <v>1</v>
      </c>
      <c r="M901" s="5" t="s">
        <v>156</v>
      </c>
    </row>
    <row r="902" spans="2:13" ht="37.5" customHeight="1" x14ac:dyDescent="0.35">
      <c r="B902" s="12">
        <v>49</v>
      </c>
      <c r="C902" s="7" t="s">
        <v>7331</v>
      </c>
      <c r="D902" s="12">
        <v>60</v>
      </c>
      <c r="E902" s="7" t="s">
        <v>7490</v>
      </c>
      <c r="F902" s="7" t="s">
        <v>7491</v>
      </c>
      <c r="G902" s="7" t="s">
        <v>791</v>
      </c>
      <c r="H902" s="7" t="s">
        <v>42</v>
      </c>
      <c r="I902" s="7" t="s">
        <v>49</v>
      </c>
      <c r="J902" s="7" t="s">
        <v>1903</v>
      </c>
      <c r="K902" s="7" t="s">
        <v>7492</v>
      </c>
      <c r="L902" s="12">
        <v>1</v>
      </c>
      <c r="M902" s="7" t="s">
        <v>156</v>
      </c>
    </row>
    <row r="903" spans="2:13" ht="37.5" customHeight="1" x14ac:dyDescent="0.35">
      <c r="B903" s="11">
        <v>49</v>
      </c>
      <c r="C903" s="5" t="s">
        <v>7331</v>
      </c>
      <c r="D903" s="11">
        <v>61</v>
      </c>
      <c r="E903" s="5" t="s">
        <v>7493</v>
      </c>
      <c r="F903" s="5" t="s">
        <v>7494</v>
      </c>
      <c r="G903" s="5" t="s">
        <v>1647</v>
      </c>
      <c r="H903" s="5" t="s">
        <v>41</v>
      </c>
      <c r="I903" s="5" t="s">
        <v>49</v>
      </c>
      <c r="J903" s="5" t="s">
        <v>213</v>
      </c>
      <c r="K903" s="5" t="s">
        <v>214</v>
      </c>
      <c r="L903" s="11">
        <v>1</v>
      </c>
      <c r="M903" s="5" t="s">
        <v>156</v>
      </c>
    </row>
    <row r="904" spans="2:13" ht="37.5" customHeight="1" x14ac:dyDescent="0.35">
      <c r="B904" s="12">
        <v>49</v>
      </c>
      <c r="C904" s="7" t="s">
        <v>7331</v>
      </c>
      <c r="D904" s="12">
        <v>62</v>
      </c>
      <c r="E904" s="7" t="s">
        <v>7495</v>
      </c>
      <c r="F904" s="7" t="s">
        <v>7496</v>
      </c>
      <c r="G904" s="7" t="s">
        <v>457</v>
      </c>
      <c r="H904" s="7" t="s">
        <v>238</v>
      </c>
      <c r="I904" s="7" t="s">
        <v>7456</v>
      </c>
      <c r="J904" s="7" t="s">
        <v>7153</v>
      </c>
      <c r="K904" s="7" t="s">
        <v>7457</v>
      </c>
      <c r="L904" s="12">
        <v>2</v>
      </c>
      <c r="M904" s="7" t="s">
        <v>156</v>
      </c>
    </row>
    <row r="905" spans="2:13" ht="37.5" customHeight="1" x14ac:dyDescent="0.35">
      <c r="B905" s="11">
        <v>49</v>
      </c>
      <c r="C905" s="5" t="s">
        <v>7331</v>
      </c>
      <c r="D905" s="11">
        <v>63</v>
      </c>
      <c r="E905" s="5" t="s">
        <v>7497</v>
      </c>
      <c r="F905" s="5" t="s">
        <v>7498</v>
      </c>
      <c r="G905" s="5" t="s">
        <v>927</v>
      </c>
      <c r="H905" s="5" t="s">
        <v>42</v>
      </c>
      <c r="I905" s="5" t="s">
        <v>5023</v>
      </c>
      <c r="J905" s="5" t="s">
        <v>1903</v>
      </c>
      <c r="K905" s="5" t="s">
        <v>7453</v>
      </c>
      <c r="L905" s="11">
        <v>1</v>
      </c>
      <c r="M905" s="5" t="s">
        <v>156</v>
      </c>
    </row>
    <row r="906" spans="2:13" ht="37.5" customHeight="1" x14ac:dyDescent="0.35">
      <c r="B906" s="12">
        <v>49</v>
      </c>
      <c r="C906" s="7" t="s">
        <v>7331</v>
      </c>
      <c r="D906" s="12">
        <v>64</v>
      </c>
      <c r="E906" s="7" t="s">
        <v>7499</v>
      </c>
      <c r="F906" s="7" t="s">
        <v>7500</v>
      </c>
      <c r="G906" s="7" t="s">
        <v>7501</v>
      </c>
      <c r="H906" s="7" t="s">
        <v>42</v>
      </c>
      <c r="I906" s="7" t="s">
        <v>5433</v>
      </c>
      <c r="J906" s="7" t="s">
        <v>207</v>
      </c>
      <c r="K906" s="7" t="s">
        <v>7502</v>
      </c>
      <c r="L906" s="12">
        <v>1</v>
      </c>
      <c r="M906" s="7" t="s">
        <v>156</v>
      </c>
    </row>
    <row r="907" spans="2:13" ht="37.5" customHeight="1" x14ac:dyDescent="0.35">
      <c r="B907" s="11">
        <v>49</v>
      </c>
      <c r="C907" s="5" t="s">
        <v>7331</v>
      </c>
      <c r="D907" s="11">
        <v>65</v>
      </c>
      <c r="E907" s="5" t="s">
        <v>7503</v>
      </c>
      <c r="F907" s="5" t="s">
        <v>7504</v>
      </c>
      <c r="G907" s="5" t="s">
        <v>1657</v>
      </c>
      <c r="H907" s="5" t="s">
        <v>42</v>
      </c>
      <c r="I907" s="5" t="s">
        <v>5433</v>
      </c>
      <c r="J907" s="5" t="s">
        <v>207</v>
      </c>
      <c r="K907" s="5" t="s">
        <v>7502</v>
      </c>
      <c r="L907" s="11">
        <v>1</v>
      </c>
      <c r="M907" s="5" t="s">
        <v>156</v>
      </c>
    </row>
    <row r="908" spans="2:13" ht="37.5" customHeight="1" x14ac:dyDescent="0.35">
      <c r="B908" s="12">
        <v>49</v>
      </c>
      <c r="C908" s="7" t="s">
        <v>7331</v>
      </c>
      <c r="D908" s="12">
        <v>66</v>
      </c>
      <c r="E908" s="7" t="s">
        <v>7505</v>
      </c>
      <c r="F908" s="7" t="s">
        <v>7506</v>
      </c>
      <c r="G908" s="7" t="s">
        <v>560</v>
      </c>
      <c r="H908" s="7" t="s">
        <v>4034</v>
      </c>
      <c r="I908" s="7" t="s">
        <v>7000</v>
      </c>
      <c r="J908" s="7" t="s">
        <v>7374</v>
      </c>
      <c r="K908" s="7" t="s">
        <v>7404</v>
      </c>
      <c r="L908" s="12">
        <v>2</v>
      </c>
      <c r="M908" s="7" t="s">
        <v>156</v>
      </c>
    </row>
    <row r="909" spans="2:13" ht="37.5" customHeight="1" x14ac:dyDescent="0.35">
      <c r="B909" s="11">
        <v>49</v>
      </c>
      <c r="C909" s="5" t="s">
        <v>7331</v>
      </c>
      <c r="D909" s="11">
        <v>67</v>
      </c>
      <c r="E909" s="5" t="s">
        <v>7507</v>
      </c>
      <c r="F909" s="5" t="s">
        <v>7508</v>
      </c>
      <c r="G909" s="5" t="s">
        <v>1710</v>
      </c>
      <c r="H909" s="5" t="s">
        <v>38</v>
      </c>
      <c r="I909" s="5" t="s">
        <v>268</v>
      </c>
      <c r="J909" s="5" t="s">
        <v>154</v>
      </c>
      <c r="K909" s="5" t="s">
        <v>7236</v>
      </c>
      <c r="L909" s="11">
        <v>1</v>
      </c>
      <c r="M909" s="5" t="s">
        <v>156</v>
      </c>
    </row>
    <row r="910" spans="2:13" ht="37.5" customHeight="1" x14ac:dyDescent="0.35">
      <c r="B910" s="12">
        <v>49</v>
      </c>
      <c r="C910" s="7" t="s">
        <v>7331</v>
      </c>
      <c r="D910" s="12">
        <v>68</v>
      </c>
      <c r="E910" s="7" t="s">
        <v>7509</v>
      </c>
      <c r="F910" s="7" t="s">
        <v>7510</v>
      </c>
      <c r="G910" s="7" t="s">
        <v>635</v>
      </c>
      <c r="H910" s="7" t="s">
        <v>38</v>
      </c>
      <c r="I910" s="7" t="s">
        <v>268</v>
      </c>
      <c r="J910" s="7" t="s">
        <v>154</v>
      </c>
      <c r="K910" s="7" t="s">
        <v>7236</v>
      </c>
      <c r="L910" s="12">
        <v>1</v>
      </c>
      <c r="M910" s="7" t="s">
        <v>156</v>
      </c>
    </row>
    <row r="911" spans="2:13" ht="37.5" customHeight="1" x14ac:dyDescent="0.35">
      <c r="B911" s="11">
        <v>49</v>
      </c>
      <c r="C911" s="5" t="s">
        <v>7331</v>
      </c>
      <c r="D911" s="11">
        <v>69</v>
      </c>
      <c r="E911" s="5" t="s">
        <v>7511</v>
      </c>
      <c r="F911" s="5" t="s">
        <v>7512</v>
      </c>
      <c r="G911" s="5" t="s">
        <v>279</v>
      </c>
      <c r="H911" s="5" t="s">
        <v>38</v>
      </c>
      <c r="I911" s="5" t="s">
        <v>49</v>
      </c>
      <c r="J911" s="5" t="s">
        <v>213</v>
      </c>
      <c r="K911" s="5" t="s">
        <v>6311</v>
      </c>
      <c r="L911" s="11">
        <v>1</v>
      </c>
      <c r="M911" s="5" t="s">
        <v>156</v>
      </c>
    </row>
    <row r="912" spans="2:13" ht="37.5" customHeight="1" x14ac:dyDescent="0.35">
      <c r="B912" s="12">
        <v>49</v>
      </c>
      <c r="C912" s="7" t="s">
        <v>7331</v>
      </c>
      <c r="D912" s="12">
        <v>70</v>
      </c>
      <c r="E912" s="7" t="s">
        <v>7513</v>
      </c>
      <c r="F912" s="7" t="s">
        <v>7514</v>
      </c>
      <c r="G912" s="7" t="s">
        <v>7515</v>
      </c>
      <c r="H912" s="7"/>
      <c r="I912" s="7" t="s">
        <v>49</v>
      </c>
      <c r="J912" s="7" t="s">
        <v>213</v>
      </c>
      <c r="K912" s="7" t="s">
        <v>7516</v>
      </c>
      <c r="L912" s="12">
        <v>1</v>
      </c>
      <c r="M912" s="7" t="s">
        <v>156</v>
      </c>
    </row>
    <row r="913" spans="2:13" ht="37.5" customHeight="1" x14ac:dyDescent="0.35">
      <c r="B913" s="11">
        <v>49</v>
      </c>
      <c r="C913" s="5" t="s">
        <v>7331</v>
      </c>
      <c r="D913" s="11">
        <v>71</v>
      </c>
      <c r="E913" s="5" t="s">
        <v>7517</v>
      </c>
      <c r="F913" s="5" t="s">
        <v>7518</v>
      </c>
      <c r="G913" s="5" t="s">
        <v>7519</v>
      </c>
      <c r="H913" s="5" t="s">
        <v>37</v>
      </c>
      <c r="I913" s="5" t="s">
        <v>55</v>
      </c>
      <c r="J913" s="5" t="s">
        <v>7127</v>
      </c>
      <c r="K913" s="5" t="s">
        <v>7128</v>
      </c>
      <c r="L913" s="11">
        <v>1</v>
      </c>
      <c r="M913" s="5" t="s">
        <v>156</v>
      </c>
    </row>
    <row r="914" spans="2:13" ht="52.5" customHeight="1" x14ac:dyDescent="0.35">
      <c r="B914" s="12">
        <v>49</v>
      </c>
      <c r="C914" s="7" t="s">
        <v>7331</v>
      </c>
      <c r="D914" s="12">
        <v>72</v>
      </c>
      <c r="E914" s="7" t="s">
        <v>7520</v>
      </c>
      <c r="F914" s="7" t="s">
        <v>7521</v>
      </c>
      <c r="G914" s="7" t="s">
        <v>439</v>
      </c>
      <c r="H914" s="7" t="s">
        <v>4599</v>
      </c>
      <c r="I914" s="7" t="s">
        <v>7522</v>
      </c>
      <c r="J914" s="7" t="s">
        <v>7142</v>
      </c>
      <c r="K914" s="7" t="s">
        <v>7523</v>
      </c>
      <c r="L914" s="12">
        <v>2</v>
      </c>
      <c r="M914" s="7" t="s">
        <v>156</v>
      </c>
    </row>
    <row r="915" spans="2:13" ht="37.5" customHeight="1" x14ac:dyDescent="0.35">
      <c r="B915" s="11">
        <v>49</v>
      </c>
      <c r="C915" s="5" t="s">
        <v>7331</v>
      </c>
      <c r="D915" s="11">
        <v>73</v>
      </c>
      <c r="E915" s="5" t="s">
        <v>7524</v>
      </c>
      <c r="F915" s="5" t="s">
        <v>7525</v>
      </c>
      <c r="G915" s="5" t="s">
        <v>402</v>
      </c>
      <c r="H915" s="5" t="s">
        <v>42</v>
      </c>
      <c r="I915" s="5" t="s">
        <v>5099</v>
      </c>
      <c r="J915" s="5" t="s">
        <v>1903</v>
      </c>
      <c r="K915" s="5" t="s">
        <v>5100</v>
      </c>
      <c r="L915" s="11">
        <v>1</v>
      </c>
      <c r="M915" s="5" t="s">
        <v>156</v>
      </c>
    </row>
    <row r="916" spans="2:13" ht="52.5" customHeight="1" x14ac:dyDescent="0.35">
      <c r="B916" s="12">
        <v>49</v>
      </c>
      <c r="C916" s="7" t="s">
        <v>7331</v>
      </c>
      <c r="D916" s="12">
        <v>74</v>
      </c>
      <c r="E916" s="7" t="s">
        <v>7526</v>
      </c>
      <c r="F916" s="7" t="s">
        <v>7527</v>
      </c>
      <c r="G916" s="7" t="s">
        <v>30</v>
      </c>
      <c r="H916" s="7" t="s">
        <v>7528</v>
      </c>
      <c r="I916" s="7" t="s">
        <v>7529</v>
      </c>
      <c r="J916" s="7" t="s">
        <v>7530</v>
      </c>
      <c r="K916" s="7" t="s">
        <v>7531</v>
      </c>
      <c r="L916" s="12">
        <v>3</v>
      </c>
      <c r="M916" s="7" t="s">
        <v>156</v>
      </c>
    </row>
    <row r="917" spans="2:13" ht="37.5" customHeight="1" x14ac:dyDescent="0.35">
      <c r="B917" s="11">
        <v>49</v>
      </c>
      <c r="C917" s="5" t="s">
        <v>7331</v>
      </c>
      <c r="D917" s="11">
        <v>75</v>
      </c>
      <c r="E917" s="5" t="s">
        <v>7532</v>
      </c>
      <c r="F917" s="5" t="s">
        <v>7533</v>
      </c>
      <c r="G917" s="5" t="s">
        <v>7534</v>
      </c>
      <c r="H917" s="5" t="s">
        <v>42</v>
      </c>
      <c r="I917" s="5" t="s">
        <v>5099</v>
      </c>
      <c r="J917" s="5" t="s">
        <v>1903</v>
      </c>
      <c r="K917" s="5" t="s">
        <v>5100</v>
      </c>
      <c r="L917" s="11">
        <v>1</v>
      </c>
      <c r="M917" s="5" t="s">
        <v>156</v>
      </c>
    </row>
    <row r="918" spans="2:13" ht="37.5" customHeight="1" x14ac:dyDescent="0.35">
      <c r="B918" s="12">
        <v>49</v>
      </c>
      <c r="C918" s="7" t="s">
        <v>7331</v>
      </c>
      <c r="D918" s="12">
        <v>76</v>
      </c>
      <c r="E918" s="7" t="s">
        <v>7535</v>
      </c>
      <c r="F918" s="7" t="s">
        <v>7536</v>
      </c>
      <c r="G918" s="7" t="s">
        <v>1610</v>
      </c>
      <c r="H918" s="7" t="s">
        <v>44</v>
      </c>
      <c r="I918" s="7" t="s">
        <v>49</v>
      </c>
      <c r="J918" s="7" t="s">
        <v>213</v>
      </c>
      <c r="K918" s="7" t="s">
        <v>6308</v>
      </c>
      <c r="L918" s="12">
        <v>1</v>
      </c>
      <c r="M918" s="7" t="s">
        <v>156</v>
      </c>
    </row>
    <row r="919" spans="2:13" ht="37.5" customHeight="1" x14ac:dyDescent="0.35">
      <c r="B919" s="11">
        <v>49</v>
      </c>
      <c r="C919" s="5" t="s">
        <v>7331</v>
      </c>
      <c r="D919" s="11">
        <v>77</v>
      </c>
      <c r="E919" s="5" t="s">
        <v>7537</v>
      </c>
      <c r="F919" s="5" t="s">
        <v>7538</v>
      </c>
      <c r="G919" s="5" t="s">
        <v>365</v>
      </c>
      <c r="H919" s="5" t="s">
        <v>37</v>
      </c>
      <c r="I919" s="5" t="s">
        <v>55</v>
      </c>
      <c r="J919" s="5" t="s">
        <v>7539</v>
      </c>
      <c r="K919" s="5" t="s">
        <v>7540</v>
      </c>
      <c r="L919" s="11">
        <v>1</v>
      </c>
      <c r="M919" s="5" t="s">
        <v>156</v>
      </c>
    </row>
    <row r="920" spans="2:13" ht="37.5" customHeight="1" x14ac:dyDescent="0.35">
      <c r="B920" s="12">
        <v>49</v>
      </c>
      <c r="C920" s="7" t="s">
        <v>7331</v>
      </c>
      <c r="D920" s="12">
        <v>78</v>
      </c>
      <c r="E920" s="7" t="s">
        <v>7541</v>
      </c>
      <c r="F920" s="7" t="s">
        <v>7542</v>
      </c>
      <c r="G920" s="7" t="s">
        <v>3371</v>
      </c>
      <c r="H920" s="7" t="s">
        <v>37</v>
      </c>
      <c r="I920" s="7" t="s">
        <v>55</v>
      </c>
      <c r="J920" s="7" t="s">
        <v>7539</v>
      </c>
      <c r="K920" s="7" t="s">
        <v>7540</v>
      </c>
      <c r="L920" s="12">
        <v>1</v>
      </c>
      <c r="M920" s="7" t="s">
        <v>156</v>
      </c>
    </row>
    <row r="921" spans="2:13" ht="37.5" customHeight="1" x14ac:dyDescent="0.35">
      <c r="B921" s="11">
        <v>49</v>
      </c>
      <c r="C921" s="5" t="s">
        <v>7331</v>
      </c>
      <c r="D921" s="11">
        <v>79</v>
      </c>
      <c r="E921" s="5" t="s">
        <v>7543</v>
      </c>
      <c r="F921" s="5" t="s">
        <v>7544</v>
      </c>
      <c r="G921" s="5" t="s">
        <v>2229</v>
      </c>
      <c r="H921" s="5" t="s">
        <v>1995</v>
      </c>
      <c r="I921" s="5" t="s">
        <v>5327</v>
      </c>
      <c r="J921" s="5" t="s">
        <v>7545</v>
      </c>
      <c r="K921" s="5" t="s">
        <v>7546</v>
      </c>
      <c r="L921" s="11">
        <v>2</v>
      </c>
      <c r="M921" s="5" t="s">
        <v>156</v>
      </c>
    </row>
    <row r="922" spans="2:13" ht="37.5" customHeight="1" x14ac:dyDescent="0.35">
      <c r="B922" s="12">
        <v>49</v>
      </c>
      <c r="C922" s="7" t="s">
        <v>7331</v>
      </c>
      <c r="D922" s="12">
        <v>80</v>
      </c>
      <c r="E922" s="7" t="s">
        <v>7547</v>
      </c>
      <c r="F922" s="7" t="s">
        <v>7548</v>
      </c>
      <c r="G922" s="7" t="s">
        <v>736</v>
      </c>
      <c r="H922" s="7" t="s">
        <v>37</v>
      </c>
      <c r="I922" s="7" t="s">
        <v>55</v>
      </c>
      <c r="J922" s="7" t="s">
        <v>7127</v>
      </c>
      <c r="K922" s="7" t="s">
        <v>7128</v>
      </c>
      <c r="L922" s="12">
        <v>1</v>
      </c>
      <c r="M922" s="7" t="s">
        <v>156</v>
      </c>
    </row>
    <row r="923" spans="2:13" ht="37.5" customHeight="1" x14ac:dyDescent="0.35">
      <c r="B923" s="11">
        <v>49</v>
      </c>
      <c r="C923" s="5" t="s">
        <v>7331</v>
      </c>
      <c r="D923" s="11">
        <v>81</v>
      </c>
      <c r="E923" s="5" t="s">
        <v>7549</v>
      </c>
      <c r="F923" s="5" t="s">
        <v>7550</v>
      </c>
      <c r="G923" s="5" t="s">
        <v>2837</v>
      </c>
      <c r="H923" s="5" t="s">
        <v>38</v>
      </c>
      <c r="I923" s="5" t="s">
        <v>49</v>
      </c>
      <c r="J923" s="5" t="s">
        <v>213</v>
      </c>
      <c r="K923" s="5" t="s">
        <v>6311</v>
      </c>
      <c r="L923" s="11">
        <v>1</v>
      </c>
      <c r="M923" s="5" t="s">
        <v>156</v>
      </c>
    </row>
    <row r="924" spans="2:13" ht="37.5" customHeight="1" x14ac:dyDescent="0.35">
      <c r="B924" s="12">
        <v>49</v>
      </c>
      <c r="C924" s="7" t="s">
        <v>7331</v>
      </c>
      <c r="D924" s="12">
        <v>82</v>
      </c>
      <c r="E924" s="7" t="s">
        <v>7551</v>
      </c>
      <c r="F924" s="7" t="s">
        <v>7552</v>
      </c>
      <c r="G924" s="7" t="s">
        <v>4654</v>
      </c>
      <c r="H924" s="7" t="s">
        <v>38</v>
      </c>
      <c r="I924" s="7" t="s">
        <v>49</v>
      </c>
      <c r="J924" s="7" t="s">
        <v>213</v>
      </c>
      <c r="K924" s="7" t="s">
        <v>6311</v>
      </c>
      <c r="L924" s="12">
        <v>1</v>
      </c>
      <c r="M924" s="7" t="s">
        <v>156</v>
      </c>
    </row>
    <row r="925" spans="2:13" ht="37.5" customHeight="1" x14ac:dyDescent="0.35">
      <c r="B925" s="11">
        <v>49</v>
      </c>
      <c r="C925" s="5" t="s">
        <v>7331</v>
      </c>
      <c r="D925" s="11">
        <v>83</v>
      </c>
      <c r="E925" s="5" t="s">
        <v>7553</v>
      </c>
      <c r="F925" s="5" t="s">
        <v>7554</v>
      </c>
      <c r="G925" s="5" t="s">
        <v>950</v>
      </c>
      <c r="H925" s="5" t="s">
        <v>38</v>
      </c>
      <c r="I925" s="5" t="s">
        <v>49</v>
      </c>
      <c r="J925" s="5" t="s">
        <v>213</v>
      </c>
      <c r="K925" s="5" t="s">
        <v>6311</v>
      </c>
      <c r="L925" s="11">
        <v>1</v>
      </c>
      <c r="M925" s="5" t="s">
        <v>156</v>
      </c>
    </row>
    <row r="926" spans="2:13" ht="37.5" customHeight="1" x14ac:dyDescent="0.35">
      <c r="B926" s="12">
        <v>49</v>
      </c>
      <c r="C926" s="7" t="s">
        <v>7331</v>
      </c>
      <c r="D926" s="12">
        <v>84</v>
      </c>
      <c r="E926" s="7" t="s">
        <v>7555</v>
      </c>
      <c r="F926" s="7" t="s">
        <v>7556</v>
      </c>
      <c r="G926" s="7" t="s">
        <v>800</v>
      </c>
      <c r="H926" s="7" t="s">
        <v>4034</v>
      </c>
      <c r="I926" s="7" t="s">
        <v>49</v>
      </c>
      <c r="J926" s="7" t="s">
        <v>171</v>
      </c>
      <c r="K926" s="7" t="s">
        <v>7557</v>
      </c>
      <c r="L926" s="12">
        <v>2</v>
      </c>
      <c r="M926" s="7" t="s">
        <v>156</v>
      </c>
    </row>
    <row r="927" spans="2:13" ht="37.5" customHeight="1" x14ac:dyDescent="0.35">
      <c r="B927" s="11">
        <v>49</v>
      </c>
      <c r="C927" s="5" t="s">
        <v>7331</v>
      </c>
      <c r="D927" s="11">
        <v>85</v>
      </c>
      <c r="E927" s="5" t="s">
        <v>7558</v>
      </c>
      <c r="F927" s="5" t="s">
        <v>7559</v>
      </c>
      <c r="G927" s="5" t="s">
        <v>837</v>
      </c>
      <c r="H927" s="5" t="s">
        <v>37</v>
      </c>
      <c r="I927" s="5" t="s">
        <v>55</v>
      </c>
      <c r="J927" s="5" t="s">
        <v>7127</v>
      </c>
      <c r="K927" s="5" t="s">
        <v>7128</v>
      </c>
      <c r="L927" s="11">
        <v>1</v>
      </c>
      <c r="M927" s="5" t="s">
        <v>156</v>
      </c>
    </row>
    <row r="928" spans="2:13" ht="37.5" customHeight="1" x14ac:dyDescent="0.35">
      <c r="B928" s="12">
        <v>49</v>
      </c>
      <c r="C928" s="7" t="s">
        <v>7331</v>
      </c>
      <c r="D928" s="12">
        <v>86</v>
      </c>
      <c r="E928" s="7" t="s">
        <v>7560</v>
      </c>
      <c r="F928" s="7" t="s">
        <v>7561</v>
      </c>
      <c r="G928" s="7" t="s">
        <v>7562</v>
      </c>
      <c r="H928" s="7" t="s">
        <v>37</v>
      </c>
      <c r="I928" s="7" t="s">
        <v>55</v>
      </c>
      <c r="J928" s="7" t="s">
        <v>7127</v>
      </c>
      <c r="K928" s="7" t="s">
        <v>7128</v>
      </c>
      <c r="L928" s="12">
        <v>1</v>
      </c>
      <c r="M928" s="7" t="s">
        <v>156</v>
      </c>
    </row>
    <row r="929" spans="2:13" ht="37.5" customHeight="1" x14ac:dyDescent="0.35">
      <c r="B929" s="11">
        <v>49</v>
      </c>
      <c r="C929" s="5" t="s">
        <v>7331</v>
      </c>
      <c r="D929" s="11">
        <v>87</v>
      </c>
      <c r="E929" s="5" t="s">
        <v>7563</v>
      </c>
      <c r="F929" s="5" t="s">
        <v>7564</v>
      </c>
      <c r="G929" s="5" t="s">
        <v>7565</v>
      </c>
      <c r="H929" s="5"/>
      <c r="I929" s="5" t="s">
        <v>4657</v>
      </c>
      <c r="J929" s="5" t="s">
        <v>1903</v>
      </c>
      <c r="K929" s="5" t="s">
        <v>7566</v>
      </c>
      <c r="L929" s="11">
        <v>1</v>
      </c>
      <c r="M929" s="5" t="s">
        <v>156</v>
      </c>
    </row>
    <row r="930" spans="2:13" ht="37.5" customHeight="1" x14ac:dyDescent="0.35">
      <c r="B930" s="12">
        <v>49</v>
      </c>
      <c r="C930" s="7" t="s">
        <v>7331</v>
      </c>
      <c r="D930" s="12">
        <v>88</v>
      </c>
      <c r="E930" s="7" t="s">
        <v>7567</v>
      </c>
      <c r="F930" s="7" t="s">
        <v>7568</v>
      </c>
      <c r="G930" s="7" t="s">
        <v>891</v>
      </c>
      <c r="H930" s="7" t="s">
        <v>37</v>
      </c>
      <c r="I930" s="7" t="s">
        <v>55</v>
      </c>
      <c r="J930" s="7" t="s">
        <v>7127</v>
      </c>
      <c r="K930" s="7" t="s">
        <v>7128</v>
      </c>
      <c r="L930" s="12">
        <v>1</v>
      </c>
      <c r="M930" s="7" t="s">
        <v>156</v>
      </c>
    </row>
    <row r="931" spans="2:13" ht="37.5" customHeight="1" x14ac:dyDescent="0.35">
      <c r="B931" s="11">
        <v>49</v>
      </c>
      <c r="C931" s="5" t="s">
        <v>7331</v>
      </c>
      <c r="D931" s="11">
        <v>89</v>
      </c>
      <c r="E931" s="5" t="s">
        <v>7569</v>
      </c>
      <c r="F931" s="5" t="s">
        <v>7570</v>
      </c>
      <c r="G931" s="5" t="s">
        <v>2405</v>
      </c>
      <c r="H931" s="5" t="s">
        <v>37</v>
      </c>
      <c r="I931" s="5" t="s">
        <v>55</v>
      </c>
      <c r="J931" s="5" t="s">
        <v>7127</v>
      </c>
      <c r="K931" s="5" t="s">
        <v>7128</v>
      </c>
      <c r="L931" s="11">
        <v>1</v>
      </c>
      <c r="M931" s="5" t="s">
        <v>156</v>
      </c>
    </row>
    <row r="932" spans="2:13" ht="37.5" customHeight="1" x14ac:dyDescent="0.35">
      <c r="B932" s="12">
        <v>49</v>
      </c>
      <c r="C932" s="7" t="s">
        <v>7331</v>
      </c>
      <c r="D932" s="12">
        <v>90</v>
      </c>
      <c r="E932" s="7" t="s">
        <v>7571</v>
      </c>
      <c r="F932" s="7" t="s">
        <v>7572</v>
      </c>
      <c r="G932" s="7" t="s">
        <v>3065</v>
      </c>
      <c r="H932" s="7" t="s">
        <v>37</v>
      </c>
      <c r="I932" s="7" t="s">
        <v>55</v>
      </c>
      <c r="J932" s="7" t="s">
        <v>7127</v>
      </c>
      <c r="K932" s="7" t="s">
        <v>7128</v>
      </c>
      <c r="L932" s="12">
        <v>1</v>
      </c>
      <c r="M932" s="7" t="s">
        <v>156</v>
      </c>
    </row>
    <row r="933" spans="2:13" ht="37.5" customHeight="1" x14ac:dyDescent="0.35">
      <c r="B933" s="11">
        <v>49</v>
      </c>
      <c r="C933" s="5" t="s">
        <v>7331</v>
      </c>
      <c r="D933" s="11">
        <v>91</v>
      </c>
      <c r="E933" s="5" t="s">
        <v>7573</v>
      </c>
      <c r="F933" s="5" t="s">
        <v>7574</v>
      </c>
      <c r="G933" s="5" t="s">
        <v>950</v>
      </c>
      <c r="H933" s="5" t="s">
        <v>38</v>
      </c>
      <c r="I933" s="5" t="s">
        <v>49</v>
      </c>
      <c r="J933" s="5" t="s">
        <v>213</v>
      </c>
      <c r="K933" s="5" t="s">
        <v>6311</v>
      </c>
      <c r="L933" s="11">
        <v>1</v>
      </c>
      <c r="M933" s="5" t="s">
        <v>156</v>
      </c>
    </row>
    <row r="934" spans="2:13" ht="37.5" customHeight="1" x14ac:dyDescent="0.35">
      <c r="B934" s="12">
        <v>49</v>
      </c>
      <c r="C934" s="7" t="s">
        <v>7331</v>
      </c>
      <c r="D934" s="12">
        <v>92</v>
      </c>
      <c r="E934" s="7" t="s">
        <v>7575</v>
      </c>
      <c r="F934" s="7" t="s">
        <v>7576</v>
      </c>
      <c r="G934" s="7" t="s">
        <v>6668</v>
      </c>
      <c r="H934" s="7" t="s">
        <v>44</v>
      </c>
      <c r="I934" s="7" t="s">
        <v>49</v>
      </c>
      <c r="J934" s="7" t="s">
        <v>213</v>
      </c>
      <c r="K934" s="7" t="s">
        <v>6308</v>
      </c>
      <c r="L934" s="12">
        <v>1</v>
      </c>
      <c r="M934" s="7" t="s">
        <v>156</v>
      </c>
    </row>
    <row r="935" spans="2:13" ht="37.5" customHeight="1" x14ac:dyDescent="0.35">
      <c r="B935" s="11">
        <v>49</v>
      </c>
      <c r="C935" s="5" t="s">
        <v>7331</v>
      </c>
      <c r="D935" s="11">
        <v>93</v>
      </c>
      <c r="E935" s="5" t="s">
        <v>7577</v>
      </c>
      <c r="F935" s="5" t="s">
        <v>7578</v>
      </c>
      <c r="G935" s="5" t="s">
        <v>1164</v>
      </c>
      <c r="H935" s="5" t="s">
        <v>37</v>
      </c>
      <c r="I935" s="5" t="s">
        <v>51</v>
      </c>
      <c r="J935" s="5" t="s">
        <v>177</v>
      </c>
      <c r="K935" s="5" t="s">
        <v>5517</v>
      </c>
      <c r="L935" s="11">
        <v>1</v>
      </c>
      <c r="M935" s="5" t="s">
        <v>156</v>
      </c>
    </row>
    <row r="936" spans="2:13" ht="37.5" customHeight="1" x14ac:dyDescent="0.35">
      <c r="B936" s="12">
        <v>49</v>
      </c>
      <c r="C936" s="7" t="s">
        <v>7331</v>
      </c>
      <c r="D936" s="12">
        <v>94</v>
      </c>
      <c r="E936" s="7" t="s">
        <v>7579</v>
      </c>
      <c r="F936" s="7" t="s">
        <v>7580</v>
      </c>
      <c r="G936" s="7" t="s">
        <v>7581</v>
      </c>
      <c r="H936" s="7" t="s">
        <v>37</v>
      </c>
      <c r="I936" s="7" t="s">
        <v>55</v>
      </c>
      <c r="J936" s="7" t="s">
        <v>7127</v>
      </c>
      <c r="K936" s="7" t="s">
        <v>7128</v>
      </c>
      <c r="L936" s="12">
        <v>1</v>
      </c>
      <c r="M936" s="7" t="s">
        <v>156</v>
      </c>
    </row>
    <row r="937" spans="2:13" ht="37.5" customHeight="1" x14ac:dyDescent="0.35">
      <c r="B937" s="11">
        <v>49</v>
      </c>
      <c r="C937" s="5" t="s">
        <v>7331</v>
      </c>
      <c r="D937" s="11">
        <v>95</v>
      </c>
      <c r="E937" s="5" t="s">
        <v>7582</v>
      </c>
      <c r="F937" s="5" t="s">
        <v>7583</v>
      </c>
      <c r="G937" s="5" t="s">
        <v>1127</v>
      </c>
      <c r="H937" s="5" t="s">
        <v>37</v>
      </c>
      <c r="I937" s="5" t="s">
        <v>55</v>
      </c>
      <c r="J937" s="5" t="s">
        <v>7127</v>
      </c>
      <c r="K937" s="5" t="s">
        <v>7128</v>
      </c>
      <c r="L937" s="11">
        <v>1</v>
      </c>
      <c r="M937" s="5" t="s">
        <v>156</v>
      </c>
    </row>
    <row r="938" spans="2:13" ht="37.5" customHeight="1" x14ac:dyDescent="0.35">
      <c r="B938" s="12">
        <v>49</v>
      </c>
      <c r="C938" s="7" t="s">
        <v>7331</v>
      </c>
      <c r="D938" s="12">
        <v>96</v>
      </c>
      <c r="E938" s="7" t="s">
        <v>7584</v>
      </c>
      <c r="F938" s="7" t="s">
        <v>7585</v>
      </c>
      <c r="G938" s="7" t="s">
        <v>7586</v>
      </c>
      <c r="H938" s="7" t="s">
        <v>42</v>
      </c>
      <c r="I938" s="7" t="s">
        <v>5023</v>
      </c>
      <c r="J938" s="7" t="s">
        <v>1903</v>
      </c>
      <c r="K938" s="7" t="s">
        <v>7453</v>
      </c>
      <c r="L938" s="12">
        <v>1</v>
      </c>
      <c r="M938" s="7" t="s">
        <v>156</v>
      </c>
    </row>
    <row r="939" spans="2:13" ht="37.5" customHeight="1" x14ac:dyDescent="0.35">
      <c r="B939" s="11">
        <v>49</v>
      </c>
      <c r="C939" s="5" t="s">
        <v>7331</v>
      </c>
      <c r="D939" s="11">
        <v>97</v>
      </c>
      <c r="E939" s="5" t="s">
        <v>7587</v>
      </c>
      <c r="F939" s="5" t="s">
        <v>7588</v>
      </c>
      <c r="G939" s="5" t="s">
        <v>244</v>
      </c>
      <c r="H939" s="5" t="s">
        <v>37</v>
      </c>
      <c r="I939" s="5" t="s">
        <v>55</v>
      </c>
      <c r="J939" s="5" t="s">
        <v>7127</v>
      </c>
      <c r="K939" s="5" t="s">
        <v>7128</v>
      </c>
      <c r="L939" s="11">
        <v>1</v>
      </c>
      <c r="M939" s="5" t="s">
        <v>156</v>
      </c>
    </row>
    <row r="940" spans="2:13" ht="37.5" customHeight="1" x14ac:dyDescent="0.35">
      <c r="B940" s="12">
        <v>49</v>
      </c>
      <c r="C940" s="7" t="s">
        <v>7331</v>
      </c>
      <c r="D940" s="12">
        <v>98</v>
      </c>
      <c r="E940" s="7" t="s">
        <v>7589</v>
      </c>
      <c r="F940" s="7" t="s">
        <v>7590</v>
      </c>
      <c r="G940" s="7" t="s">
        <v>993</v>
      </c>
      <c r="H940" s="7" t="s">
        <v>41</v>
      </c>
      <c r="I940" s="7" t="s">
        <v>49</v>
      </c>
      <c r="J940" s="7" t="s">
        <v>213</v>
      </c>
      <c r="K940" s="7" t="s">
        <v>214</v>
      </c>
      <c r="L940" s="12">
        <v>1</v>
      </c>
      <c r="M940" s="7" t="s">
        <v>156</v>
      </c>
    </row>
    <row r="941" spans="2:13" ht="37.5" customHeight="1" x14ac:dyDescent="0.35">
      <c r="B941" s="11">
        <v>49</v>
      </c>
      <c r="C941" s="5" t="s">
        <v>7331</v>
      </c>
      <c r="D941" s="11">
        <v>99</v>
      </c>
      <c r="E941" s="5" t="s">
        <v>7591</v>
      </c>
      <c r="F941" s="5" t="s">
        <v>7592</v>
      </c>
      <c r="G941" s="5" t="s">
        <v>842</v>
      </c>
      <c r="H941" s="5" t="s">
        <v>41</v>
      </c>
      <c r="I941" s="5" t="s">
        <v>49</v>
      </c>
      <c r="J941" s="5" t="s">
        <v>213</v>
      </c>
      <c r="K941" s="5" t="s">
        <v>214</v>
      </c>
      <c r="L941" s="11">
        <v>1</v>
      </c>
      <c r="M941" s="5" t="s">
        <v>156</v>
      </c>
    </row>
    <row r="942" spans="2:13" ht="37.5" customHeight="1" x14ac:dyDescent="0.35">
      <c r="B942" s="12">
        <v>49</v>
      </c>
      <c r="C942" s="7" t="s">
        <v>7331</v>
      </c>
      <c r="D942" s="12">
        <v>100</v>
      </c>
      <c r="E942" s="7" t="s">
        <v>7593</v>
      </c>
      <c r="F942" s="7" t="s">
        <v>7594</v>
      </c>
      <c r="G942" s="7" t="s">
        <v>1226</v>
      </c>
      <c r="H942" s="7" t="s">
        <v>43</v>
      </c>
      <c r="I942" s="7" t="s">
        <v>49</v>
      </c>
      <c r="J942" s="7" t="s">
        <v>213</v>
      </c>
      <c r="K942" s="7" t="s">
        <v>7595</v>
      </c>
      <c r="L942" s="12">
        <v>1</v>
      </c>
      <c r="M942" s="7" t="s">
        <v>156</v>
      </c>
    </row>
    <row r="943" spans="2:13" ht="37.5" customHeight="1" x14ac:dyDescent="0.35">
      <c r="B943" s="11">
        <v>49</v>
      </c>
      <c r="C943" s="5" t="s">
        <v>7331</v>
      </c>
      <c r="D943" s="11">
        <v>101</v>
      </c>
      <c r="E943" s="5" t="s">
        <v>7596</v>
      </c>
      <c r="F943" s="5" t="s">
        <v>7597</v>
      </c>
      <c r="G943" s="5" t="s">
        <v>185</v>
      </c>
      <c r="H943" s="5" t="s">
        <v>1995</v>
      </c>
      <c r="I943" s="5" t="s">
        <v>6862</v>
      </c>
      <c r="J943" s="5" t="s">
        <v>7391</v>
      </c>
      <c r="K943" s="5" t="s">
        <v>7598</v>
      </c>
      <c r="L943" s="11">
        <v>2</v>
      </c>
      <c r="M943" s="5" t="s">
        <v>156</v>
      </c>
    </row>
    <row r="944" spans="2:13" ht="37.5" customHeight="1" x14ac:dyDescent="0.35">
      <c r="B944" s="12">
        <v>49</v>
      </c>
      <c r="C944" s="7" t="s">
        <v>7331</v>
      </c>
      <c r="D944" s="12">
        <v>102</v>
      </c>
      <c r="E944" s="7" t="s">
        <v>7599</v>
      </c>
      <c r="F944" s="7" t="s">
        <v>7600</v>
      </c>
      <c r="G944" s="7" t="s">
        <v>25</v>
      </c>
      <c r="H944" s="7" t="s">
        <v>7601</v>
      </c>
      <c r="I944" s="7" t="s">
        <v>7602</v>
      </c>
      <c r="J944" s="7" t="s">
        <v>7603</v>
      </c>
      <c r="K944" s="7" t="s">
        <v>7604</v>
      </c>
      <c r="L944" s="12">
        <v>2</v>
      </c>
      <c r="M944" s="7" t="s">
        <v>156</v>
      </c>
    </row>
    <row r="945" spans="2:13" ht="37.5" customHeight="1" x14ac:dyDescent="0.35">
      <c r="B945" s="11">
        <v>49</v>
      </c>
      <c r="C945" s="5" t="s">
        <v>7331</v>
      </c>
      <c r="D945" s="11">
        <v>103</v>
      </c>
      <c r="E945" s="5" t="s">
        <v>7605</v>
      </c>
      <c r="F945" s="5" t="s">
        <v>7606</v>
      </c>
      <c r="G945" s="5" t="s">
        <v>7083</v>
      </c>
      <c r="H945" s="5" t="s">
        <v>1995</v>
      </c>
      <c r="I945" s="5" t="s">
        <v>6862</v>
      </c>
      <c r="J945" s="5" t="s">
        <v>7607</v>
      </c>
      <c r="K945" s="5" t="s">
        <v>7608</v>
      </c>
      <c r="L945" s="11">
        <v>2</v>
      </c>
      <c r="M945" s="5" t="s">
        <v>156</v>
      </c>
    </row>
    <row r="946" spans="2:13" ht="37.5" customHeight="1" x14ac:dyDescent="0.35">
      <c r="B946" s="12">
        <v>49</v>
      </c>
      <c r="C946" s="7" t="s">
        <v>7331</v>
      </c>
      <c r="D946" s="12">
        <v>104</v>
      </c>
      <c r="E946" s="7" t="s">
        <v>7609</v>
      </c>
      <c r="F946" s="7" t="s">
        <v>7610</v>
      </c>
      <c r="G946" s="7" t="s">
        <v>918</v>
      </c>
      <c r="H946" s="7" t="s">
        <v>4996</v>
      </c>
      <c r="I946" s="7" t="s">
        <v>5327</v>
      </c>
      <c r="J946" s="7" t="s">
        <v>7358</v>
      </c>
      <c r="K946" s="7" t="s">
        <v>7611</v>
      </c>
      <c r="L946" s="12">
        <v>2</v>
      </c>
      <c r="M946" s="7" t="s">
        <v>156</v>
      </c>
    </row>
    <row r="947" spans="2:13" ht="37.5" customHeight="1" x14ac:dyDescent="0.35">
      <c r="B947" s="11">
        <v>49</v>
      </c>
      <c r="C947" s="5" t="s">
        <v>7331</v>
      </c>
      <c r="D947" s="11">
        <v>105</v>
      </c>
      <c r="E947" s="5" t="s">
        <v>7612</v>
      </c>
      <c r="F947" s="5" t="s">
        <v>7613</v>
      </c>
      <c r="G947" s="5" t="s">
        <v>4908</v>
      </c>
      <c r="H947" s="5" t="s">
        <v>37</v>
      </c>
      <c r="I947" s="5" t="s">
        <v>51</v>
      </c>
      <c r="J947" s="5" t="s">
        <v>177</v>
      </c>
      <c r="K947" s="5" t="s">
        <v>5517</v>
      </c>
      <c r="L947" s="11">
        <v>1</v>
      </c>
      <c r="M947" s="5" t="s">
        <v>156</v>
      </c>
    </row>
    <row r="948" spans="2:13" ht="37.5" customHeight="1" x14ac:dyDescent="0.35">
      <c r="B948" s="12">
        <v>49</v>
      </c>
      <c r="C948" s="7" t="s">
        <v>7331</v>
      </c>
      <c r="D948" s="12">
        <v>106</v>
      </c>
      <c r="E948" s="7" t="s">
        <v>7614</v>
      </c>
      <c r="F948" s="7" t="s">
        <v>7615</v>
      </c>
      <c r="G948" s="7" t="s">
        <v>1593</v>
      </c>
      <c r="H948" s="7" t="s">
        <v>4676</v>
      </c>
      <c r="I948" s="7" t="s">
        <v>49</v>
      </c>
      <c r="J948" s="7" t="s">
        <v>213</v>
      </c>
      <c r="K948" s="7" t="s">
        <v>7362</v>
      </c>
      <c r="L948" s="12">
        <v>1</v>
      </c>
      <c r="M948" s="7" t="s">
        <v>156</v>
      </c>
    </row>
    <row r="949" spans="2:13" ht="37.5" customHeight="1" x14ac:dyDescent="0.35">
      <c r="B949" s="11">
        <v>49</v>
      </c>
      <c r="C949" s="5" t="s">
        <v>7331</v>
      </c>
      <c r="D949" s="11">
        <v>107</v>
      </c>
      <c r="E949" s="5" t="s">
        <v>7616</v>
      </c>
      <c r="F949" s="5" t="s">
        <v>7617</v>
      </c>
      <c r="G949" s="5" t="s">
        <v>913</v>
      </c>
      <c r="H949" s="5" t="s">
        <v>41</v>
      </c>
      <c r="I949" s="5" t="s">
        <v>49</v>
      </c>
      <c r="J949" s="5" t="s">
        <v>233</v>
      </c>
      <c r="K949" s="5" t="s">
        <v>5172</v>
      </c>
      <c r="L949" s="11">
        <v>1</v>
      </c>
      <c r="M949" s="5" t="s">
        <v>156</v>
      </c>
    </row>
    <row r="950" spans="2:13" ht="37.5" customHeight="1" x14ac:dyDescent="0.35">
      <c r="B950" s="12">
        <v>49</v>
      </c>
      <c r="C950" s="7" t="s">
        <v>7331</v>
      </c>
      <c r="D950" s="12">
        <v>108</v>
      </c>
      <c r="E950" s="7" t="s">
        <v>7618</v>
      </c>
      <c r="F950" s="7" t="s">
        <v>7619</v>
      </c>
      <c r="G950" s="7" t="s">
        <v>1781</v>
      </c>
      <c r="H950" s="7" t="s">
        <v>42</v>
      </c>
      <c r="I950" s="7" t="s">
        <v>49</v>
      </c>
      <c r="J950" s="7" t="s">
        <v>7620</v>
      </c>
      <c r="K950" s="7" t="s">
        <v>7621</v>
      </c>
      <c r="L950" s="12">
        <v>1</v>
      </c>
      <c r="M950" s="7" t="s">
        <v>156</v>
      </c>
    </row>
    <row r="951" spans="2:13" ht="37.5" customHeight="1" x14ac:dyDescent="0.35">
      <c r="B951" s="11">
        <v>49</v>
      </c>
      <c r="C951" s="5" t="s">
        <v>7331</v>
      </c>
      <c r="D951" s="11">
        <v>109</v>
      </c>
      <c r="E951" s="5" t="s">
        <v>7622</v>
      </c>
      <c r="F951" s="5" t="s">
        <v>7619</v>
      </c>
      <c r="G951" s="5" t="s">
        <v>1263</v>
      </c>
      <c r="H951" s="5" t="s">
        <v>44</v>
      </c>
      <c r="I951" s="5" t="s">
        <v>49</v>
      </c>
      <c r="J951" s="5" t="s">
        <v>233</v>
      </c>
      <c r="K951" s="5" t="s">
        <v>5524</v>
      </c>
      <c r="L951" s="11">
        <v>1</v>
      </c>
      <c r="M951" s="5" t="s">
        <v>156</v>
      </c>
    </row>
    <row r="952" spans="2:13" ht="37.5" customHeight="1" x14ac:dyDescent="0.35">
      <c r="B952" s="12">
        <v>49</v>
      </c>
      <c r="C952" s="7" t="s">
        <v>7331</v>
      </c>
      <c r="D952" s="12">
        <v>110</v>
      </c>
      <c r="E952" s="7" t="s">
        <v>7623</v>
      </c>
      <c r="F952" s="7" t="s">
        <v>7624</v>
      </c>
      <c r="G952" s="7" t="s">
        <v>752</v>
      </c>
      <c r="H952" s="7" t="s">
        <v>38</v>
      </c>
      <c r="I952" s="7" t="s">
        <v>268</v>
      </c>
      <c r="J952" s="7" t="s">
        <v>154</v>
      </c>
      <c r="K952" s="7" t="s">
        <v>7236</v>
      </c>
      <c r="L952" s="12">
        <v>1</v>
      </c>
      <c r="M952" s="7" t="s">
        <v>156</v>
      </c>
    </row>
    <row r="953" spans="2:13" ht="37.5" customHeight="1" x14ac:dyDescent="0.35">
      <c r="B953" s="11">
        <v>49</v>
      </c>
      <c r="C953" s="5" t="s">
        <v>7331</v>
      </c>
      <c r="D953" s="11">
        <v>111</v>
      </c>
      <c r="E953" s="5" t="s">
        <v>7625</v>
      </c>
      <c r="F953" s="5" t="s">
        <v>7626</v>
      </c>
      <c r="G953" s="5" t="s">
        <v>1725</v>
      </c>
      <c r="H953" s="5" t="s">
        <v>38</v>
      </c>
      <c r="I953" s="5" t="s">
        <v>268</v>
      </c>
      <c r="J953" s="5" t="s">
        <v>154</v>
      </c>
      <c r="K953" s="5" t="s">
        <v>7236</v>
      </c>
      <c r="L953" s="11">
        <v>1</v>
      </c>
      <c r="M953" s="5" t="s">
        <v>156</v>
      </c>
    </row>
    <row r="954" spans="2:13" ht="37.5" customHeight="1" x14ac:dyDescent="0.35">
      <c r="B954" s="12">
        <v>49</v>
      </c>
      <c r="C954" s="7" t="s">
        <v>7331</v>
      </c>
      <c r="D954" s="12">
        <v>112</v>
      </c>
      <c r="E954" s="7" t="s">
        <v>7627</v>
      </c>
      <c r="F954" s="7" t="s">
        <v>7628</v>
      </c>
      <c r="G954" s="7" t="s">
        <v>27</v>
      </c>
      <c r="H954" s="7" t="s">
        <v>44</v>
      </c>
      <c r="I954" s="7" t="s">
        <v>49</v>
      </c>
      <c r="J954" s="7" t="s">
        <v>233</v>
      </c>
      <c r="K954" s="7" t="s">
        <v>5524</v>
      </c>
      <c r="L954" s="12">
        <v>1</v>
      </c>
      <c r="M954" s="7" t="s">
        <v>156</v>
      </c>
    </row>
    <row r="955" spans="2:13" ht="37.5" customHeight="1" x14ac:dyDescent="0.35">
      <c r="B955" s="11">
        <v>49</v>
      </c>
      <c r="C955" s="5" t="s">
        <v>7331</v>
      </c>
      <c r="D955" s="11">
        <v>113</v>
      </c>
      <c r="E955" s="5" t="s">
        <v>7629</v>
      </c>
      <c r="F955" s="5" t="s">
        <v>7630</v>
      </c>
      <c r="G955" s="5" t="s">
        <v>1793</v>
      </c>
      <c r="H955" s="5" t="s">
        <v>38</v>
      </c>
      <c r="I955" s="5" t="s">
        <v>268</v>
      </c>
      <c r="J955" s="5" t="s">
        <v>154</v>
      </c>
      <c r="K955" s="5" t="s">
        <v>7236</v>
      </c>
      <c r="L955" s="11">
        <v>1</v>
      </c>
      <c r="M955" s="5" t="s">
        <v>156</v>
      </c>
    </row>
    <row r="956" spans="2:13" ht="37.5" customHeight="1" x14ac:dyDescent="0.35">
      <c r="B956" s="12">
        <v>49</v>
      </c>
      <c r="C956" s="7" t="s">
        <v>7331</v>
      </c>
      <c r="D956" s="12">
        <v>114</v>
      </c>
      <c r="E956" s="7" t="s">
        <v>7631</v>
      </c>
      <c r="F956" s="7" t="s">
        <v>7632</v>
      </c>
      <c r="G956" s="7" t="s">
        <v>582</v>
      </c>
      <c r="H956" s="7" t="s">
        <v>40</v>
      </c>
      <c r="I956" s="7" t="s">
        <v>54</v>
      </c>
      <c r="J956" s="7" t="s">
        <v>213</v>
      </c>
      <c r="K956" s="7" t="s">
        <v>254</v>
      </c>
      <c r="L956" s="12">
        <v>1</v>
      </c>
      <c r="M956" s="7" t="s">
        <v>156</v>
      </c>
    </row>
    <row r="957" spans="2:13" ht="37.5" customHeight="1" x14ac:dyDescent="0.35">
      <c r="B957" s="11">
        <v>49</v>
      </c>
      <c r="C957" s="5" t="s">
        <v>7331</v>
      </c>
      <c r="D957" s="11">
        <v>115</v>
      </c>
      <c r="E957" s="5" t="s">
        <v>7633</v>
      </c>
      <c r="F957" s="5" t="s">
        <v>7634</v>
      </c>
      <c r="G957" s="5" t="s">
        <v>7083</v>
      </c>
      <c r="H957" s="5" t="s">
        <v>38</v>
      </c>
      <c r="I957" s="5" t="s">
        <v>268</v>
      </c>
      <c r="J957" s="5" t="s">
        <v>213</v>
      </c>
      <c r="K957" s="5" t="s">
        <v>7635</v>
      </c>
      <c r="L957" s="11">
        <v>1</v>
      </c>
      <c r="M957" s="5" t="s">
        <v>156</v>
      </c>
    </row>
    <row r="958" spans="2:13" ht="37.5" customHeight="1" x14ac:dyDescent="0.35">
      <c r="B958" s="12">
        <v>49</v>
      </c>
      <c r="C958" s="7" t="s">
        <v>7331</v>
      </c>
      <c r="D958" s="12">
        <v>116</v>
      </c>
      <c r="E958" s="7" t="s">
        <v>7636</v>
      </c>
      <c r="F958" s="7" t="s">
        <v>7637</v>
      </c>
      <c r="G958" s="7" t="s">
        <v>7638</v>
      </c>
      <c r="H958" s="7" t="s">
        <v>42</v>
      </c>
      <c r="I958" s="7" t="s">
        <v>7639</v>
      </c>
      <c r="J958" s="7" t="s">
        <v>7127</v>
      </c>
      <c r="K958" s="7" t="s">
        <v>7640</v>
      </c>
      <c r="L958" s="12">
        <v>1</v>
      </c>
      <c r="M958" s="7" t="s">
        <v>156</v>
      </c>
    </row>
    <row r="959" spans="2:13" ht="37.5" customHeight="1" x14ac:dyDescent="0.35">
      <c r="B959" s="11">
        <v>49</v>
      </c>
      <c r="C959" s="5" t="s">
        <v>7331</v>
      </c>
      <c r="D959" s="11">
        <v>117</v>
      </c>
      <c r="E959" s="5" t="s">
        <v>7641</v>
      </c>
      <c r="F959" s="5" t="s">
        <v>7642</v>
      </c>
      <c r="G959" s="5" t="s">
        <v>4634</v>
      </c>
      <c r="H959" s="5" t="s">
        <v>42</v>
      </c>
      <c r="I959" s="5" t="s">
        <v>7643</v>
      </c>
      <c r="J959" s="5" t="s">
        <v>194</v>
      </c>
      <c r="K959" s="5" t="s">
        <v>7644</v>
      </c>
      <c r="L959" s="11">
        <v>1</v>
      </c>
      <c r="M959" s="5" t="s">
        <v>156</v>
      </c>
    </row>
    <row r="960" spans="2:13" ht="37.5" customHeight="1" x14ac:dyDescent="0.35">
      <c r="B960" s="12">
        <v>49</v>
      </c>
      <c r="C960" s="7" t="s">
        <v>7331</v>
      </c>
      <c r="D960" s="12">
        <v>118</v>
      </c>
      <c r="E960" s="7" t="s">
        <v>7645</v>
      </c>
      <c r="F960" s="7" t="s">
        <v>7646</v>
      </c>
      <c r="G960" s="7" t="s">
        <v>6230</v>
      </c>
      <c r="H960" s="7" t="s">
        <v>7647</v>
      </c>
      <c r="I960" s="7" t="s">
        <v>7648</v>
      </c>
      <c r="J960" s="7" t="s">
        <v>7649</v>
      </c>
      <c r="K960" s="7" t="s">
        <v>7650</v>
      </c>
      <c r="L960" s="12">
        <v>2</v>
      </c>
      <c r="M960" s="7" t="s">
        <v>156</v>
      </c>
    </row>
    <row r="961" spans="2:13" ht="37.5" customHeight="1" x14ac:dyDescent="0.35">
      <c r="B961" s="11">
        <v>49</v>
      </c>
      <c r="C961" s="5" t="s">
        <v>7331</v>
      </c>
      <c r="D961" s="11">
        <v>119</v>
      </c>
      <c r="E961" s="5" t="s">
        <v>7651</v>
      </c>
      <c r="F961" s="5" t="s">
        <v>7652</v>
      </c>
      <c r="G961" s="5" t="s">
        <v>1961</v>
      </c>
      <c r="H961" s="5" t="s">
        <v>7647</v>
      </c>
      <c r="I961" s="5" t="s">
        <v>7648</v>
      </c>
      <c r="J961" s="5" t="s">
        <v>7649</v>
      </c>
      <c r="K961" s="5" t="s">
        <v>7650</v>
      </c>
      <c r="L961" s="11">
        <v>2</v>
      </c>
      <c r="M961" s="5" t="s">
        <v>156</v>
      </c>
    </row>
    <row r="962" spans="2:13" ht="37.5" customHeight="1" x14ac:dyDescent="0.35">
      <c r="B962" s="12">
        <v>49</v>
      </c>
      <c r="C962" s="7" t="s">
        <v>7331</v>
      </c>
      <c r="D962" s="12">
        <v>120</v>
      </c>
      <c r="E962" s="7" t="s">
        <v>7653</v>
      </c>
      <c r="F962" s="7" t="s">
        <v>7654</v>
      </c>
      <c r="G962" s="7" t="s">
        <v>962</v>
      </c>
      <c r="H962" s="7" t="s">
        <v>40</v>
      </c>
      <c r="I962" s="7" t="s">
        <v>54</v>
      </c>
      <c r="J962" s="7" t="s">
        <v>213</v>
      </c>
      <c r="K962" s="7" t="s">
        <v>254</v>
      </c>
      <c r="L962" s="12">
        <v>1</v>
      </c>
      <c r="M962" s="7" t="s">
        <v>156</v>
      </c>
    </row>
    <row r="963" spans="2:13" ht="37.5" customHeight="1" x14ac:dyDescent="0.35">
      <c r="B963" s="11">
        <v>49</v>
      </c>
      <c r="C963" s="5" t="s">
        <v>7331</v>
      </c>
      <c r="D963" s="11">
        <v>121</v>
      </c>
      <c r="E963" s="5" t="s">
        <v>7655</v>
      </c>
      <c r="F963" s="5" t="s">
        <v>7656</v>
      </c>
      <c r="G963" s="5" t="s">
        <v>5381</v>
      </c>
      <c r="H963" s="5" t="s">
        <v>38</v>
      </c>
      <c r="I963" s="5" t="s">
        <v>268</v>
      </c>
      <c r="J963" s="5" t="s">
        <v>154</v>
      </c>
      <c r="K963" s="5" t="s">
        <v>7236</v>
      </c>
      <c r="L963" s="11">
        <v>1</v>
      </c>
      <c r="M963" s="5" t="s">
        <v>156</v>
      </c>
    </row>
    <row r="964" spans="2:13" ht="37.5" customHeight="1" x14ac:dyDescent="0.35">
      <c r="B964" s="12">
        <v>49</v>
      </c>
      <c r="C964" s="7" t="s">
        <v>7331</v>
      </c>
      <c r="D964" s="12">
        <v>122</v>
      </c>
      <c r="E964" s="7" t="s">
        <v>7657</v>
      </c>
      <c r="F964" s="7" t="s">
        <v>7658</v>
      </c>
      <c r="G964" s="7" t="s">
        <v>1196</v>
      </c>
      <c r="H964" s="7" t="s">
        <v>38</v>
      </c>
      <c r="I964" s="7" t="s">
        <v>268</v>
      </c>
      <c r="J964" s="7" t="s">
        <v>154</v>
      </c>
      <c r="K964" s="7" t="s">
        <v>7236</v>
      </c>
      <c r="L964" s="12">
        <v>1</v>
      </c>
      <c r="M964" s="7" t="s">
        <v>156</v>
      </c>
    </row>
    <row r="965" spans="2:13" ht="37.5" customHeight="1" x14ac:dyDescent="0.35">
      <c r="B965" s="11">
        <v>49</v>
      </c>
      <c r="C965" s="5" t="s">
        <v>7331</v>
      </c>
      <c r="D965" s="11">
        <v>123</v>
      </c>
      <c r="E965" s="5" t="s">
        <v>7659</v>
      </c>
      <c r="F965" s="5" t="s">
        <v>7660</v>
      </c>
      <c r="G965" s="5" t="s">
        <v>4850</v>
      </c>
      <c r="H965" s="5" t="s">
        <v>38</v>
      </c>
      <c r="I965" s="5" t="s">
        <v>268</v>
      </c>
      <c r="J965" s="5" t="s">
        <v>154</v>
      </c>
      <c r="K965" s="5" t="s">
        <v>7236</v>
      </c>
      <c r="L965" s="11">
        <v>1</v>
      </c>
      <c r="M965" s="5" t="s">
        <v>156</v>
      </c>
    </row>
    <row r="966" spans="2:13" ht="37.5" customHeight="1" x14ac:dyDescent="0.35">
      <c r="B966" s="12">
        <v>49</v>
      </c>
      <c r="C966" s="7" t="s">
        <v>7331</v>
      </c>
      <c r="D966" s="12">
        <v>124</v>
      </c>
      <c r="E966" s="7" t="s">
        <v>7661</v>
      </c>
      <c r="F966" s="7" t="s">
        <v>7662</v>
      </c>
      <c r="G966" s="7" t="s">
        <v>237</v>
      </c>
      <c r="H966" s="7" t="s">
        <v>38</v>
      </c>
      <c r="I966" s="7" t="s">
        <v>268</v>
      </c>
      <c r="J966" s="7" t="s">
        <v>154</v>
      </c>
      <c r="K966" s="7" t="s">
        <v>7236</v>
      </c>
      <c r="L966" s="12">
        <v>1</v>
      </c>
      <c r="M966" s="7" t="s">
        <v>156</v>
      </c>
    </row>
    <row r="967" spans="2:13" ht="37.5" customHeight="1" x14ac:dyDescent="0.35">
      <c r="B967" s="11">
        <v>49</v>
      </c>
      <c r="C967" s="5" t="s">
        <v>7331</v>
      </c>
      <c r="D967" s="11">
        <v>125</v>
      </c>
      <c r="E967" s="5" t="s">
        <v>7663</v>
      </c>
      <c r="F967" s="5" t="s">
        <v>7664</v>
      </c>
      <c r="G967" s="5" t="s">
        <v>1560</v>
      </c>
      <c r="H967" s="5" t="s">
        <v>38</v>
      </c>
      <c r="I967" s="5" t="s">
        <v>268</v>
      </c>
      <c r="J967" s="5" t="s">
        <v>154</v>
      </c>
      <c r="K967" s="5" t="s">
        <v>7236</v>
      </c>
      <c r="L967" s="11">
        <v>1</v>
      </c>
      <c r="M967" s="5" t="s">
        <v>156</v>
      </c>
    </row>
    <row r="968" spans="2:13" ht="37.5" customHeight="1" x14ac:dyDescent="0.35">
      <c r="B968" s="12">
        <v>49</v>
      </c>
      <c r="C968" s="7" t="s">
        <v>7331</v>
      </c>
      <c r="D968" s="12">
        <v>126</v>
      </c>
      <c r="E968" s="7" t="s">
        <v>7665</v>
      </c>
      <c r="F968" s="7" t="s">
        <v>7666</v>
      </c>
      <c r="G968" s="7" t="s">
        <v>7667</v>
      </c>
      <c r="H968" s="7" t="s">
        <v>38</v>
      </c>
      <c r="I968" s="7" t="s">
        <v>268</v>
      </c>
      <c r="J968" s="7" t="s">
        <v>154</v>
      </c>
      <c r="K968" s="7" t="s">
        <v>7236</v>
      </c>
      <c r="L968" s="12">
        <v>1</v>
      </c>
      <c r="M968" s="7" t="s">
        <v>156</v>
      </c>
    </row>
    <row r="969" spans="2:13" ht="37.5" customHeight="1" x14ac:dyDescent="0.35">
      <c r="B969" s="11">
        <v>49</v>
      </c>
      <c r="C969" s="5" t="s">
        <v>7331</v>
      </c>
      <c r="D969" s="11">
        <v>127</v>
      </c>
      <c r="E969" s="5" t="s">
        <v>7668</v>
      </c>
      <c r="F969" s="5" t="s">
        <v>7669</v>
      </c>
      <c r="G969" s="5" t="s">
        <v>7670</v>
      </c>
      <c r="H969" s="5" t="s">
        <v>42</v>
      </c>
      <c r="I969" s="5" t="s">
        <v>245</v>
      </c>
      <c r="J969" s="5" t="s">
        <v>5495</v>
      </c>
      <c r="K969" s="5" t="s">
        <v>7671</v>
      </c>
      <c r="L969" s="11">
        <v>1</v>
      </c>
      <c r="M969" s="5" t="s">
        <v>156</v>
      </c>
    </row>
    <row r="970" spans="2:13" ht="37.5" customHeight="1" x14ac:dyDescent="0.35">
      <c r="B970" s="12">
        <v>49</v>
      </c>
      <c r="C970" s="7" t="s">
        <v>7331</v>
      </c>
      <c r="D970" s="12">
        <v>128</v>
      </c>
      <c r="E970" s="7" t="s">
        <v>7672</v>
      </c>
      <c r="F970" s="7" t="s">
        <v>7673</v>
      </c>
      <c r="G970" s="7" t="s">
        <v>212</v>
      </c>
      <c r="H970" s="7" t="s">
        <v>41</v>
      </c>
      <c r="I970" s="7" t="s">
        <v>49</v>
      </c>
      <c r="J970" s="7" t="s">
        <v>213</v>
      </c>
      <c r="K970" s="7" t="s">
        <v>214</v>
      </c>
      <c r="L970" s="12">
        <v>1</v>
      </c>
      <c r="M970" s="7" t="s">
        <v>156</v>
      </c>
    </row>
    <row r="971" spans="2:13" ht="37.5" customHeight="1" x14ac:dyDescent="0.35">
      <c r="B971" s="11">
        <v>49</v>
      </c>
      <c r="C971" s="5" t="s">
        <v>7331</v>
      </c>
      <c r="D971" s="11">
        <v>129</v>
      </c>
      <c r="E971" s="5" t="s">
        <v>7674</v>
      </c>
      <c r="F971" s="5" t="s">
        <v>7675</v>
      </c>
      <c r="G971" s="5" t="s">
        <v>262</v>
      </c>
      <c r="H971" s="5" t="s">
        <v>39</v>
      </c>
      <c r="I971" s="5" t="s">
        <v>7676</v>
      </c>
      <c r="J971" s="5" t="s">
        <v>331</v>
      </c>
      <c r="K971" s="5" t="s">
        <v>7677</v>
      </c>
      <c r="L971" s="11">
        <v>1</v>
      </c>
      <c r="M971" s="5" t="s">
        <v>156</v>
      </c>
    </row>
    <row r="972" spans="2:13" ht="37.5" customHeight="1" x14ac:dyDescent="0.35">
      <c r="B972" s="12">
        <v>49</v>
      </c>
      <c r="C972" s="7" t="s">
        <v>7331</v>
      </c>
      <c r="D972" s="12">
        <v>130</v>
      </c>
      <c r="E972" s="7" t="s">
        <v>7678</v>
      </c>
      <c r="F972" s="7" t="s">
        <v>7679</v>
      </c>
      <c r="G972" s="7" t="s">
        <v>7680</v>
      </c>
      <c r="H972" s="7" t="s">
        <v>37</v>
      </c>
      <c r="I972" s="7" t="s">
        <v>51</v>
      </c>
      <c r="J972" s="7" t="s">
        <v>194</v>
      </c>
      <c r="K972" s="7" t="s">
        <v>5169</v>
      </c>
      <c r="L972" s="12">
        <v>1</v>
      </c>
      <c r="M972" s="7" t="s">
        <v>156</v>
      </c>
    </row>
    <row r="973" spans="2:13" ht="37.5" customHeight="1" x14ac:dyDescent="0.35">
      <c r="B973" s="11">
        <v>49</v>
      </c>
      <c r="C973" s="5" t="s">
        <v>7331</v>
      </c>
      <c r="D973" s="11">
        <v>131</v>
      </c>
      <c r="E973" s="5" t="s">
        <v>7681</v>
      </c>
      <c r="F973" s="5" t="s">
        <v>7682</v>
      </c>
      <c r="G973" s="5" t="s">
        <v>160</v>
      </c>
      <c r="H973" s="5" t="s">
        <v>152</v>
      </c>
      <c r="I973" s="5" t="s">
        <v>7683</v>
      </c>
      <c r="J973" s="5" t="s">
        <v>1107</v>
      </c>
      <c r="K973" s="5" t="s">
        <v>7684</v>
      </c>
      <c r="L973" s="11">
        <v>1</v>
      </c>
      <c r="M973" s="5" t="s">
        <v>156</v>
      </c>
    </row>
    <row r="974" spans="2:13" ht="37.5" customHeight="1" x14ac:dyDescent="0.35">
      <c r="B974" s="12">
        <v>50</v>
      </c>
      <c r="C974" s="7" t="s">
        <v>7685</v>
      </c>
      <c r="D974" s="12">
        <v>1</v>
      </c>
      <c r="E974" s="7" t="s">
        <v>7686</v>
      </c>
      <c r="F974" s="7" t="s">
        <v>7687</v>
      </c>
      <c r="G974" s="7" t="s">
        <v>566</v>
      </c>
      <c r="H974" s="7" t="s">
        <v>218</v>
      </c>
      <c r="I974" s="7" t="s">
        <v>5036</v>
      </c>
      <c r="J974" s="7" t="s">
        <v>220</v>
      </c>
      <c r="K974" s="7" t="s">
        <v>7688</v>
      </c>
      <c r="L974" s="12">
        <v>2</v>
      </c>
      <c r="M974" s="7" t="s">
        <v>156</v>
      </c>
    </row>
    <row r="975" spans="2:13" ht="52.5" customHeight="1" x14ac:dyDescent="0.35">
      <c r="B975" s="11">
        <v>51</v>
      </c>
      <c r="C975" s="5" t="s">
        <v>7689</v>
      </c>
      <c r="D975" s="11">
        <v>1</v>
      </c>
      <c r="E975" s="5" t="s">
        <v>7690</v>
      </c>
      <c r="F975" s="5" t="s">
        <v>7691</v>
      </c>
      <c r="G975" s="5" t="s">
        <v>1214</v>
      </c>
      <c r="H975" s="5" t="s">
        <v>36</v>
      </c>
      <c r="I975" s="5" t="s">
        <v>48</v>
      </c>
      <c r="J975" s="5" t="s">
        <v>4408</v>
      </c>
      <c r="K975" s="5" t="s">
        <v>7692</v>
      </c>
      <c r="L975" s="11">
        <v>1</v>
      </c>
      <c r="M975" s="5" t="s">
        <v>7693</v>
      </c>
    </row>
    <row r="976" spans="2:13" ht="52.5" customHeight="1" x14ac:dyDescent="0.35">
      <c r="B976" s="12">
        <v>51</v>
      </c>
      <c r="C976" s="7" t="s">
        <v>7689</v>
      </c>
      <c r="D976" s="12">
        <v>1</v>
      </c>
      <c r="E976" s="7" t="s">
        <v>7694</v>
      </c>
      <c r="F976" s="7" t="s">
        <v>7695</v>
      </c>
      <c r="G976" s="7" t="s">
        <v>232</v>
      </c>
      <c r="H976" s="7" t="s">
        <v>39</v>
      </c>
      <c r="I976" s="7" t="s">
        <v>57</v>
      </c>
      <c r="J976" s="7" t="s">
        <v>7696</v>
      </c>
      <c r="K976" s="7" t="s">
        <v>7697</v>
      </c>
      <c r="L976" s="12">
        <v>1</v>
      </c>
      <c r="M976" s="7" t="s">
        <v>7693</v>
      </c>
    </row>
    <row r="977" spans="2:13" ht="37.5" customHeight="1" x14ac:dyDescent="0.35">
      <c r="B977" s="11"/>
      <c r="C977" s="5" t="s">
        <v>7698</v>
      </c>
      <c r="D977" s="11">
        <v>1</v>
      </c>
      <c r="E977" s="5" t="s">
        <v>7699</v>
      </c>
      <c r="F977" s="5" t="s">
        <v>7700</v>
      </c>
      <c r="G977" s="5" t="s">
        <v>1190</v>
      </c>
      <c r="H977" s="5" t="s">
        <v>37</v>
      </c>
      <c r="I977" s="5" t="s">
        <v>51</v>
      </c>
      <c r="J977" s="5" t="s">
        <v>5531</v>
      </c>
      <c r="K977" s="5" t="s">
        <v>7701</v>
      </c>
      <c r="L977" s="11">
        <v>1</v>
      </c>
      <c r="M977" s="5"/>
    </row>
    <row r="978" spans="2:13" ht="37.5" customHeight="1" x14ac:dyDescent="0.35">
      <c r="B978" s="12">
        <v>52</v>
      </c>
      <c r="C978" s="7" t="s">
        <v>7702</v>
      </c>
      <c r="D978" s="12">
        <v>1</v>
      </c>
      <c r="E978" s="7" t="s">
        <v>7703</v>
      </c>
      <c r="F978" s="7" t="s">
        <v>7704</v>
      </c>
      <c r="G978" s="7" t="s">
        <v>26</v>
      </c>
      <c r="H978" s="7" t="s">
        <v>42</v>
      </c>
      <c r="I978" s="7" t="s">
        <v>153</v>
      </c>
      <c r="J978" s="7" t="s">
        <v>7705</v>
      </c>
      <c r="K978" s="7" t="s">
        <v>7706</v>
      </c>
      <c r="L978" s="12">
        <v>1</v>
      </c>
      <c r="M978" s="7" t="s">
        <v>156</v>
      </c>
    </row>
    <row r="979" spans="2:13" ht="52.5" customHeight="1" x14ac:dyDescent="0.35">
      <c r="B979" s="11">
        <v>53</v>
      </c>
      <c r="C979" s="5" t="s">
        <v>7707</v>
      </c>
      <c r="D979" s="11">
        <v>1</v>
      </c>
      <c r="E979" s="5" t="s">
        <v>7708</v>
      </c>
      <c r="F979" s="5" t="s">
        <v>7709</v>
      </c>
      <c r="G979" s="5" t="s">
        <v>30</v>
      </c>
      <c r="H979" s="5" t="s">
        <v>7710</v>
      </c>
      <c r="I979" s="5" t="s">
        <v>7711</v>
      </c>
      <c r="J979" s="5" t="s">
        <v>7712</v>
      </c>
      <c r="K979" s="5" t="s">
        <v>7713</v>
      </c>
      <c r="L979" s="11">
        <v>3</v>
      </c>
      <c r="M979" s="5" t="s">
        <v>173</v>
      </c>
    </row>
    <row r="980" spans="2:13" ht="37.5" customHeight="1" x14ac:dyDescent="0.35">
      <c r="B980" s="12">
        <v>53</v>
      </c>
      <c r="C980" s="7" t="s">
        <v>7707</v>
      </c>
      <c r="D980" s="12">
        <v>2</v>
      </c>
      <c r="E980" s="7" t="s">
        <v>7714</v>
      </c>
      <c r="F980" s="7" t="s">
        <v>7715</v>
      </c>
      <c r="G980" s="7" t="s">
        <v>1294</v>
      </c>
      <c r="H980" s="7" t="s">
        <v>40</v>
      </c>
      <c r="I980" s="7" t="s">
        <v>54</v>
      </c>
      <c r="J980" s="7" t="s">
        <v>213</v>
      </c>
      <c r="K980" s="7" t="s">
        <v>254</v>
      </c>
      <c r="L980" s="12">
        <v>1</v>
      </c>
      <c r="M980" s="7" t="s">
        <v>173</v>
      </c>
    </row>
    <row r="981" spans="2:13" ht="37.5" customHeight="1" x14ac:dyDescent="0.35">
      <c r="B981" s="11">
        <v>53</v>
      </c>
      <c r="C981" s="5" t="s">
        <v>7707</v>
      </c>
      <c r="D981" s="11">
        <v>3</v>
      </c>
      <c r="E981" s="5" t="s">
        <v>7716</v>
      </c>
      <c r="F981" s="5" t="s">
        <v>7717</v>
      </c>
      <c r="G981" s="5" t="s">
        <v>566</v>
      </c>
      <c r="H981" s="5" t="s">
        <v>238</v>
      </c>
      <c r="I981" s="5" t="s">
        <v>239</v>
      </c>
      <c r="J981" s="5" t="s">
        <v>240</v>
      </c>
      <c r="K981" s="5" t="s">
        <v>241</v>
      </c>
      <c r="L981" s="11">
        <v>2</v>
      </c>
      <c r="M981" s="5" t="s">
        <v>173</v>
      </c>
    </row>
    <row r="982" spans="2:13" ht="52.5" customHeight="1" x14ac:dyDescent="0.35">
      <c r="B982" s="12">
        <v>53</v>
      </c>
      <c r="C982" s="7" t="s">
        <v>7707</v>
      </c>
      <c r="D982" s="12">
        <v>4</v>
      </c>
      <c r="E982" s="7" t="s">
        <v>7718</v>
      </c>
      <c r="F982" s="7" t="s">
        <v>7719</v>
      </c>
      <c r="G982" s="7" t="s">
        <v>365</v>
      </c>
      <c r="H982" s="7" t="s">
        <v>7720</v>
      </c>
      <c r="I982" s="7" t="s">
        <v>7721</v>
      </c>
      <c r="J982" s="7" t="s">
        <v>7722</v>
      </c>
      <c r="K982" s="7" t="s">
        <v>7723</v>
      </c>
      <c r="L982" s="12">
        <v>3</v>
      </c>
      <c r="M982" s="7" t="s">
        <v>173</v>
      </c>
    </row>
    <row r="983" spans="2:13" ht="67.5" customHeight="1" x14ac:dyDescent="0.35">
      <c r="B983" s="11">
        <v>53</v>
      </c>
      <c r="C983" s="5" t="s">
        <v>7707</v>
      </c>
      <c r="D983" s="11">
        <v>5</v>
      </c>
      <c r="E983" s="5" t="s">
        <v>7724</v>
      </c>
      <c r="F983" s="5" t="s">
        <v>7725</v>
      </c>
      <c r="G983" s="5" t="s">
        <v>29</v>
      </c>
      <c r="H983" s="5" t="s">
        <v>7726</v>
      </c>
      <c r="I983" s="5" t="s">
        <v>7727</v>
      </c>
      <c r="J983" s="5" t="s">
        <v>7728</v>
      </c>
      <c r="K983" s="5" t="s">
        <v>7729</v>
      </c>
      <c r="L983" s="11">
        <v>4</v>
      </c>
      <c r="M983" s="5" t="s">
        <v>173</v>
      </c>
    </row>
    <row r="984" spans="2:13" ht="37.5" customHeight="1" x14ac:dyDescent="0.35">
      <c r="B984" s="12">
        <v>53</v>
      </c>
      <c r="C984" s="7" t="s">
        <v>7707</v>
      </c>
      <c r="D984" s="12">
        <v>6</v>
      </c>
      <c r="E984" s="7" t="s">
        <v>7730</v>
      </c>
      <c r="F984" s="7" t="s">
        <v>7731</v>
      </c>
      <c r="G984" s="7" t="s">
        <v>358</v>
      </c>
      <c r="H984" s="7" t="s">
        <v>42</v>
      </c>
      <c r="I984" s="7" t="s">
        <v>7732</v>
      </c>
      <c r="J984" s="7" t="s">
        <v>1903</v>
      </c>
      <c r="K984" s="7" t="s">
        <v>7733</v>
      </c>
      <c r="L984" s="12">
        <v>1</v>
      </c>
      <c r="M984" s="7" t="s">
        <v>173</v>
      </c>
    </row>
    <row r="985" spans="2:13" ht="37.5" customHeight="1" x14ac:dyDescent="0.35">
      <c r="B985" s="11">
        <v>53</v>
      </c>
      <c r="C985" s="5" t="s">
        <v>7707</v>
      </c>
      <c r="D985" s="11">
        <v>7</v>
      </c>
      <c r="E985" s="5" t="s">
        <v>7734</v>
      </c>
      <c r="F985" s="5" t="s">
        <v>7735</v>
      </c>
      <c r="G985" s="5" t="s">
        <v>472</v>
      </c>
      <c r="H985" s="5" t="s">
        <v>238</v>
      </c>
      <c r="I985" s="5" t="s">
        <v>239</v>
      </c>
      <c r="J985" s="5" t="s">
        <v>240</v>
      </c>
      <c r="K985" s="5" t="s">
        <v>241</v>
      </c>
      <c r="L985" s="11">
        <v>2</v>
      </c>
      <c r="M985" s="5" t="s">
        <v>173</v>
      </c>
    </row>
    <row r="986" spans="2:13" ht="37.5" customHeight="1" x14ac:dyDescent="0.35">
      <c r="B986" s="12">
        <v>53</v>
      </c>
      <c r="C986" s="7" t="s">
        <v>7707</v>
      </c>
      <c r="D986" s="12">
        <v>8</v>
      </c>
      <c r="E986" s="7" t="s">
        <v>7736</v>
      </c>
      <c r="F986" s="7" t="s">
        <v>7737</v>
      </c>
      <c r="G986" s="7" t="s">
        <v>232</v>
      </c>
      <c r="H986" s="7" t="s">
        <v>40</v>
      </c>
      <c r="I986" s="7" t="s">
        <v>54</v>
      </c>
      <c r="J986" s="7" t="s">
        <v>213</v>
      </c>
      <c r="K986" s="7" t="s">
        <v>254</v>
      </c>
      <c r="L986" s="12">
        <v>1</v>
      </c>
      <c r="M986" s="7" t="s">
        <v>173</v>
      </c>
    </row>
    <row r="987" spans="2:13" ht="112.5" customHeight="1" x14ac:dyDescent="0.35">
      <c r="B987" s="11">
        <v>53</v>
      </c>
      <c r="C987" s="5" t="s">
        <v>7707</v>
      </c>
      <c r="D987" s="11">
        <v>9</v>
      </c>
      <c r="E987" s="5" t="s">
        <v>7738</v>
      </c>
      <c r="F987" s="5" t="s">
        <v>7739</v>
      </c>
      <c r="G987" s="5" t="s">
        <v>414</v>
      </c>
      <c r="H987" s="5" t="s">
        <v>7740</v>
      </c>
      <c r="I987" s="5" t="s">
        <v>7741</v>
      </c>
      <c r="J987" s="5" t="s">
        <v>7742</v>
      </c>
      <c r="K987" s="5" t="s">
        <v>7743</v>
      </c>
      <c r="L987" s="11">
        <v>5</v>
      </c>
      <c r="M987" s="5" t="s">
        <v>173</v>
      </c>
    </row>
    <row r="988" spans="2:13" ht="37.5" customHeight="1" x14ac:dyDescent="0.35">
      <c r="B988" s="12">
        <v>53</v>
      </c>
      <c r="C988" s="7" t="s">
        <v>7707</v>
      </c>
      <c r="D988" s="12">
        <v>10</v>
      </c>
      <c r="E988" s="7" t="s">
        <v>7744</v>
      </c>
      <c r="F988" s="7" t="s">
        <v>7745</v>
      </c>
      <c r="G988" s="7" t="s">
        <v>1435</v>
      </c>
      <c r="H988" s="7" t="s">
        <v>7647</v>
      </c>
      <c r="I988" s="7" t="s">
        <v>7746</v>
      </c>
      <c r="J988" s="7" t="s">
        <v>7603</v>
      </c>
      <c r="K988" s="7" t="s">
        <v>7747</v>
      </c>
      <c r="L988" s="12">
        <v>2</v>
      </c>
      <c r="M988" s="7" t="s">
        <v>173</v>
      </c>
    </row>
    <row r="989" spans="2:13" ht="82.5" customHeight="1" x14ac:dyDescent="0.35">
      <c r="B989" s="11">
        <v>53</v>
      </c>
      <c r="C989" s="5" t="s">
        <v>7707</v>
      </c>
      <c r="D989" s="11">
        <v>11</v>
      </c>
      <c r="E989" s="5" t="s">
        <v>7748</v>
      </c>
      <c r="F989" s="5" t="s">
        <v>7749</v>
      </c>
      <c r="G989" s="5" t="s">
        <v>733</v>
      </c>
      <c r="H989" s="5" t="s">
        <v>7750</v>
      </c>
      <c r="I989" s="5" t="s">
        <v>7751</v>
      </c>
      <c r="J989" s="5" t="s">
        <v>7752</v>
      </c>
      <c r="K989" s="5" t="s">
        <v>7753</v>
      </c>
      <c r="L989" s="11">
        <v>4</v>
      </c>
      <c r="M989" s="5" t="s">
        <v>173</v>
      </c>
    </row>
    <row r="990" spans="2:13" ht="52.5" customHeight="1" x14ac:dyDescent="0.35">
      <c r="B990" s="12">
        <v>53</v>
      </c>
      <c r="C990" s="7" t="s">
        <v>7707</v>
      </c>
      <c r="D990" s="12">
        <v>12</v>
      </c>
      <c r="E990" s="7" t="s">
        <v>7754</v>
      </c>
      <c r="F990" s="7" t="s">
        <v>7755</v>
      </c>
      <c r="G990" s="7" t="s">
        <v>282</v>
      </c>
      <c r="H990" s="7" t="s">
        <v>7756</v>
      </c>
      <c r="I990" s="7" t="s">
        <v>7757</v>
      </c>
      <c r="J990" s="7" t="s">
        <v>154</v>
      </c>
      <c r="K990" s="7" t="s">
        <v>7758</v>
      </c>
      <c r="L990" s="12">
        <v>2</v>
      </c>
      <c r="M990" s="7" t="s">
        <v>173</v>
      </c>
    </row>
    <row r="991" spans="2:13" ht="21.75" customHeight="1" x14ac:dyDescent="0.35">
      <c r="B991" s="11">
        <v>53</v>
      </c>
      <c r="C991" s="5" t="s">
        <v>7707</v>
      </c>
      <c r="D991" s="11">
        <v>13</v>
      </c>
      <c r="E991" s="5" t="s">
        <v>7759</v>
      </c>
      <c r="F991" s="5" t="s">
        <v>7760</v>
      </c>
      <c r="G991" s="5" t="s">
        <v>188</v>
      </c>
      <c r="H991" s="5" t="s">
        <v>40</v>
      </c>
      <c r="I991" s="5" t="s">
        <v>54</v>
      </c>
      <c r="J991" s="5" t="s">
        <v>213</v>
      </c>
      <c r="K991" s="5" t="s">
        <v>254</v>
      </c>
      <c r="L991" s="11">
        <v>1</v>
      </c>
      <c r="M991" s="5" t="s">
        <v>173</v>
      </c>
    </row>
    <row r="992" spans="2:13" ht="52.5" customHeight="1" x14ac:dyDescent="0.35">
      <c r="B992" s="12">
        <v>53</v>
      </c>
      <c r="C992" s="7" t="s">
        <v>7707</v>
      </c>
      <c r="D992" s="12">
        <v>14</v>
      </c>
      <c r="E992" s="7" t="s">
        <v>7761</v>
      </c>
      <c r="F992" s="7" t="s">
        <v>7762</v>
      </c>
      <c r="G992" s="7" t="s">
        <v>457</v>
      </c>
      <c r="H992" s="7" t="s">
        <v>7763</v>
      </c>
      <c r="I992" s="7" t="s">
        <v>7764</v>
      </c>
      <c r="J992" s="7" t="s">
        <v>213</v>
      </c>
      <c r="K992" s="7" t="s">
        <v>7765</v>
      </c>
      <c r="L992" s="12">
        <v>2</v>
      </c>
      <c r="M992" s="7" t="s">
        <v>173</v>
      </c>
    </row>
    <row r="993" spans="2:13" ht="67.5" customHeight="1" x14ac:dyDescent="0.35">
      <c r="B993" s="11">
        <v>53</v>
      </c>
      <c r="C993" s="5" t="s">
        <v>7707</v>
      </c>
      <c r="D993" s="11">
        <v>15</v>
      </c>
      <c r="E993" s="5" t="s">
        <v>7766</v>
      </c>
      <c r="F993" s="5" t="s">
        <v>7767</v>
      </c>
      <c r="G993" s="5" t="s">
        <v>504</v>
      </c>
      <c r="H993" s="5" t="s">
        <v>7768</v>
      </c>
      <c r="I993" s="5" t="s">
        <v>7769</v>
      </c>
      <c r="J993" s="5" t="s">
        <v>7770</v>
      </c>
      <c r="K993" s="5" t="s">
        <v>7771</v>
      </c>
      <c r="L993" s="11">
        <v>3</v>
      </c>
      <c r="M993" s="5" t="s">
        <v>173</v>
      </c>
    </row>
    <row r="994" spans="2:13" ht="37.5" customHeight="1" x14ac:dyDescent="0.35">
      <c r="B994" s="12">
        <v>53</v>
      </c>
      <c r="C994" s="7" t="s">
        <v>7707</v>
      </c>
      <c r="D994" s="12">
        <v>16</v>
      </c>
      <c r="E994" s="7" t="s">
        <v>7772</v>
      </c>
      <c r="F994" s="7" t="s">
        <v>7773</v>
      </c>
      <c r="G994" s="7" t="s">
        <v>439</v>
      </c>
      <c r="H994" s="7" t="s">
        <v>238</v>
      </c>
      <c r="I994" s="7" t="s">
        <v>239</v>
      </c>
      <c r="J994" s="7" t="s">
        <v>240</v>
      </c>
      <c r="K994" s="7" t="s">
        <v>241</v>
      </c>
      <c r="L994" s="12">
        <v>2</v>
      </c>
      <c r="M994" s="7" t="s">
        <v>173</v>
      </c>
    </row>
    <row r="995" spans="2:13" ht="52.5" customHeight="1" x14ac:dyDescent="0.35">
      <c r="B995" s="11">
        <v>53</v>
      </c>
      <c r="C995" s="5" t="s">
        <v>7707</v>
      </c>
      <c r="D995" s="11">
        <v>17</v>
      </c>
      <c r="E995" s="5" t="s">
        <v>7774</v>
      </c>
      <c r="F995" s="5" t="s">
        <v>7775</v>
      </c>
      <c r="G995" s="5" t="s">
        <v>2415</v>
      </c>
      <c r="H995" s="5" t="s">
        <v>7763</v>
      </c>
      <c r="I995" s="5" t="s">
        <v>7764</v>
      </c>
      <c r="J995" s="5" t="s">
        <v>213</v>
      </c>
      <c r="K995" s="5" t="s">
        <v>7765</v>
      </c>
      <c r="L995" s="11">
        <v>2</v>
      </c>
      <c r="M995" s="5" t="s">
        <v>173</v>
      </c>
    </row>
    <row r="996" spans="2:13" ht="67.5" customHeight="1" x14ac:dyDescent="0.35">
      <c r="B996" s="12">
        <v>53</v>
      </c>
      <c r="C996" s="7" t="s">
        <v>7707</v>
      </c>
      <c r="D996" s="12">
        <v>18</v>
      </c>
      <c r="E996" s="7" t="s">
        <v>7776</v>
      </c>
      <c r="F996" s="7" t="s">
        <v>7777</v>
      </c>
      <c r="G996" s="7" t="s">
        <v>1076</v>
      </c>
      <c r="H996" s="7" t="s">
        <v>7778</v>
      </c>
      <c r="I996" s="7" t="s">
        <v>7779</v>
      </c>
      <c r="J996" s="7" t="s">
        <v>7780</v>
      </c>
      <c r="K996" s="7" t="s">
        <v>7781</v>
      </c>
      <c r="L996" s="12">
        <v>3</v>
      </c>
      <c r="M996" s="7" t="s">
        <v>173</v>
      </c>
    </row>
    <row r="997" spans="2:13" ht="67.5" customHeight="1" x14ac:dyDescent="0.35">
      <c r="B997" s="11">
        <v>53</v>
      </c>
      <c r="C997" s="5" t="s">
        <v>7707</v>
      </c>
      <c r="D997" s="11">
        <v>19</v>
      </c>
      <c r="E997" s="5" t="s">
        <v>7782</v>
      </c>
      <c r="F997" s="5" t="s">
        <v>7783</v>
      </c>
      <c r="G997" s="5" t="s">
        <v>560</v>
      </c>
      <c r="H997" s="5" t="s">
        <v>7784</v>
      </c>
      <c r="I997" s="5" t="s">
        <v>7785</v>
      </c>
      <c r="J997" s="5" t="s">
        <v>220</v>
      </c>
      <c r="K997" s="5" t="s">
        <v>7786</v>
      </c>
      <c r="L997" s="11">
        <v>3</v>
      </c>
      <c r="M997" s="5" t="s">
        <v>173</v>
      </c>
    </row>
    <row r="998" spans="2:13" ht="52.5" customHeight="1" x14ac:dyDescent="0.35">
      <c r="B998" s="12">
        <v>53</v>
      </c>
      <c r="C998" s="7" t="s">
        <v>7707</v>
      </c>
      <c r="D998" s="12">
        <v>20</v>
      </c>
      <c r="E998" s="7" t="s">
        <v>7787</v>
      </c>
      <c r="F998" s="7" t="s">
        <v>7788</v>
      </c>
      <c r="G998" s="7" t="s">
        <v>445</v>
      </c>
      <c r="H998" s="7" t="s">
        <v>7763</v>
      </c>
      <c r="I998" s="7" t="s">
        <v>7764</v>
      </c>
      <c r="J998" s="7" t="s">
        <v>213</v>
      </c>
      <c r="K998" s="7" t="s">
        <v>7765</v>
      </c>
      <c r="L998" s="12">
        <v>2</v>
      </c>
      <c r="M998" s="7" t="s">
        <v>173</v>
      </c>
    </row>
    <row r="999" spans="2:13" ht="97.5" customHeight="1" x14ac:dyDescent="0.35">
      <c r="B999" s="11">
        <v>53</v>
      </c>
      <c r="C999" s="5" t="s">
        <v>7707</v>
      </c>
      <c r="D999" s="11">
        <v>21</v>
      </c>
      <c r="E999" s="5" t="s">
        <v>7789</v>
      </c>
      <c r="F999" s="5" t="s">
        <v>7790</v>
      </c>
      <c r="G999" s="5" t="s">
        <v>24</v>
      </c>
      <c r="H999" s="5" t="s">
        <v>7791</v>
      </c>
      <c r="I999" s="5" t="s">
        <v>7792</v>
      </c>
      <c r="J999" s="5" t="s">
        <v>7793</v>
      </c>
      <c r="K999" s="5" t="s">
        <v>7794</v>
      </c>
      <c r="L999" s="11">
        <v>4</v>
      </c>
      <c r="M999" s="5" t="s">
        <v>173</v>
      </c>
    </row>
    <row r="1000" spans="2:13" ht="52.5" customHeight="1" x14ac:dyDescent="0.35">
      <c r="B1000" s="12">
        <v>53</v>
      </c>
      <c r="C1000" s="7" t="s">
        <v>7707</v>
      </c>
      <c r="D1000" s="12">
        <v>22</v>
      </c>
      <c r="E1000" s="7" t="s">
        <v>7795</v>
      </c>
      <c r="F1000" s="7" t="s">
        <v>7796</v>
      </c>
      <c r="G1000" s="7" t="s">
        <v>778</v>
      </c>
      <c r="H1000" s="7" t="s">
        <v>7763</v>
      </c>
      <c r="I1000" s="7" t="s">
        <v>7764</v>
      </c>
      <c r="J1000" s="7" t="s">
        <v>213</v>
      </c>
      <c r="K1000" s="7" t="s">
        <v>7765</v>
      </c>
      <c r="L1000" s="12">
        <v>2</v>
      </c>
      <c r="M1000" s="7" t="s">
        <v>173</v>
      </c>
    </row>
    <row r="1001" spans="2:13" ht="21.75" customHeight="1" x14ac:dyDescent="0.35">
      <c r="B1001" s="11">
        <v>53</v>
      </c>
      <c r="C1001" s="5" t="s">
        <v>7707</v>
      </c>
      <c r="D1001" s="11">
        <v>23</v>
      </c>
      <c r="E1001" s="5" t="s">
        <v>7797</v>
      </c>
      <c r="F1001" s="5" t="s">
        <v>7798</v>
      </c>
      <c r="G1001" s="5" t="s">
        <v>2076</v>
      </c>
      <c r="H1001" s="5" t="s">
        <v>40</v>
      </c>
      <c r="I1001" s="5" t="s">
        <v>54</v>
      </c>
      <c r="J1001" s="5" t="s">
        <v>213</v>
      </c>
      <c r="K1001" s="5" t="s">
        <v>254</v>
      </c>
      <c r="L1001" s="11">
        <v>1</v>
      </c>
      <c r="M1001" s="5" t="s">
        <v>173</v>
      </c>
    </row>
    <row r="1002" spans="2:13" ht="67.5" customHeight="1" x14ac:dyDescent="0.35">
      <c r="B1002" s="12">
        <v>53</v>
      </c>
      <c r="C1002" s="7" t="s">
        <v>7707</v>
      </c>
      <c r="D1002" s="12">
        <v>24</v>
      </c>
      <c r="E1002" s="7" t="s">
        <v>7799</v>
      </c>
      <c r="F1002" s="7" t="s">
        <v>7800</v>
      </c>
      <c r="G1002" s="7" t="s">
        <v>1603</v>
      </c>
      <c r="H1002" s="7" t="s">
        <v>7801</v>
      </c>
      <c r="I1002" s="7" t="s">
        <v>7802</v>
      </c>
      <c r="J1002" s="7" t="s">
        <v>7803</v>
      </c>
      <c r="K1002" s="7" t="s">
        <v>7804</v>
      </c>
      <c r="L1002" s="12">
        <v>3</v>
      </c>
      <c r="M1002" s="7" t="s">
        <v>173</v>
      </c>
    </row>
    <row r="1003" spans="2:13" ht="21.75" customHeight="1" x14ac:dyDescent="0.35">
      <c r="B1003" s="11">
        <v>53</v>
      </c>
      <c r="C1003" s="5" t="s">
        <v>7707</v>
      </c>
      <c r="D1003" s="11">
        <v>25</v>
      </c>
      <c r="E1003" s="5" t="s">
        <v>7805</v>
      </c>
      <c r="F1003" s="5" t="s">
        <v>7806</v>
      </c>
      <c r="G1003" s="5" t="s">
        <v>5476</v>
      </c>
      <c r="H1003" s="5" t="s">
        <v>37</v>
      </c>
      <c r="I1003" s="5" t="s">
        <v>51</v>
      </c>
      <c r="J1003" s="5" t="s">
        <v>194</v>
      </c>
      <c r="K1003" s="5" t="s">
        <v>5169</v>
      </c>
      <c r="L1003" s="11">
        <v>1</v>
      </c>
      <c r="M1003" s="5" t="s">
        <v>173</v>
      </c>
    </row>
    <row r="1004" spans="2:13" ht="37.5" customHeight="1" x14ac:dyDescent="0.35">
      <c r="B1004" s="12">
        <v>53</v>
      </c>
      <c r="C1004" s="7" t="s">
        <v>7707</v>
      </c>
      <c r="D1004" s="12">
        <v>26</v>
      </c>
      <c r="E1004" s="7" t="s">
        <v>7807</v>
      </c>
      <c r="F1004" s="7" t="s">
        <v>7808</v>
      </c>
      <c r="G1004" s="7" t="s">
        <v>176</v>
      </c>
      <c r="H1004" s="7" t="s">
        <v>37</v>
      </c>
      <c r="I1004" s="7" t="s">
        <v>51</v>
      </c>
      <c r="J1004" s="7" t="s">
        <v>194</v>
      </c>
      <c r="K1004" s="7" t="s">
        <v>5169</v>
      </c>
      <c r="L1004" s="12">
        <v>1</v>
      </c>
      <c r="M1004" s="7" t="s">
        <v>173</v>
      </c>
    </row>
    <row r="1005" spans="2:13" ht="37.5" customHeight="1" x14ac:dyDescent="0.35">
      <c r="B1005" s="11">
        <v>53</v>
      </c>
      <c r="C1005" s="5" t="s">
        <v>7707</v>
      </c>
      <c r="D1005" s="11">
        <v>27</v>
      </c>
      <c r="E1005" s="5" t="s">
        <v>7809</v>
      </c>
      <c r="F1005" s="5" t="s">
        <v>7810</v>
      </c>
      <c r="G1005" s="5" t="s">
        <v>576</v>
      </c>
      <c r="H1005" s="5" t="s">
        <v>6777</v>
      </c>
      <c r="I1005" s="5" t="s">
        <v>7811</v>
      </c>
      <c r="J1005" s="5" t="s">
        <v>7812</v>
      </c>
      <c r="K1005" s="5" t="s">
        <v>7813</v>
      </c>
      <c r="L1005" s="11">
        <v>2</v>
      </c>
      <c r="M1005" s="5" t="s">
        <v>173</v>
      </c>
    </row>
    <row r="1006" spans="2:13" ht="52.5" customHeight="1" x14ac:dyDescent="0.35">
      <c r="B1006" s="12">
        <v>53</v>
      </c>
      <c r="C1006" s="7" t="s">
        <v>7707</v>
      </c>
      <c r="D1006" s="12">
        <v>28</v>
      </c>
      <c r="E1006" s="7" t="s">
        <v>7814</v>
      </c>
      <c r="F1006" s="7" t="s">
        <v>7815</v>
      </c>
      <c r="G1006" s="7" t="s">
        <v>973</v>
      </c>
      <c r="H1006" s="7" t="s">
        <v>7601</v>
      </c>
      <c r="I1006" s="7" t="s">
        <v>7816</v>
      </c>
      <c r="J1006" s="7" t="s">
        <v>7817</v>
      </c>
      <c r="K1006" s="7" t="s">
        <v>7818</v>
      </c>
      <c r="L1006" s="12">
        <v>2</v>
      </c>
      <c r="M1006" s="7" t="s">
        <v>173</v>
      </c>
    </row>
    <row r="1007" spans="2:13" ht="37.5" customHeight="1" x14ac:dyDescent="0.35">
      <c r="B1007" s="11">
        <v>53</v>
      </c>
      <c r="C1007" s="5" t="s">
        <v>7707</v>
      </c>
      <c r="D1007" s="11">
        <v>29</v>
      </c>
      <c r="E1007" s="5" t="s">
        <v>7819</v>
      </c>
      <c r="F1007" s="5" t="s">
        <v>7820</v>
      </c>
      <c r="G1007" s="5" t="s">
        <v>880</v>
      </c>
      <c r="H1007" s="5" t="s">
        <v>218</v>
      </c>
      <c r="I1007" s="5" t="s">
        <v>7821</v>
      </c>
      <c r="J1007" s="5" t="s">
        <v>220</v>
      </c>
      <c r="K1007" s="5" t="s">
        <v>7822</v>
      </c>
      <c r="L1007" s="11">
        <v>2</v>
      </c>
      <c r="M1007" s="5" t="s">
        <v>173</v>
      </c>
    </row>
    <row r="1008" spans="2:13" ht="37.5" customHeight="1" x14ac:dyDescent="0.35">
      <c r="B1008" s="12">
        <v>53</v>
      </c>
      <c r="C1008" s="7" t="s">
        <v>7707</v>
      </c>
      <c r="D1008" s="12">
        <v>30</v>
      </c>
      <c r="E1008" s="7" t="s">
        <v>7823</v>
      </c>
      <c r="F1008" s="7" t="s">
        <v>7824</v>
      </c>
      <c r="G1008" s="7" t="s">
        <v>279</v>
      </c>
      <c r="H1008" s="7" t="s">
        <v>40</v>
      </c>
      <c r="I1008" s="7" t="s">
        <v>54</v>
      </c>
      <c r="J1008" s="7" t="s">
        <v>213</v>
      </c>
      <c r="K1008" s="7" t="s">
        <v>254</v>
      </c>
      <c r="L1008" s="12">
        <v>1</v>
      </c>
      <c r="M1008" s="7" t="s">
        <v>173</v>
      </c>
    </row>
    <row r="1009" spans="2:13" ht="52.5" customHeight="1" x14ac:dyDescent="0.35">
      <c r="B1009" s="11">
        <v>53</v>
      </c>
      <c r="C1009" s="5" t="s">
        <v>7707</v>
      </c>
      <c r="D1009" s="11">
        <v>31</v>
      </c>
      <c r="E1009" s="5" t="s">
        <v>7825</v>
      </c>
      <c r="F1009" s="5" t="s">
        <v>7826</v>
      </c>
      <c r="G1009" s="5" t="s">
        <v>25</v>
      </c>
      <c r="H1009" s="5" t="s">
        <v>7827</v>
      </c>
      <c r="I1009" s="5" t="s">
        <v>7828</v>
      </c>
      <c r="J1009" s="5" t="s">
        <v>220</v>
      </c>
      <c r="K1009" s="5" t="s">
        <v>7829</v>
      </c>
      <c r="L1009" s="11">
        <v>3</v>
      </c>
      <c r="M1009" s="5" t="s">
        <v>173</v>
      </c>
    </row>
    <row r="1010" spans="2:13" ht="37.5" customHeight="1" x14ac:dyDescent="0.35">
      <c r="B1010" s="12">
        <v>53</v>
      </c>
      <c r="C1010" s="7" t="s">
        <v>7707</v>
      </c>
      <c r="D1010" s="12">
        <v>32</v>
      </c>
      <c r="E1010" s="7" t="s">
        <v>7830</v>
      </c>
      <c r="F1010" s="7" t="s">
        <v>7831</v>
      </c>
      <c r="G1010" s="7" t="s">
        <v>536</v>
      </c>
      <c r="H1010" s="7" t="s">
        <v>263</v>
      </c>
      <c r="I1010" s="7" t="s">
        <v>264</v>
      </c>
      <c r="J1010" s="7" t="s">
        <v>7832</v>
      </c>
      <c r="K1010" s="7" t="s">
        <v>7833</v>
      </c>
      <c r="L1010" s="12">
        <v>2</v>
      </c>
      <c r="M1010" s="7" t="s">
        <v>173</v>
      </c>
    </row>
    <row r="1011" spans="2:13" ht="37.5" customHeight="1" x14ac:dyDescent="0.35">
      <c r="B1011" s="11">
        <v>53</v>
      </c>
      <c r="C1011" s="5" t="s">
        <v>7707</v>
      </c>
      <c r="D1011" s="11">
        <v>33</v>
      </c>
      <c r="E1011" s="5" t="s">
        <v>7834</v>
      </c>
      <c r="F1011" s="5" t="s">
        <v>7835</v>
      </c>
      <c r="G1011" s="5" t="s">
        <v>33</v>
      </c>
      <c r="H1011" s="5" t="s">
        <v>37</v>
      </c>
      <c r="I1011" s="5" t="s">
        <v>51</v>
      </c>
      <c r="J1011" s="5" t="s">
        <v>194</v>
      </c>
      <c r="K1011" s="5" t="s">
        <v>5169</v>
      </c>
      <c r="L1011" s="11">
        <v>1</v>
      </c>
      <c r="M1011" s="5" t="s">
        <v>173</v>
      </c>
    </row>
    <row r="1012" spans="2:13" ht="37.5" customHeight="1" x14ac:dyDescent="0.35">
      <c r="B1012" s="12">
        <v>53</v>
      </c>
      <c r="C1012" s="7" t="s">
        <v>7707</v>
      </c>
      <c r="D1012" s="12">
        <v>34</v>
      </c>
      <c r="E1012" s="7" t="s">
        <v>7836</v>
      </c>
      <c r="F1012" s="7" t="s">
        <v>7837</v>
      </c>
      <c r="G1012" s="7" t="s">
        <v>513</v>
      </c>
      <c r="H1012" s="7" t="s">
        <v>37</v>
      </c>
      <c r="I1012" s="7" t="s">
        <v>51</v>
      </c>
      <c r="J1012" s="7" t="s">
        <v>194</v>
      </c>
      <c r="K1012" s="7" t="s">
        <v>5169</v>
      </c>
      <c r="L1012" s="12">
        <v>1</v>
      </c>
      <c r="M1012" s="7" t="s">
        <v>173</v>
      </c>
    </row>
    <row r="1013" spans="2:13" ht="21.75" customHeight="1" x14ac:dyDescent="0.35">
      <c r="B1013" s="11">
        <v>53</v>
      </c>
      <c r="C1013" s="5" t="s">
        <v>7707</v>
      </c>
      <c r="D1013" s="11">
        <v>35</v>
      </c>
      <c r="E1013" s="5" t="s">
        <v>7838</v>
      </c>
      <c r="F1013" s="5" t="s">
        <v>7839</v>
      </c>
      <c r="G1013" s="5" t="s">
        <v>26</v>
      </c>
      <c r="H1013" s="5" t="s">
        <v>1574</v>
      </c>
      <c r="I1013" s="5" t="s">
        <v>49</v>
      </c>
      <c r="J1013" s="5" t="s">
        <v>213</v>
      </c>
      <c r="K1013" s="5" t="s">
        <v>7840</v>
      </c>
      <c r="L1013" s="11">
        <v>1</v>
      </c>
      <c r="M1013" s="5" t="s">
        <v>173</v>
      </c>
    </row>
    <row r="1014" spans="2:13" ht="37.5" customHeight="1" x14ac:dyDescent="0.35">
      <c r="B1014" s="12">
        <v>53</v>
      </c>
      <c r="C1014" s="7" t="s">
        <v>7707</v>
      </c>
      <c r="D1014" s="12">
        <v>36</v>
      </c>
      <c r="E1014" s="7" t="s">
        <v>7841</v>
      </c>
      <c r="F1014" s="7" t="s">
        <v>7842</v>
      </c>
      <c r="G1014" s="7" t="s">
        <v>28</v>
      </c>
      <c r="H1014" s="7" t="s">
        <v>40</v>
      </c>
      <c r="I1014" s="7" t="s">
        <v>54</v>
      </c>
      <c r="J1014" s="7" t="s">
        <v>213</v>
      </c>
      <c r="K1014" s="7" t="s">
        <v>254</v>
      </c>
      <c r="L1014" s="12">
        <v>1</v>
      </c>
      <c r="M1014" s="7" t="s">
        <v>173</v>
      </c>
    </row>
    <row r="1015" spans="2:13" ht="21.75" customHeight="1" x14ac:dyDescent="0.35">
      <c r="B1015" s="11">
        <v>53</v>
      </c>
      <c r="C1015" s="5" t="s">
        <v>7707</v>
      </c>
      <c r="D1015" s="11">
        <v>37</v>
      </c>
      <c r="E1015" s="5" t="s">
        <v>7843</v>
      </c>
      <c r="F1015" s="5" t="s">
        <v>7844</v>
      </c>
      <c r="G1015" s="5" t="s">
        <v>442</v>
      </c>
      <c r="H1015" s="5" t="s">
        <v>40</v>
      </c>
      <c r="I1015" s="5" t="s">
        <v>54</v>
      </c>
      <c r="J1015" s="5" t="s">
        <v>213</v>
      </c>
      <c r="K1015" s="5" t="s">
        <v>254</v>
      </c>
      <c r="L1015" s="11">
        <v>1</v>
      </c>
      <c r="M1015" s="5" t="s">
        <v>173</v>
      </c>
    </row>
    <row r="1016" spans="2:13" ht="37.5" customHeight="1" x14ac:dyDescent="0.35">
      <c r="B1016" s="12">
        <v>53</v>
      </c>
      <c r="C1016" s="7" t="s">
        <v>7707</v>
      </c>
      <c r="D1016" s="12">
        <v>38</v>
      </c>
      <c r="E1016" s="7" t="s">
        <v>7845</v>
      </c>
      <c r="F1016" s="7" t="s">
        <v>7846</v>
      </c>
      <c r="G1016" s="7" t="s">
        <v>372</v>
      </c>
      <c r="H1016" s="7" t="s">
        <v>1995</v>
      </c>
      <c r="I1016" s="7" t="s">
        <v>4971</v>
      </c>
      <c r="J1016" s="7" t="s">
        <v>220</v>
      </c>
      <c r="K1016" s="7" t="s">
        <v>7847</v>
      </c>
      <c r="L1016" s="12">
        <v>2</v>
      </c>
      <c r="M1016" s="7" t="s">
        <v>173</v>
      </c>
    </row>
    <row r="1017" spans="2:13" ht="37.5" customHeight="1" x14ac:dyDescent="0.35">
      <c r="B1017" s="11">
        <v>53</v>
      </c>
      <c r="C1017" s="5" t="s">
        <v>7707</v>
      </c>
      <c r="D1017" s="11">
        <v>39</v>
      </c>
      <c r="E1017" s="5" t="s">
        <v>7848</v>
      </c>
      <c r="F1017" s="5" t="s">
        <v>7849</v>
      </c>
      <c r="G1017" s="5" t="s">
        <v>2405</v>
      </c>
      <c r="H1017" s="5" t="s">
        <v>37</v>
      </c>
      <c r="I1017" s="5" t="s">
        <v>51</v>
      </c>
      <c r="J1017" s="5" t="s">
        <v>194</v>
      </c>
      <c r="K1017" s="5" t="s">
        <v>5169</v>
      </c>
      <c r="L1017" s="11">
        <v>1</v>
      </c>
      <c r="M1017" s="5" t="s">
        <v>173</v>
      </c>
    </row>
    <row r="1018" spans="2:13" ht="37.5" customHeight="1" x14ac:dyDescent="0.35">
      <c r="B1018" s="12">
        <v>53</v>
      </c>
      <c r="C1018" s="7" t="s">
        <v>7707</v>
      </c>
      <c r="D1018" s="12">
        <v>40</v>
      </c>
      <c r="E1018" s="7" t="s">
        <v>7850</v>
      </c>
      <c r="F1018" s="7" t="s">
        <v>7851</v>
      </c>
      <c r="G1018" s="7" t="s">
        <v>31</v>
      </c>
      <c r="H1018" s="7" t="s">
        <v>42</v>
      </c>
      <c r="I1018" s="7" t="s">
        <v>7852</v>
      </c>
      <c r="J1018" s="7" t="s">
        <v>1903</v>
      </c>
      <c r="K1018" s="7" t="s">
        <v>7853</v>
      </c>
      <c r="L1018" s="12">
        <v>1</v>
      </c>
      <c r="M1018" s="7" t="s">
        <v>173</v>
      </c>
    </row>
    <row r="1019" spans="2:13" ht="67.5" customHeight="1" x14ac:dyDescent="0.35">
      <c r="B1019" s="11">
        <v>53</v>
      </c>
      <c r="C1019" s="5" t="s">
        <v>7707</v>
      </c>
      <c r="D1019" s="11">
        <v>41</v>
      </c>
      <c r="E1019" s="5" t="s">
        <v>7854</v>
      </c>
      <c r="F1019" s="5" t="s">
        <v>7855</v>
      </c>
      <c r="G1019" s="5" t="s">
        <v>497</v>
      </c>
      <c r="H1019" s="5" t="s">
        <v>7856</v>
      </c>
      <c r="I1019" s="5" t="s">
        <v>7857</v>
      </c>
      <c r="J1019" s="5" t="s">
        <v>7770</v>
      </c>
      <c r="K1019" s="5" t="s">
        <v>7858</v>
      </c>
      <c r="L1019" s="11">
        <v>3</v>
      </c>
      <c r="M1019" s="5" t="s">
        <v>173</v>
      </c>
    </row>
    <row r="1020" spans="2:13" ht="52.5" customHeight="1" x14ac:dyDescent="0.35">
      <c r="B1020" s="12">
        <v>53</v>
      </c>
      <c r="C1020" s="7" t="s">
        <v>7707</v>
      </c>
      <c r="D1020" s="12">
        <v>42</v>
      </c>
      <c r="E1020" s="7" t="s">
        <v>7859</v>
      </c>
      <c r="F1020" s="7" t="s">
        <v>7860</v>
      </c>
      <c r="G1020" s="7" t="s">
        <v>1610</v>
      </c>
      <c r="H1020" s="7" t="s">
        <v>7861</v>
      </c>
      <c r="I1020" s="7" t="s">
        <v>7862</v>
      </c>
      <c r="J1020" s="7" t="s">
        <v>7863</v>
      </c>
      <c r="K1020" s="7" t="s">
        <v>7864</v>
      </c>
      <c r="L1020" s="12">
        <v>3</v>
      </c>
      <c r="M1020" s="7" t="s">
        <v>173</v>
      </c>
    </row>
    <row r="1021" spans="2:13" ht="52.5" customHeight="1" x14ac:dyDescent="0.35">
      <c r="B1021" s="11">
        <v>53</v>
      </c>
      <c r="C1021" s="5" t="s">
        <v>7707</v>
      </c>
      <c r="D1021" s="11">
        <v>43</v>
      </c>
      <c r="E1021" s="5" t="s">
        <v>7865</v>
      </c>
      <c r="F1021" s="5" t="s">
        <v>7866</v>
      </c>
      <c r="G1021" s="5" t="s">
        <v>27</v>
      </c>
      <c r="H1021" s="5" t="s">
        <v>7867</v>
      </c>
      <c r="I1021" s="5" t="s">
        <v>7868</v>
      </c>
      <c r="J1021" s="5" t="s">
        <v>7869</v>
      </c>
      <c r="K1021" s="5" t="s">
        <v>7870</v>
      </c>
      <c r="L1021" s="11">
        <v>3</v>
      </c>
      <c r="M1021" s="5" t="s">
        <v>173</v>
      </c>
    </row>
    <row r="1022" spans="2:13" ht="21.75" customHeight="1" x14ac:dyDescent="0.35">
      <c r="B1022" s="12">
        <v>53</v>
      </c>
      <c r="C1022" s="7" t="s">
        <v>7707</v>
      </c>
      <c r="D1022" s="12">
        <v>44</v>
      </c>
      <c r="E1022" s="7" t="s">
        <v>7871</v>
      </c>
      <c r="F1022" s="7" t="s">
        <v>7872</v>
      </c>
      <c r="G1022" s="7" t="s">
        <v>810</v>
      </c>
      <c r="H1022" s="7" t="s">
        <v>1943</v>
      </c>
      <c r="I1022" s="7" t="s">
        <v>49</v>
      </c>
      <c r="J1022" s="7" t="s">
        <v>213</v>
      </c>
      <c r="K1022" s="7" t="s">
        <v>5428</v>
      </c>
      <c r="L1022" s="12">
        <v>1</v>
      </c>
      <c r="M1022" s="7" t="s">
        <v>173</v>
      </c>
    </row>
    <row r="1023" spans="2:13" ht="37.5" customHeight="1" x14ac:dyDescent="0.35">
      <c r="B1023" s="11">
        <v>53</v>
      </c>
      <c r="C1023" s="5" t="s">
        <v>7707</v>
      </c>
      <c r="D1023" s="11">
        <v>45</v>
      </c>
      <c r="E1023" s="5" t="s">
        <v>7873</v>
      </c>
      <c r="F1023" s="5" t="s">
        <v>7874</v>
      </c>
      <c r="G1023" s="5" t="s">
        <v>395</v>
      </c>
      <c r="H1023" s="5" t="s">
        <v>41</v>
      </c>
      <c r="I1023" s="5" t="s">
        <v>7875</v>
      </c>
      <c r="J1023" s="5" t="s">
        <v>213</v>
      </c>
      <c r="K1023" s="5" t="s">
        <v>7876</v>
      </c>
      <c r="L1023" s="11">
        <v>1</v>
      </c>
      <c r="M1023" s="5" t="s">
        <v>173</v>
      </c>
    </row>
    <row r="1024" spans="2:13" ht="37.5" customHeight="1" x14ac:dyDescent="0.35">
      <c r="B1024" s="12">
        <v>53</v>
      </c>
      <c r="C1024" s="7" t="s">
        <v>7707</v>
      </c>
      <c r="D1024" s="12">
        <v>46</v>
      </c>
      <c r="E1024" s="7" t="s">
        <v>7877</v>
      </c>
      <c r="F1024" s="7" t="s">
        <v>7878</v>
      </c>
      <c r="G1024" s="7" t="s">
        <v>825</v>
      </c>
      <c r="H1024" s="7" t="s">
        <v>40</v>
      </c>
      <c r="I1024" s="7" t="s">
        <v>54</v>
      </c>
      <c r="J1024" s="7" t="s">
        <v>213</v>
      </c>
      <c r="K1024" s="7" t="s">
        <v>254</v>
      </c>
      <c r="L1024" s="12">
        <v>1</v>
      </c>
      <c r="M1024" s="7" t="s">
        <v>173</v>
      </c>
    </row>
    <row r="1025" spans="2:13" ht="37.5" customHeight="1" x14ac:dyDescent="0.35">
      <c r="B1025" s="11">
        <v>53</v>
      </c>
      <c r="C1025" s="5" t="s">
        <v>7707</v>
      </c>
      <c r="D1025" s="11">
        <v>47</v>
      </c>
      <c r="E1025" s="5" t="s">
        <v>7879</v>
      </c>
      <c r="F1025" s="5" t="s">
        <v>7880</v>
      </c>
      <c r="G1025" s="5" t="s">
        <v>428</v>
      </c>
      <c r="H1025" s="5" t="s">
        <v>40</v>
      </c>
      <c r="I1025" s="5" t="s">
        <v>54</v>
      </c>
      <c r="J1025" s="5" t="s">
        <v>213</v>
      </c>
      <c r="K1025" s="5" t="s">
        <v>254</v>
      </c>
      <c r="L1025" s="11">
        <v>1</v>
      </c>
      <c r="M1025" s="5" t="s">
        <v>173</v>
      </c>
    </row>
    <row r="1026" spans="2:13" ht="37.5" customHeight="1" x14ac:dyDescent="0.35">
      <c r="B1026" s="12">
        <v>53</v>
      </c>
      <c r="C1026" s="7" t="s">
        <v>7707</v>
      </c>
      <c r="D1026" s="12" t="s">
        <v>7881</v>
      </c>
      <c r="E1026" s="7" t="s">
        <v>7882</v>
      </c>
      <c r="F1026" s="7" t="s">
        <v>7883</v>
      </c>
      <c r="G1026" s="7" t="s">
        <v>761</v>
      </c>
      <c r="H1026" s="7" t="s">
        <v>40</v>
      </c>
      <c r="I1026" s="7" t="s">
        <v>54</v>
      </c>
      <c r="J1026" s="7" t="s">
        <v>213</v>
      </c>
      <c r="K1026" s="7" t="s">
        <v>254</v>
      </c>
      <c r="L1026" s="12">
        <v>1</v>
      </c>
      <c r="M1026" s="7" t="s">
        <v>173</v>
      </c>
    </row>
    <row r="1027" spans="2:13" ht="37.5" customHeight="1" x14ac:dyDescent="0.35">
      <c r="B1027" s="11">
        <v>53</v>
      </c>
      <c r="C1027" s="5" t="s">
        <v>7707</v>
      </c>
      <c r="D1027" s="11"/>
      <c r="E1027" s="5" t="s">
        <v>7884</v>
      </c>
      <c r="F1027" s="5" t="s">
        <v>7885</v>
      </c>
      <c r="G1027" s="5" t="s">
        <v>3643</v>
      </c>
      <c r="H1027" s="5" t="s">
        <v>4996</v>
      </c>
      <c r="I1027" s="5" t="s">
        <v>4971</v>
      </c>
      <c r="J1027" s="5" t="s">
        <v>220</v>
      </c>
      <c r="K1027" s="5" t="s">
        <v>7886</v>
      </c>
      <c r="L1027" s="11">
        <v>2</v>
      </c>
      <c r="M1027" s="5" t="s">
        <v>173</v>
      </c>
    </row>
    <row r="1028" spans="2:13" ht="37.5" customHeight="1" x14ac:dyDescent="0.35">
      <c r="B1028" s="12">
        <v>53</v>
      </c>
      <c r="C1028" s="7" t="s">
        <v>7707</v>
      </c>
      <c r="D1028" s="12">
        <v>50</v>
      </c>
      <c r="E1028" s="7" t="s">
        <v>7887</v>
      </c>
      <c r="F1028" s="7" t="s">
        <v>7888</v>
      </c>
      <c r="G1028" s="7" t="s">
        <v>176</v>
      </c>
      <c r="H1028" s="7" t="s">
        <v>37</v>
      </c>
      <c r="I1028" s="7" t="s">
        <v>51</v>
      </c>
      <c r="J1028" s="7" t="s">
        <v>194</v>
      </c>
      <c r="K1028" s="7" t="s">
        <v>5169</v>
      </c>
      <c r="L1028" s="12">
        <v>1</v>
      </c>
      <c r="M1028" s="7" t="s">
        <v>173</v>
      </c>
    </row>
    <row r="1029" spans="2:13" ht="37.5" customHeight="1" x14ac:dyDescent="0.35">
      <c r="B1029" s="11">
        <v>53</v>
      </c>
      <c r="C1029" s="5" t="s">
        <v>7707</v>
      </c>
      <c r="D1029" s="11">
        <v>51</v>
      </c>
      <c r="E1029" s="5" t="s">
        <v>7889</v>
      </c>
      <c r="F1029" s="5" t="s">
        <v>7890</v>
      </c>
      <c r="G1029" s="5" t="s">
        <v>32</v>
      </c>
      <c r="H1029" s="5" t="s">
        <v>294</v>
      </c>
      <c r="I1029" s="5" t="s">
        <v>4971</v>
      </c>
      <c r="J1029" s="5" t="s">
        <v>220</v>
      </c>
      <c r="K1029" s="5" t="s">
        <v>7891</v>
      </c>
      <c r="L1029" s="11">
        <v>2</v>
      </c>
      <c r="M1029" s="5" t="s">
        <v>173</v>
      </c>
    </row>
    <row r="1030" spans="2:13" ht="37.5" customHeight="1" x14ac:dyDescent="0.35">
      <c r="B1030" s="12">
        <v>53</v>
      </c>
      <c r="C1030" s="7" t="s">
        <v>7707</v>
      </c>
      <c r="D1030" s="12">
        <v>52</v>
      </c>
      <c r="E1030" s="7" t="s">
        <v>7892</v>
      </c>
      <c r="F1030" s="7" t="s">
        <v>7893</v>
      </c>
      <c r="G1030" s="7" t="s">
        <v>395</v>
      </c>
      <c r="H1030" s="7" t="s">
        <v>37</v>
      </c>
      <c r="I1030" s="7" t="s">
        <v>51</v>
      </c>
      <c r="J1030" s="7" t="s">
        <v>194</v>
      </c>
      <c r="K1030" s="7" t="s">
        <v>5169</v>
      </c>
      <c r="L1030" s="12">
        <v>1</v>
      </c>
      <c r="M1030" s="7" t="s">
        <v>173</v>
      </c>
    </row>
    <row r="1031" spans="2:13" ht="52.5" customHeight="1" x14ac:dyDescent="0.35">
      <c r="B1031" s="11">
        <v>53</v>
      </c>
      <c r="C1031" s="5" t="s">
        <v>7707</v>
      </c>
      <c r="D1031" s="11">
        <v>53</v>
      </c>
      <c r="E1031" s="5" t="s">
        <v>7894</v>
      </c>
      <c r="F1031" s="5" t="s">
        <v>7895</v>
      </c>
      <c r="G1031" s="5" t="s">
        <v>25</v>
      </c>
      <c r="H1031" s="5" t="s">
        <v>5470</v>
      </c>
      <c r="I1031" s="5" t="s">
        <v>5471</v>
      </c>
      <c r="J1031" s="5" t="s">
        <v>220</v>
      </c>
      <c r="K1031" s="5" t="s">
        <v>7896</v>
      </c>
      <c r="L1031" s="11">
        <v>3</v>
      </c>
      <c r="M1031" s="5" t="s">
        <v>173</v>
      </c>
    </row>
    <row r="1032" spans="2:13" ht="37.5" customHeight="1" x14ac:dyDescent="0.35">
      <c r="B1032" s="12">
        <v>53</v>
      </c>
      <c r="C1032" s="7" t="s">
        <v>7707</v>
      </c>
      <c r="D1032" s="12">
        <v>54</v>
      </c>
      <c r="E1032" s="7" t="s">
        <v>7897</v>
      </c>
      <c r="F1032" s="7" t="s">
        <v>7898</v>
      </c>
      <c r="G1032" s="7" t="s">
        <v>1435</v>
      </c>
      <c r="H1032" s="7" t="s">
        <v>37</v>
      </c>
      <c r="I1032" s="7" t="s">
        <v>51</v>
      </c>
      <c r="J1032" s="7" t="s">
        <v>194</v>
      </c>
      <c r="K1032" s="7" t="s">
        <v>5169</v>
      </c>
      <c r="L1032" s="12">
        <v>1</v>
      </c>
      <c r="M1032" s="7" t="s">
        <v>173</v>
      </c>
    </row>
    <row r="1033" spans="2:13" ht="37.5" customHeight="1" x14ac:dyDescent="0.35">
      <c r="B1033" s="11">
        <v>53</v>
      </c>
      <c r="C1033" s="5" t="s">
        <v>7707</v>
      </c>
      <c r="D1033" s="11">
        <v>55</v>
      </c>
      <c r="E1033" s="5" t="s">
        <v>7899</v>
      </c>
      <c r="F1033" s="5" t="s">
        <v>7900</v>
      </c>
      <c r="G1033" s="5" t="s">
        <v>662</v>
      </c>
      <c r="H1033" s="5" t="s">
        <v>37</v>
      </c>
      <c r="I1033" s="5" t="s">
        <v>51</v>
      </c>
      <c r="J1033" s="5" t="s">
        <v>194</v>
      </c>
      <c r="K1033" s="5" t="s">
        <v>5169</v>
      </c>
      <c r="L1033" s="11">
        <v>1</v>
      </c>
      <c r="M1033" s="5" t="s">
        <v>173</v>
      </c>
    </row>
    <row r="1034" spans="2:13" ht="37.5" customHeight="1" x14ac:dyDescent="0.35">
      <c r="B1034" s="12">
        <v>53</v>
      </c>
      <c r="C1034" s="7" t="s">
        <v>7707</v>
      </c>
      <c r="D1034" s="12">
        <v>56</v>
      </c>
      <c r="E1034" s="7" t="s">
        <v>7901</v>
      </c>
      <c r="F1034" s="7" t="s">
        <v>7902</v>
      </c>
      <c r="G1034" s="7" t="s">
        <v>552</v>
      </c>
      <c r="H1034" s="7" t="s">
        <v>37</v>
      </c>
      <c r="I1034" s="7" t="s">
        <v>51</v>
      </c>
      <c r="J1034" s="7" t="s">
        <v>194</v>
      </c>
      <c r="K1034" s="7" t="s">
        <v>5169</v>
      </c>
      <c r="L1034" s="12">
        <v>1</v>
      </c>
      <c r="M1034" s="7" t="s">
        <v>173</v>
      </c>
    </row>
    <row r="1035" spans="2:13" ht="37.5" customHeight="1" x14ac:dyDescent="0.35">
      <c r="B1035" s="11">
        <v>53</v>
      </c>
      <c r="C1035" s="5" t="s">
        <v>7707</v>
      </c>
      <c r="D1035" s="11">
        <v>57</v>
      </c>
      <c r="E1035" s="5" t="s">
        <v>7903</v>
      </c>
      <c r="F1035" s="5" t="s">
        <v>7904</v>
      </c>
      <c r="G1035" s="5" t="s">
        <v>244</v>
      </c>
      <c r="H1035" s="5" t="s">
        <v>44</v>
      </c>
      <c r="I1035" s="5" t="s">
        <v>49</v>
      </c>
      <c r="J1035" s="5" t="s">
        <v>213</v>
      </c>
      <c r="K1035" s="5" t="s">
        <v>6308</v>
      </c>
      <c r="L1035" s="11">
        <v>1</v>
      </c>
      <c r="M1035" s="5" t="s">
        <v>173</v>
      </c>
    </row>
    <row r="1036" spans="2:13" ht="37.5" customHeight="1" x14ac:dyDescent="0.35">
      <c r="B1036" s="12">
        <v>53</v>
      </c>
      <c r="C1036" s="7" t="s">
        <v>7707</v>
      </c>
      <c r="D1036" s="12">
        <v>58</v>
      </c>
      <c r="E1036" s="7" t="s">
        <v>7905</v>
      </c>
      <c r="F1036" s="7" t="s">
        <v>7906</v>
      </c>
      <c r="G1036" s="7" t="s">
        <v>686</v>
      </c>
      <c r="H1036" s="7" t="s">
        <v>238</v>
      </c>
      <c r="I1036" s="7" t="s">
        <v>239</v>
      </c>
      <c r="J1036" s="7" t="s">
        <v>240</v>
      </c>
      <c r="K1036" s="7" t="s">
        <v>241</v>
      </c>
      <c r="L1036" s="12">
        <v>2</v>
      </c>
      <c r="M1036" s="7" t="s">
        <v>173</v>
      </c>
    </row>
    <row r="1037" spans="2:13" ht="37.5" customHeight="1" x14ac:dyDescent="0.35">
      <c r="B1037" s="11">
        <v>53</v>
      </c>
      <c r="C1037" s="5" t="s">
        <v>7707</v>
      </c>
      <c r="D1037" s="11">
        <v>59</v>
      </c>
      <c r="E1037" s="5" t="s">
        <v>7907</v>
      </c>
      <c r="F1037" s="5" t="s">
        <v>7908</v>
      </c>
      <c r="G1037" s="5" t="s">
        <v>831</v>
      </c>
      <c r="H1037" s="5" t="s">
        <v>40</v>
      </c>
      <c r="I1037" s="5" t="s">
        <v>54</v>
      </c>
      <c r="J1037" s="5" t="s">
        <v>213</v>
      </c>
      <c r="K1037" s="5" t="s">
        <v>254</v>
      </c>
      <c r="L1037" s="11">
        <v>1</v>
      </c>
      <c r="M1037" s="5" t="s">
        <v>173</v>
      </c>
    </row>
    <row r="1038" spans="2:13" ht="37.5" customHeight="1" x14ac:dyDescent="0.35">
      <c r="B1038" s="12">
        <v>53</v>
      </c>
      <c r="C1038" s="7" t="s">
        <v>7707</v>
      </c>
      <c r="D1038" s="12">
        <v>60</v>
      </c>
      <c r="E1038" s="7" t="s">
        <v>7909</v>
      </c>
      <c r="F1038" s="7" t="s">
        <v>7910</v>
      </c>
      <c r="G1038" s="7" t="s">
        <v>1294</v>
      </c>
      <c r="H1038" s="7" t="s">
        <v>40</v>
      </c>
      <c r="I1038" s="7" t="s">
        <v>54</v>
      </c>
      <c r="J1038" s="7" t="s">
        <v>213</v>
      </c>
      <c r="K1038" s="7" t="s">
        <v>254</v>
      </c>
      <c r="L1038" s="12">
        <v>1</v>
      </c>
      <c r="M1038" s="7" t="s">
        <v>173</v>
      </c>
    </row>
    <row r="1039" spans="2:13" ht="37.5" customHeight="1" x14ac:dyDescent="0.35">
      <c r="B1039" s="11">
        <v>53</v>
      </c>
      <c r="C1039" s="5" t="s">
        <v>7707</v>
      </c>
      <c r="D1039" s="11">
        <v>61</v>
      </c>
      <c r="E1039" s="5" t="s">
        <v>7911</v>
      </c>
      <c r="F1039" s="5" t="s">
        <v>7912</v>
      </c>
      <c r="G1039" s="5" t="s">
        <v>582</v>
      </c>
      <c r="H1039" s="5" t="s">
        <v>37</v>
      </c>
      <c r="I1039" s="5" t="s">
        <v>51</v>
      </c>
      <c r="J1039" s="5" t="s">
        <v>194</v>
      </c>
      <c r="K1039" s="5" t="s">
        <v>5169</v>
      </c>
      <c r="L1039" s="11">
        <v>1</v>
      </c>
      <c r="M1039" s="5" t="s">
        <v>173</v>
      </c>
    </row>
    <row r="1040" spans="2:13" ht="37.5" customHeight="1" x14ac:dyDescent="0.35">
      <c r="B1040" s="12">
        <v>53</v>
      </c>
      <c r="C1040" s="7" t="s">
        <v>7707</v>
      </c>
      <c r="D1040" s="12">
        <v>62</v>
      </c>
      <c r="E1040" s="7" t="s">
        <v>7913</v>
      </c>
      <c r="F1040" s="7" t="s">
        <v>7914</v>
      </c>
      <c r="G1040" s="7" t="s">
        <v>585</v>
      </c>
      <c r="H1040" s="7" t="s">
        <v>218</v>
      </c>
      <c r="I1040" s="7" t="s">
        <v>5036</v>
      </c>
      <c r="J1040" s="7" t="s">
        <v>220</v>
      </c>
      <c r="K1040" s="7" t="s">
        <v>7688</v>
      </c>
      <c r="L1040" s="12">
        <v>2</v>
      </c>
      <c r="M1040" s="7" t="s">
        <v>173</v>
      </c>
    </row>
    <row r="1041" spans="2:13" ht="21.75" customHeight="1" x14ac:dyDescent="0.35">
      <c r="B1041" s="11">
        <v>53</v>
      </c>
      <c r="C1041" s="5" t="s">
        <v>7707</v>
      </c>
      <c r="D1041" s="11">
        <v>63</v>
      </c>
      <c r="E1041" s="5" t="s">
        <v>7915</v>
      </c>
      <c r="F1041" s="5" t="s">
        <v>7916</v>
      </c>
      <c r="G1041" s="5" t="s">
        <v>285</v>
      </c>
      <c r="H1041" s="5" t="s">
        <v>37</v>
      </c>
      <c r="I1041" s="5" t="s">
        <v>51</v>
      </c>
      <c r="J1041" s="5" t="s">
        <v>194</v>
      </c>
      <c r="K1041" s="5" t="s">
        <v>5169</v>
      </c>
      <c r="L1041" s="11">
        <v>1</v>
      </c>
      <c r="M1041" s="5" t="s">
        <v>173</v>
      </c>
    </row>
    <row r="1042" spans="2:13" ht="37.5" customHeight="1" x14ac:dyDescent="0.35">
      <c r="B1042" s="12">
        <v>53</v>
      </c>
      <c r="C1042" s="7" t="s">
        <v>7707</v>
      </c>
      <c r="D1042" s="12">
        <v>64</v>
      </c>
      <c r="E1042" s="7" t="s">
        <v>7917</v>
      </c>
      <c r="F1042" s="7" t="s">
        <v>7918</v>
      </c>
      <c r="G1042" s="7" t="s">
        <v>7919</v>
      </c>
      <c r="H1042" s="7" t="s">
        <v>37</v>
      </c>
      <c r="I1042" s="7" t="s">
        <v>51</v>
      </c>
      <c r="J1042" s="7" t="s">
        <v>194</v>
      </c>
      <c r="K1042" s="7" t="s">
        <v>5169</v>
      </c>
      <c r="L1042" s="12">
        <v>1</v>
      </c>
      <c r="M1042" s="7" t="s">
        <v>173</v>
      </c>
    </row>
    <row r="1043" spans="2:13" ht="21.75" customHeight="1" x14ac:dyDescent="0.35">
      <c r="B1043" s="11">
        <v>53</v>
      </c>
      <c r="C1043" s="5" t="s">
        <v>7707</v>
      </c>
      <c r="D1043" s="11">
        <v>65</v>
      </c>
      <c r="E1043" s="5" t="s">
        <v>7920</v>
      </c>
      <c r="F1043" s="5" t="s">
        <v>7921</v>
      </c>
      <c r="G1043" s="5" t="s">
        <v>749</v>
      </c>
      <c r="H1043" s="5" t="s">
        <v>37</v>
      </c>
      <c r="I1043" s="5" t="s">
        <v>51</v>
      </c>
      <c r="J1043" s="5" t="s">
        <v>194</v>
      </c>
      <c r="K1043" s="5" t="s">
        <v>5169</v>
      </c>
      <c r="L1043" s="11">
        <v>1</v>
      </c>
      <c r="M1043" s="5" t="s">
        <v>173</v>
      </c>
    </row>
    <row r="1044" spans="2:13" ht="21.75" customHeight="1" x14ac:dyDescent="0.35">
      <c r="B1044" s="12">
        <v>53</v>
      </c>
      <c r="C1044" s="7" t="s">
        <v>7707</v>
      </c>
      <c r="D1044" s="12">
        <v>66</v>
      </c>
      <c r="E1044" s="7" t="s">
        <v>7922</v>
      </c>
      <c r="F1044" s="7" t="s">
        <v>7923</v>
      </c>
      <c r="G1044" s="7" t="s">
        <v>813</v>
      </c>
      <c r="H1044" s="7" t="s">
        <v>37</v>
      </c>
      <c r="I1044" s="7" t="s">
        <v>51</v>
      </c>
      <c r="J1044" s="7" t="s">
        <v>194</v>
      </c>
      <c r="K1044" s="7" t="s">
        <v>5169</v>
      </c>
      <c r="L1044" s="12">
        <v>1</v>
      </c>
      <c r="M1044" s="7" t="s">
        <v>173</v>
      </c>
    </row>
    <row r="1045" spans="2:13" ht="37.5" customHeight="1" x14ac:dyDescent="0.35">
      <c r="B1045" s="11">
        <v>53</v>
      </c>
      <c r="C1045" s="5" t="s">
        <v>7707</v>
      </c>
      <c r="D1045" s="11">
        <v>67</v>
      </c>
      <c r="E1045" s="5" t="s">
        <v>7924</v>
      </c>
      <c r="F1045" s="5" t="s">
        <v>7925</v>
      </c>
      <c r="G1045" s="5" t="s">
        <v>625</v>
      </c>
      <c r="H1045" s="5" t="s">
        <v>218</v>
      </c>
      <c r="I1045" s="5" t="s">
        <v>5036</v>
      </c>
      <c r="J1045" s="5" t="s">
        <v>220</v>
      </c>
      <c r="K1045" s="5" t="s">
        <v>7688</v>
      </c>
      <c r="L1045" s="11">
        <v>2</v>
      </c>
      <c r="M1045" s="5" t="s">
        <v>173</v>
      </c>
    </row>
    <row r="1046" spans="2:13" ht="21.75" customHeight="1" x14ac:dyDescent="0.35">
      <c r="B1046" s="12">
        <v>53</v>
      </c>
      <c r="C1046" s="7" t="s">
        <v>7707</v>
      </c>
      <c r="D1046" s="12">
        <v>68</v>
      </c>
      <c r="E1046" s="7" t="s">
        <v>7926</v>
      </c>
      <c r="F1046" s="7" t="s">
        <v>7927</v>
      </c>
      <c r="G1046" s="7" t="s">
        <v>828</v>
      </c>
      <c r="H1046" s="7" t="s">
        <v>37</v>
      </c>
      <c r="I1046" s="7" t="s">
        <v>51</v>
      </c>
      <c r="J1046" s="7" t="s">
        <v>194</v>
      </c>
      <c r="K1046" s="7" t="s">
        <v>5169</v>
      </c>
      <c r="L1046" s="12">
        <v>1</v>
      </c>
      <c r="M1046" s="7" t="s">
        <v>173</v>
      </c>
    </row>
    <row r="1047" spans="2:13" ht="37.5" customHeight="1" x14ac:dyDescent="0.35">
      <c r="B1047" s="11">
        <v>53</v>
      </c>
      <c r="C1047" s="5" t="s">
        <v>7707</v>
      </c>
      <c r="D1047" s="11">
        <v>69</v>
      </c>
      <c r="E1047" s="5" t="s">
        <v>7928</v>
      </c>
      <c r="F1047" s="5" t="s">
        <v>7929</v>
      </c>
      <c r="G1047" s="5" t="s">
        <v>722</v>
      </c>
      <c r="H1047" s="5" t="s">
        <v>218</v>
      </c>
      <c r="I1047" s="5" t="s">
        <v>5036</v>
      </c>
      <c r="J1047" s="5" t="s">
        <v>220</v>
      </c>
      <c r="K1047" s="5" t="s">
        <v>7688</v>
      </c>
      <c r="L1047" s="11">
        <v>2</v>
      </c>
      <c r="M1047" s="5" t="s">
        <v>173</v>
      </c>
    </row>
    <row r="1048" spans="2:13" ht="37.5" customHeight="1" x14ac:dyDescent="0.35">
      <c r="B1048" s="12">
        <v>53</v>
      </c>
      <c r="C1048" s="7" t="s">
        <v>7707</v>
      </c>
      <c r="D1048" s="12">
        <v>70</v>
      </c>
      <c r="E1048" s="7" t="s">
        <v>7930</v>
      </c>
      <c r="F1048" s="7" t="s">
        <v>7931</v>
      </c>
      <c r="G1048" s="7" t="s">
        <v>645</v>
      </c>
      <c r="H1048" s="7" t="s">
        <v>218</v>
      </c>
      <c r="I1048" s="7" t="s">
        <v>5036</v>
      </c>
      <c r="J1048" s="7" t="s">
        <v>220</v>
      </c>
      <c r="K1048" s="7" t="s">
        <v>7688</v>
      </c>
      <c r="L1048" s="12">
        <v>2</v>
      </c>
      <c r="M1048" s="7" t="s">
        <v>173</v>
      </c>
    </row>
    <row r="1049" spans="2:13" ht="37.5" customHeight="1" x14ac:dyDescent="0.35">
      <c r="B1049" s="11">
        <v>53</v>
      </c>
      <c r="C1049" s="5" t="s">
        <v>7707</v>
      </c>
      <c r="D1049" s="11">
        <v>71</v>
      </c>
      <c r="E1049" s="5" t="s">
        <v>7932</v>
      </c>
      <c r="F1049" s="5" t="s">
        <v>7933</v>
      </c>
      <c r="G1049" s="5" t="s">
        <v>653</v>
      </c>
      <c r="H1049" s="5" t="s">
        <v>37</v>
      </c>
      <c r="I1049" s="5" t="s">
        <v>51</v>
      </c>
      <c r="J1049" s="5" t="s">
        <v>4707</v>
      </c>
      <c r="K1049" s="5" t="s">
        <v>7934</v>
      </c>
      <c r="L1049" s="11">
        <v>1</v>
      </c>
      <c r="M1049" s="5" t="s">
        <v>173</v>
      </c>
    </row>
    <row r="1050" spans="2:13" ht="21.75" customHeight="1" x14ac:dyDescent="0.35">
      <c r="B1050" s="12">
        <v>53</v>
      </c>
      <c r="C1050" s="7" t="s">
        <v>7707</v>
      </c>
      <c r="D1050" s="12">
        <v>72</v>
      </c>
      <c r="E1050" s="7" t="s">
        <v>7935</v>
      </c>
      <c r="F1050" s="7" t="s">
        <v>7936</v>
      </c>
      <c r="G1050" s="7" t="s">
        <v>1647</v>
      </c>
      <c r="H1050" s="7" t="s">
        <v>40</v>
      </c>
      <c r="I1050" s="7" t="s">
        <v>54</v>
      </c>
      <c r="J1050" s="7" t="s">
        <v>213</v>
      </c>
      <c r="K1050" s="7" t="s">
        <v>254</v>
      </c>
      <c r="L1050" s="12">
        <v>1</v>
      </c>
      <c r="M1050" s="7" t="s">
        <v>173</v>
      </c>
    </row>
    <row r="1051" spans="2:13" ht="37.5" customHeight="1" x14ac:dyDescent="0.35">
      <c r="B1051" s="11">
        <v>53</v>
      </c>
      <c r="C1051" s="5" t="s">
        <v>7707</v>
      </c>
      <c r="D1051" s="11">
        <v>73</v>
      </c>
      <c r="E1051" s="5" t="s">
        <v>7937</v>
      </c>
      <c r="F1051" s="5" t="s">
        <v>7938</v>
      </c>
      <c r="G1051" s="5" t="s">
        <v>695</v>
      </c>
      <c r="H1051" s="5" t="s">
        <v>238</v>
      </c>
      <c r="I1051" s="5" t="s">
        <v>239</v>
      </c>
      <c r="J1051" s="5" t="s">
        <v>240</v>
      </c>
      <c r="K1051" s="5" t="s">
        <v>241</v>
      </c>
      <c r="L1051" s="11">
        <v>2</v>
      </c>
      <c r="M1051" s="5" t="s">
        <v>173</v>
      </c>
    </row>
    <row r="1052" spans="2:13" ht="37.5" customHeight="1" x14ac:dyDescent="0.35">
      <c r="B1052" s="12">
        <v>53</v>
      </c>
      <c r="C1052" s="7" t="s">
        <v>7707</v>
      </c>
      <c r="D1052" s="12">
        <v>74</v>
      </c>
      <c r="E1052" s="7" t="s">
        <v>7939</v>
      </c>
      <c r="F1052" s="7" t="s">
        <v>7940</v>
      </c>
      <c r="G1052" s="7" t="s">
        <v>557</v>
      </c>
      <c r="H1052" s="7" t="s">
        <v>40</v>
      </c>
      <c r="I1052" s="7" t="s">
        <v>54</v>
      </c>
      <c r="J1052" s="7" t="s">
        <v>213</v>
      </c>
      <c r="K1052" s="7" t="s">
        <v>254</v>
      </c>
      <c r="L1052" s="12">
        <v>1</v>
      </c>
      <c r="M1052" s="7" t="s">
        <v>173</v>
      </c>
    </row>
    <row r="1053" spans="2:13" ht="37.5" customHeight="1" x14ac:dyDescent="0.35">
      <c r="B1053" s="11">
        <v>53</v>
      </c>
      <c r="C1053" s="5" t="s">
        <v>7707</v>
      </c>
      <c r="D1053" s="11">
        <v>75</v>
      </c>
      <c r="E1053" s="5" t="s">
        <v>7941</v>
      </c>
      <c r="F1053" s="5" t="s">
        <v>7942</v>
      </c>
      <c r="G1053" s="5" t="s">
        <v>1657</v>
      </c>
      <c r="H1053" s="5" t="s">
        <v>40</v>
      </c>
      <c r="I1053" s="5" t="s">
        <v>54</v>
      </c>
      <c r="J1053" s="5" t="s">
        <v>213</v>
      </c>
      <c r="K1053" s="5" t="s">
        <v>254</v>
      </c>
      <c r="L1053" s="11">
        <v>1</v>
      </c>
      <c r="M1053" s="5" t="s">
        <v>173</v>
      </c>
    </row>
    <row r="1054" spans="2:13" ht="52.5" customHeight="1" x14ac:dyDescent="0.35">
      <c r="B1054" s="12">
        <v>53</v>
      </c>
      <c r="C1054" s="7" t="s">
        <v>7707</v>
      </c>
      <c r="D1054" s="12">
        <v>76</v>
      </c>
      <c r="E1054" s="7" t="s">
        <v>7943</v>
      </c>
      <c r="F1054" s="7" t="s">
        <v>7944</v>
      </c>
      <c r="G1054" s="7" t="s">
        <v>7945</v>
      </c>
      <c r="H1054" s="7" t="s">
        <v>7710</v>
      </c>
      <c r="I1054" s="7" t="s">
        <v>7946</v>
      </c>
      <c r="J1054" s="7" t="s">
        <v>240</v>
      </c>
      <c r="K1054" s="7" t="s">
        <v>7947</v>
      </c>
      <c r="L1054" s="12">
        <v>3</v>
      </c>
      <c r="M1054" s="7" t="s">
        <v>173</v>
      </c>
    </row>
    <row r="1055" spans="2:13" ht="37.5" customHeight="1" x14ac:dyDescent="0.35">
      <c r="B1055" s="11">
        <v>53</v>
      </c>
      <c r="C1055" s="5" t="s">
        <v>7707</v>
      </c>
      <c r="D1055" s="11">
        <v>77</v>
      </c>
      <c r="E1055" s="5" t="s">
        <v>7948</v>
      </c>
      <c r="F1055" s="5" t="s">
        <v>7949</v>
      </c>
      <c r="G1055" s="5" t="s">
        <v>701</v>
      </c>
      <c r="H1055" s="5" t="s">
        <v>40</v>
      </c>
      <c r="I1055" s="5" t="s">
        <v>54</v>
      </c>
      <c r="J1055" s="5" t="s">
        <v>213</v>
      </c>
      <c r="K1055" s="5" t="s">
        <v>254</v>
      </c>
      <c r="L1055" s="11">
        <v>1</v>
      </c>
      <c r="M1055" s="5" t="s">
        <v>173</v>
      </c>
    </row>
    <row r="1056" spans="2:13" ht="37.5" customHeight="1" x14ac:dyDescent="0.35">
      <c r="B1056" s="12">
        <v>53</v>
      </c>
      <c r="C1056" s="7" t="s">
        <v>7707</v>
      </c>
      <c r="D1056" s="12">
        <v>78</v>
      </c>
      <c r="E1056" s="7" t="s">
        <v>7950</v>
      </c>
      <c r="F1056" s="7" t="s">
        <v>7951</v>
      </c>
      <c r="G1056" s="7" t="s">
        <v>6122</v>
      </c>
      <c r="H1056" s="7" t="s">
        <v>41</v>
      </c>
      <c r="I1056" s="7" t="s">
        <v>49</v>
      </c>
      <c r="J1056" s="7" t="s">
        <v>213</v>
      </c>
      <c r="K1056" s="7" t="s">
        <v>214</v>
      </c>
      <c r="L1056" s="12">
        <v>1</v>
      </c>
      <c r="M1056" s="7" t="s">
        <v>173</v>
      </c>
    </row>
    <row r="1057" spans="2:13" ht="37.5" customHeight="1" x14ac:dyDescent="0.35">
      <c r="B1057" s="11">
        <v>53</v>
      </c>
      <c r="C1057" s="5" t="s">
        <v>7707</v>
      </c>
      <c r="D1057" s="11">
        <v>79</v>
      </c>
      <c r="E1057" s="5" t="s">
        <v>7952</v>
      </c>
      <c r="F1057" s="5" t="s">
        <v>7953</v>
      </c>
      <c r="G1057" s="5" t="s">
        <v>638</v>
      </c>
      <c r="H1057" s="5" t="s">
        <v>218</v>
      </c>
      <c r="I1057" s="5" t="s">
        <v>5036</v>
      </c>
      <c r="J1057" s="5" t="s">
        <v>220</v>
      </c>
      <c r="K1057" s="5" t="s">
        <v>7688</v>
      </c>
      <c r="L1057" s="11">
        <v>2</v>
      </c>
      <c r="M1057" s="5" t="s">
        <v>173</v>
      </c>
    </row>
    <row r="1058" spans="2:13" ht="37.5" customHeight="1" x14ac:dyDescent="0.35">
      <c r="B1058" s="12">
        <v>53</v>
      </c>
      <c r="C1058" s="7" t="s">
        <v>7707</v>
      </c>
      <c r="D1058" s="12">
        <v>80</v>
      </c>
      <c r="E1058" s="7" t="s">
        <v>7954</v>
      </c>
      <c r="F1058" s="7" t="s">
        <v>7955</v>
      </c>
      <c r="G1058" s="7" t="s">
        <v>212</v>
      </c>
      <c r="H1058" s="7" t="s">
        <v>218</v>
      </c>
      <c r="I1058" s="7" t="s">
        <v>5036</v>
      </c>
      <c r="J1058" s="7" t="s">
        <v>220</v>
      </c>
      <c r="K1058" s="7" t="s">
        <v>7688</v>
      </c>
      <c r="L1058" s="12">
        <v>2</v>
      </c>
      <c r="M1058" s="7" t="s">
        <v>173</v>
      </c>
    </row>
    <row r="1059" spans="2:13" ht="21.75" customHeight="1" x14ac:dyDescent="0.35">
      <c r="B1059" s="11">
        <v>53</v>
      </c>
      <c r="C1059" s="5" t="s">
        <v>7707</v>
      </c>
      <c r="D1059" s="11">
        <v>81</v>
      </c>
      <c r="E1059" s="5" t="s">
        <v>7956</v>
      </c>
      <c r="F1059" s="5" t="s">
        <v>7957</v>
      </c>
      <c r="G1059" s="5" t="s">
        <v>905</v>
      </c>
      <c r="H1059" s="5" t="s">
        <v>37</v>
      </c>
      <c r="I1059" s="5" t="s">
        <v>51</v>
      </c>
      <c r="J1059" s="5" t="s">
        <v>194</v>
      </c>
      <c r="K1059" s="5" t="s">
        <v>5169</v>
      </c>
      <c r="L1059" s="11">
        <v>1</v>
      </c>
      <c r="M1059" s="5" t="s">
        <v>173</v>
      </c>
    </row>
    <row r="1060" spans="2:13" ht="21.75" customHeight="1" x14ac:dyDescent="0.35">
      <c r="B1060" s="12">
        <v>53</v>
      </c>
      <c r="C1060" s="7" t="s">
        <v>7707</v>
      </c>
      <c r="D1060" s="12">
        <v>82</v>
      </c>
      <c r="E1060" s="7" t="s">
        <v>7958</v>
      </c>
      <c r="F1060" s="7" t="s">
        <v>7959</v>
      </c>
      <c r="G1060" s="7" t="s">
        <v>631</v>
      </c>
      <c r="H1060" s="7" t="s">
        <v>37</v>
      </c>
      <c r="I1060" s="7" t="s">
        <v>51</v>
      </c>
      <c r="J1060" s="7" t="s">
        <v>194</v>
      </c>
      <c r="K1060" s="7" t="s">
        <v>5169</v>
      </c>
      <c r="L1060" s="12">
        <v>1</v>
      </c>
      <c r="M1060" s="7" t="s">
        <v>173</v>
      </c>
    </row>
    <row r="1061" spans="2:13" ht="37.5" customHeight="1" x14ac:dyDescent="0.35">
      <c r="B1061" s="11">
        <v>53</v>
      </c>
      <c r="C1061" s="5" t="s">
        <v>7707</v>
      </c>
      <c r="D1061" s="11">
        <v>83</v>
      </c>
      <c r="E1061" s="5" t="s">
        <v>7960</v>
      </c>
      <c r="F1061" s="5" t="s">
        <v>7961</v>
      </c>
      <c r="G1061" s="5" t="s">
        <v>656</v>
      </c>
      <c r="H1061" s="5" t="s">
        <v>37</v>
      </c>
      <c r="I1061" s="5" t="s">
        <v>51</v>
      </c>
      <c r="J1061" s="5" t="s">
        <v>194</v>
      </c>
      <c r="K1061" s="5" t="s">
        <v>5169</v>
      </c>
      <c r="L1061" s="11">
        <v>1</v>
      </c>
      <c r="M1061" s="5" t="s">
        <v>173</v>
      </c>
    </row>
    <row r="1062" spans="2:13" ht="21.75" customHeight="1" x14ac:dyDescent="0.35">
      <c r="B1062" s="12">
        <v>53</v>
      </c>
      <c r="C1062" s="7" t="s">
        <v>7707</v>
      </c>
      <c r="D1062" s="12">
        <v>84</v>
      </c>
      <c r="E1062" s="7" t="s">
        <v>7962</v>
      </c>
      <c r="F1062" s="7" t="s">
        <v>7963</v>
      </c>
      <c r="G1062" s="7" t="s">
        <v>7964</v>
      </c>
      <c r="H1062" s="7" t="s">
        <v>37</v>
      </c>
      <c r="I1062" s="7" t="s">
        <v>51</v>
      </c>
      <c r="J1062" s="7" t="s">
        <v>194</v>
      </c>
      <c r="K1062" s="7" t="s">
        <v>5169</v>
      </c>
      <c r="L1062" s="12">
        <v>1</v>
      </c>
      <c r="M1062" s="7" t="s">
        <v>173</v>
      </c>
    </row>
    <row r="1063" spans="2:13" ht="21.75" customHeight="1" x14ac:dyDescent="0.35">
      <c r="B1063" s="11">
        <v>53</v>
      </c>
      <c r="C1063" s="5" t="s">
        <v>7707</v>
      </c>
      <c r="D1063" s="11">
        <v>85</v>
      </c>
      <c r="E1063" s="5" t="s">
        <v>7965</v>
      </c>
      <c r="F1063" s="5" t="s">
        <v>7966</v>
      </c>
      <c r="G1063" s="5" t="s">
        <v>670</v>
      </c>
      <c r="H1063" s="5" t="s">
        <v>37</v>
      </c>
      <c r="I1063" s="5" t="s">
        <v>51</v>
      </c>
      <c r="J1063" s="5" t="s">
        <v>194</v>
      </c>
      <c r="K1063" s="5" t="s">
        <v>5169</v>
      </c>
      <c r="L1063" s="11">
        <v>1</v>
      </c>
      <c r="M1063" s="5" t="s">
        <v>173</v>
      </c>
    </row>
    <row r="1064" spans="2:13" ht="21.75" customHeight="1" x14ac:dyDescent="0.35">
      <c r="B1064" s="12">
        <v>53</v>
      </c>
      <c r="C1064" s="7" t="s">
        <v>7707</v>
      </c>
      <c r="D1064" s="12">
        <v>86</v>
      </c>
      <c r="E1064" s="7" t="s">
        <v>7967</v>
      </c>
      <c r="F1064" s="7" t="s">
        <v>7968</v>
      </c>
      <c r="G1064" s="7" t="s">
        <v>918</v>
      </c>
      <c r="H1064" s="7" t="s">
        <v>37</v>
      </c>
      <c r="I1064" s="7" t="s">
        <v>51</v>
      </c>
      <c r="J1064" s="7" t="s">
        <v>194</v>
      </c>
      <c r="K1064" s="7" t="s">
        <v>5169</v>
      </c>
      <c r="L1064" s="12">
        <v>1</v>
      </c>
      <c r="M1064" s="7" t="s">
        <v>173</v>
      </c>
    </row>
    <row r="1065" spans="2:13" ht="21.75" customHeight="1" x14ac:dyDescent="0.35">
      <c r="B1065" s="11">
        <v>53</v>
      </c>
      <c r="C1065" s="5" t="s">
        <v>7707</v>
      </c>
      <c r="D1065" s="11">
        <v>87</v>
      </c>
      <c r="E1065" s="5" t="s">
        <v>7969</v>
      </c>
      <c r="F1065" s="5" t="s">
        <v>7970</v>
      </c>
      <c r="G1065" s="5" t="s">
        <v>755</v>
      </c>
      <c r="H1065" s="5" t="s">
        <v>37</v>
      </c>
      <c r="I1065" s="5" t="s">
        <v>51</v>
      </c>
      <c r="J1065" s="5" t="s">
        <v>194</v>
      </c>
      <c r="K1065" s="5" t="s">
        <v>5169</v>
      </c>
      <c r="L1065" s="11">
        <v>1</v>
      </c>
      <c r="M1065" s="5" t="s">
        <v>173</v>
      </c>
    </row>
    <row r="1066" spans="2:13" ht="21.75" customHeight="1" x14ac:dyDescent="0.35">
      <c r="B1066" s="12">
        <v>53</v>
      </c>
      <c r="C1066" s="7" t="s">
        <v>7707</v>
      </c>
      <c r="D1066" s="12">
        <v>88</v>
      </c>
      <c r="E1066" s="7" t="s">
        <v>7971</v>
      </c>
      <c r="F1066" s="7" t="s">
        <v>7972</v>
      </c>
      <c r="G1066" s="7" t="s">
        <v>5273</v>
      </c>
      <c r="H1066" s="7" t="s">
        <v>37</v>
      </c>
      <c r="I1066" s="7" t="s">
        <v>51</v>
      </c>
      <c r="J1066" s="7" t="s">
        <v>194</v>
      </c>
      <c r="K1066" s="7" t="s">
        <v>5169</v>
      </c>
      <c r="L1066" s="12">
        <v>1</v>
      </c>
      <c r="M1066" s="7" t="s">
        <v>173</v>
      </c>
    </row>
    <row r="1067" spans="2:13" ht="21.75" customHeight="1" x14ac:dyDescent="0.35">
      <c r="B1067" s="11">
        <v>53</v>
      </c>
      <c r="C1067" s="5" t="s">
        <v>7707</v>
      </c>
      <c r="D1067" s="11">
        <v>89</v>
      </c>
      <c r="E1067" s="5" t="s">
        <v>7973</v>
      </c>
      <c r="F1067" s="5" t="s">
        <v>7974</v>
      </c>
      <c r="G1067" s="5" t="s">
        <v>7975</v>
      </c>
      <c r="H1067" s="5" t="s">
        <v>37</v>
      </c>
      <c r="I1067" s="5" t="s">
        <v>51</v>
      </c>
      <c r="J1067" s="5" t="s">
        <v>194</v>
      </c>
      <c r="K1067" s="5" t="s">
        <v>5169</v>
      </c>
      <c r="L1067" s="11">
        <v>1</v>
      </c>
      <c r="M1067" s="5" t="s">
        <v>173</v>
      </c>
    </row>
    <row r="1068" spans="2:13" ht="21.75" customHeight="1" x14ac:dyDescent="0.35">
      <c r="B1068" s="12">
        <v>53</v>
      </c>
      <c r="C1068" s="7" t="s">
        <v>7707</v>
      </c>
      <c r="D1068" s="12">
        <v>90</v>
      </c>
      <c r="E1068" s="7" t="s">
        <v>7976</v>
      </c>
      <c r="F1068" s="7" t="s">
        <v>7977</v>
      </c>
      <c r="G1068" s="7" t="s">
        <v>635</v>
      </c>
      <c r="H1068" s="7" t="s">
        <v>37</v>
      </c>
      <c r="I1068" s="7" t="s">
        <v>51</v>
      </c>
      <c r="J1068" s="7" t="s">
        <v>194</v>
      </c>
      <c r="K1068" s="7" t="s">
        <v>5169</v>
      </c>
      <c r="L1068" s="12">
        <v>1</v>
      </c>
      <c r="M1068" s="7" t="s">
        <v>173</v>
      </c>
    </row>
    <row r="1069" spans="2:13" ht="37.5" customHeight="1" x14ac:dyDescent="0.35">
      <c r="B1069" s="11">
        <v>53</v>
      </c>
      <c r="C1069" s="5" t="s">
        <v>7707</v>
      </c>
      <c r="D1069" s="11">
        <v>91</v>
      </c>
      <c r="E1069" s="5" t="s">
        <v>7978</v>
      </c>
      <c r="F1069" s="5" t="s">
        <v>7979</v>
      </c>
      <c r="G1069" s="5" t="s">
        <v>736</v>
      </c>
      <c r="H1069" s="5" t="s">
        <v>7411</v>
      </c>
      <c r="I1069" s="5" t="s">
        <v>7980</v>
      </c>
      <c r="J1069" s="5" t="s">
        <v>1107</v>
      </c>
      <c r="K1069" s="5" t="s">
        <v>7981</v>
      </c>
      <c r="L1069" s="11">
        <v>1</v>
      </c>
      <c r="M1069" s="5" t="s">
        <v>173</v>
      </c>
    </row>
    <row r="1070" spans="2:13" ht="37.5" customHeight="1" x14ac:dyDescent="0.35">
      <c r="B1070" s="12">
        <v>53</v>
      </c>
      <c r="C1070" s="7" t="s">
        <v>7707</v>
      </c>
      <c r="D1070" s="12">
        <v>92</v>
      </c>
      <c r="E1070" s="7" t="s">
        <v>7982</v>
      </c>
      <c r="F1070" s="7" t="s">
        <v>7983</v>
      </c>
      <c r="G1070" s="7" t="s">
        <v>742</v>
      </c>
      <c r="H1070" s="7" t="s">
        <v>42</v>
      </c>
      <c r="I1070" s="7" t="s">
        <v>5433</v>
      </c>
      <c r="J1070" s="7" t="s">
        <v>1903</v>
      </c>
      <c r="K1070" s="7" t="s">
        <v>5434</v>
      </c>
      <c r="L1070" s="12">
        <v>1</v>
      </c>
      <c r="M1070" s="7" t="s">
        <v>173</v>
      </c>
    </row>
    <row r="1071" spans="2:13" ht="21.75" customHeight="1" x14ac:dyDescent="0.35">
      <c r="B1071" s="11">
        <v>53</v>
      </c>
      <c r="C1071" s="5" t="s">
        <v>7707</v>
      </c>
      <c r="D1071" s="11">
        <v>93</v>
      </c>
      <c r="E1071" s="5" t="s">
        <v>7984</v>
      </c>
      <c r="F1071" s="5" t="s">
        <v>7985</v>
      </c>
      <c r="G1071" s="5" t="s">
        <v>1667</v>
      </c>
      <c r="H1071" s="5" t="s">
        <v>40</v>
      </c>
      <c r="I1071" s="5" t="s">
        <v>54</v>
      </c>
      <c r="J1071" s="5" t="s">
        <v>213</v>
      </c>
      <c r="K1071" s="5" t="s">
        <v>254</v>
      </c>
      <c r="L1071" s="11">
        <v>1</v>
      </c>
      <c r="M1071" s="5" t="s">
        <v>173</v>
      </c>
    </row>
    <row r="1072" spans="2:13" ht="37.5" customHeight="1" x14ac:dyDescent="0.35">
      <c r="B1072" s="12">
        <v>53</v>
      </c>
      <c r="C1072" s="7" t="s">
        <v>7707</v>
      </c>
      <c r="D1072" s="12">
        <v>94</v>
      </c>
      <c r="E1072" s="7" t="s">
        <v>7986</v>
      </c>
      <c r="F1072" s="7" t="s">
        <v>7987</v>
      </c>
      <c r="G1072" s="7" t="s">
        <v>24</v>
      </c>
      <c r="H1072" s="7" t="s">
        <v>40</v>
      </c>
      <c r="I1072" s="7" t="s">
        <v>54</v>
      </c>
      <c r="J1072" s="7" t="s">
        <v>213</v>
      </c>
      <c r="K1072" s="7" t="s">
        <v>254</v>
      </c>
      <c r="L1072" s="12">
        <v>1</v>
      </c>
      <c r="M1072" s="7" t="s">
        <v>173</v>
      </c>
    </row>
    <row r="1073" spans="2:13" ht="21.75" customHeight="1" x14ac:dyDescent="0.35">
      <c r="B1073" s="11">
        <v>53</v>
      </c>
      <c r="C1073" s="5" t="s">
        <v>7707</v>
      </c>
      <c r="D1073" s="11">
        <v>95</v>
      </c>
      <c r="E1073" s="5" t="s">
        <v>7988</v>
      </c>
      <c r="F1073" s="5" t="s">
        <v>7989</v>
      </c>
      <c r="G1073" s="5" t="s">
        <v>26</v>
      </c>
      <c r="H1073" s="5" t="s">
        <v>40</v>
      </c>
      <c r="I1073" s="5" t="s">
        <v>54</v>
      </c>
      <c r="J1073" s="5" t="s">
        <v>213</v>
      </c>
      <c r="K1073" s="5" t="s">
        <v>254</v>
      </c>
      <c r="L1073" s="11">
        <v>1</v>
      </c>
      <c r="M1073" s="5" t="s">
        <v>173</v>
      </c>
    </row>
    <row r="1074" spans="2:13" ht="21.75" customHeight="1" x14ac:dyDescent="0.35">
      <c r="B1074" s="12">
        <v>53</v>
      </c>
      <c r="C1074" s="7" t="s">
        <v>7707</v>
      </c>
      <c r="D1074" s="12">
        <v>96</v>
      </c>
      <c r="E1074" s="7" t="s">
        <v>7990</v>
      </c>
      <c r="F1074" s="7" t="s">
        <v>7991</v>
      </c>
      <c r="G1074" s="7" t="s">
        <v>727</v>
      </c>
      <c r="H1074" s="7" t="s">
        <v>40</v>
      </c>
      <c r="I1074" s="7" t="s">
        <v>54</v>
      </c>
      <c r="J1074" s="7" t="s">
        <v>213</v>
      </c>
      <c r="K1074" s="7" t="s">
        <v>254</v>
      </c>
      <c r="L1074" s="12">
        <v>1</v>
      </c>
      <c r="M1074" s="7" t="s">
        <v>173</v>
      </c>
    </row>
    <row r="1075" spans="2:13" ht="21.75" customHeight="1" x14ac:dyDescent="0.35">
      <c r="B1075" s="11">
        <v>53</v>
      </c>
      <c r="C1075" s="5" t="s">
        <v>7707</v>
      </c>
      <c r="D1075" s="11">
        <v>97</v>
      </c>
      <c r="E1075" s="5" t="s">
        <v>7992</v>
      </c>
      <c r="F1075" s="5" t="s">
        <v>7993</v>
      </c>
      <c r="G1075" s="5" t="s">
        <v>2529</v>
      </c>
      <c r="H1075" s="5" t="s">
        <v>40</v>
      </c>
      <c r="I1075" s="5" t="s">
        <v>54</v>
      </c>
      <c r="J1075" s="5" t="s">
        <v>213</v>
      </c>
      <c r="K1075" s="5" t="s">
        <v>254</v>
      </c>
      <c r="L1075" s="11">
        <v>1</v>
      </c>
      <c r="M1075" s="5" t="s">
        <v>173</v>
      </c>
    </row>
    <row r="1076" spans="2:13" ht="21.75" customHeight="1" x14ac:dyDescent="0.35">
      <c r="B1076" s="12">
        <v>53</v>
      </c>
      <c r="C1076" s="7" t="s">
        <v>7707</v>
      </c>
      <c r="D1076" s="12">
        <v>98</v>
      </c>
      <c r="E1076" s="7" t="s">
        <v>7994</v>
      </c>
      <c r="F1076" s="7" t="s">
        <v>7995</v>
      </c>
      <c r="G1076" s="7" t="s">
        <v>608</v>
      </c>
      <c r="H1076" s="7" t="s">
        <v>40</v>
      </c>
      <c r="I1076" s="7" t="s">
        <v>54</v>
      </c>
      <c r="J1076" s="7" t="s">
        <v>213</v>
      </c>
      <c r="K1076" s="7" t="s">
        <v>254</v>
      </c>
      <c r="L1076" s="12">
        <v>1</v>
      </c>
      <c r="M1076" s="7" t="s">
        <v>173</v>
      </c>
    </row>
    <row r="1077" spans="2:13" ht="37.5" customHeight="1" x14ac:dyDescent="0.35">
      <c r="B1077" s="11">
        <v>53</v>
      </c>
      <c r="C1077" s="5" t="s">
        <v>7707</v>
      </c>
      <c r="D1077" s="11">
        <v>99</v>
      </c>
      <c r="E1077" s="5" t="s">
        <v>7996</v>
      </c>
      <c r="F1077" s="5" t="s">
        <v>7997</v>
      </c>
      <c r="G1077" s="5" t="s">
        <v>202</v>
      </c>
      <c r="H1077" s="5" t="s">
        <v>238</v>
      </c>
      <c r="I1077" s="5" t="s">
        <v>239</v>
      </c>
      <c r="J1077" s="5" t="s">
        <v>240</v>
      </c>
      <c r="K1077" s="5" t="s">
        <v>241</v>
      </c>
      <c r="L1077" s="11">
        <v>2</v>
      </c>
      <c r="M1077" s="5" t="s">
        <v>173</v>
      </c>
    </row>
    <row r="1078" spans="2:13" ht="37.5" customHeight="1" x14ac:dyDescent="0.35">
      <c r="B1078" s="12">
        <v>53</v>
      </c>
      <c r="C1078" s="7" t="s">
        <v>7707</v>
      </c>
      <c r="D1078" s="12">
        <v>100</v>
      </c>
      <c r="E1078" s="7" t="s">
        <v>7998</v>
      </c>
      <c r="F1078" s="7" t="s">
        <v>7999</v>
      </c>
      <c r="G1078" s="7" t="s">
        <v>766</v>
      </c>
      <c r="H1078" s="7" t="s">
        <v>5017</v>
      </c>
      <c r="I1078" s="7" t="s">
        <v>5018</v>
      </c>
      <c r="J1078" s="7" t="s">
        <v>240</v>
      </c>
      <c r="K1078" s="7" t="s">
        <v>8000</v>
      </c>
      <c r="L1078" s="12">
        <v>2</v>
      </c>
      <c r="M1078" s="7" t="s">
        <v>173</v>
      </c>
    </row>
    <row r="1079" spans="2:13" ht="37.5" customHeight="1" x14ac:dyDescent="0.35">
      <c r="B1079" s="11">
        <v>53</v>
      </c>
      <c r="C1079" s="5" t="s">
        <v>7707</v>
      </c>
      <c r="D1079" s="11">
        <v>101</v>
      </c>
      <c r="E1079" s="5" t="s">
        <v>8001</v>
      </c>
      <c r="F1079" s="5" t="s">
        <v>8002</v>
      </c>
      <c r="G1079" s="5" t="s">
        <v>678</v>
      </c>
      <c r="H1079" s="5" t="s">
        <v>37</v>
      </c>
      <c r="I1079" s="5" t="s">
        <v>51</v>
      </c>
      <c r="J1079" s="5" t="s">
        <v>194</v>
      </c>
      <c r="K1079" s="5" t="s">
        <v>5169</v>
      </c>
      <c r="L1079" s="11">
        <v>1</v>
      </c>
      <c r="M1079" s="5" t="s">
        <v>173</v>
      </c>
    </row>
    <row r="1080" spans="2:13" ht="37.5" customHeight="1" x14ac:dyDescent="0.35">
      <c r="B1080" s="12">
        <v>53</v>
      </c>
      <c r="C1080" s="7" t="s">
        <v>7707</v>
      </c>
      <c r="D1080" s="12">
        <v>102</v>
      </c>
      <c r="E1080" s="7" t="s">
        <v>8003</v>
      </c>
      <c r="F1080" s="7" t="s">
        <v>8004</v>
      </c>
      <c r="G1080" s="7" t="s">
        <v>648</v>
      </c>
      <c r="H1080" s="7" t="s">
        <v>37</v>
      </c>
      <c r="I1080" s="7" t="s">
        <v>51</v>
      </c>
      <c r="J1080" s="7" t="s">
        <v>194</v>
      </c>
      <c r="K1080" s="7" t="s">
        <v>5169</v>
      </c>
      <c r="L1080" s="12">
        <v>1</v>
      </c>
      <c r="M1080" s="7" t="s">
        <v>173</v>
      </c>
    </row>
    <row r="1081" spans="2:13" ht="21.75" customHeight="1" x14ac:dyDescent="0.35">
      <c r="B1081" s="11">
        <v>53</v>
      </c>
      <c r="C1081" s="5" t="s">
        <v>7707</v>
      </c>
      <c r="D1081" s="11">
        <v>103</v>
      </c>
      <c r="E1081" s="5" t="s">
        <v>8005</v>
      </c>
      <c r="F1081" s="5" t="s">
        <v>8006</v>
      </c>
      <c r="G1081" s="5" t="s">
        <v>1661</v>
      </c>
      <c r="H1081" s="5" t="s">
        <v>37</v>
      </c>
      <c r="I1081" s="5" t="s">
        <v>51</v>
      </c>
      <c r="J1081" s="5" t="s">
        <v>194</v>
      </c>
      <c r="K1081" s="5" t="s">
        <v>5169</v>
      </c>
      <c r="L1081" s="11">
        <v>1</v>
      </c>
      <c r="M1081" s="5" t="s">
        <v>173</v>
      </c>
    </row>
    <row r="1082" spans="2:13" ht="21.75" customHeight="1" x14ac:dyDescent="0.35">
      <c r="B1082" s="12">
        <v>53</v>
      </c>
      <c r="C1082" s="7" t="s">
        <v>7707</v>
      </c>
      <c r="D1082" s="12">
        <v>104</v>
      </c>
      <c r="E1082" s="7" t="s">
        <v>8007</v>
      </c>
      <c r="F1082" s="7" t="s">
        <v>8008</v>
      </c>
      <c r="G1082" s="7" t="s">
        <v>3135</v>
      </c>
      <c r="H1082" s="7" t="s">
        <v>37</v>
      </c>
      <c r="I1082" s="7" t="s">
        <v>51</v>
      </c>
      <c r="J1082" s="7" t="s">
        <v>194</v>
      </c>
      <c r="K1082" s="7" t="s">
        <v>5169</v>
      </c>
      <c r="L1082" s="12">
        <v>1</v>
      </c>
      <c r="M1082" s="7" t="s">
        <v>173</v>
      </c>
    </row>
    <row r="1083" spans="2:13" ht="37.5" customHeight="1" x14ac:dyDescent="0.35">
      <c r="B1083" s="11">
        <v>53</v>
      </c>
      <c r="C1083" s="5" t="s">
        <v>7707</v>
      </c>
      <c r="D1083" s="11">
        <v>105</v>
      </c>
      <c r="E1083" s="5" t="s">
        <v>8009</v>
      </c>
      <c r="F1083" s="5" t="s">
        <v>8010</v>
      </c>
      <c r="G1083" s="5" t="s">
        <v>541</v>
      </c>
      <c r="H1083" s="5" t="s">
        <v>8011</v>
      </c>
      <c r="I1083" s="5" t="s">
        <v>7875</v>
      </c>
      <c r="J1083" s="5" t="s">
        <v>194</v>
      </c>
      <c r="K1083" s="5" t="s">
        <v>8012</v>
      </c>
      <c r="L1083" s="11">
        <v>1</v>
      </c>
      <c r="M1083" s="5" t="s">
        <v>173</v>
      </c>
    </row>
    <row r="1084" spans="2:13" ht="37.5" customHeight="1" x14ac:dyDescent="0.35">
      <c r="B1084" s="12">
        <v>53</v>
      </c>
      <c r="C1084" s="7" t="s">
        <v>7707</v>
      </c>
      <c r="D1084" s="12">
        <v>106</v>
      </c>
      <c r="E1084" s="7" t="s">
        <v>8013</v>
      </c>
      <c r="F1084" s="7" t="s">
        <v>8014</v>
      </c>
      <c r="G1084" s="7" t="s">
        <v>1593</v>
      </c>
      <c r="H1084" s="7" t="s">
        <v>40</v>
      </c>
      <c r="I1084" s="7" t="s">
        <v>54</v>
      </c>
      <c r="J1084" s="7" t="s">
        <v>213</v>
      </c>
      <c r="K1084" s="7" t="s">
        <v>254</v>
      </c>
      <c r="L1084" s="12">
        <v>1</v>
      </c>
      <c r="M1084" s="7" t="s">
        <v>173</v>
      </c>
    </row>
    <row r="1085" spans="2:13" ht="21.75" customHeight="1" x14ac:dyDescent="0.35">
      <c r="B1085" s="11">
        <v>53</v>
      </c>
      <c r="C1085" s="5" t="s">
        <v>7707</v>
      </c>
      <c r="D1085" s="11">
        <v>107</v>
      </c>
      <c r="E1085" s="5" t="s">
        <v>8015</v>
      </c>
      <c r="F1085" s="5" t="s">
        <v>8016</v>
      </c>
      <c r="G1085" s="5" t="s">
        <v>800</v>
      </c>
      <c r="H1085" s="5" t="s">
        <v>40</v>
      </c>
      <c r="I1085" s="5" t="s">
        <v>54</v>
      </c>
      <c r="J1085" s="5" t="s">
        <v>213</v>
      </c>
      <c r="K1085" s="5" t="s">
        <v>254</v>
      </c>
      <c r="L1085" s="11">
        <v>1</v>
      </c>
      <c r="M1085" s="5" t="s">
        <v>173</v>
      </c>
    </row>
    <row r="1086" spans="2:13" ht="52.5" customHeight="1" x14ac:dyDescent="0.35">
      <c r="B1086" s="12">
        <v>53</v>
      </c>
      <c r="C1086" s="7" t="s">
        <v>7707</v>
      </c>
      <c r="D1086" s="12">
        <v>108</v>
      </c>
      <c r="E1086" s="7" t="s">
        <v>8017</v>
      </c>
      <c r="F1086" s="7" t="s">
        <v>8018</v>
      </c>
      <c r="G1086" s="7" t="s">
        <v>8019</v>
      </c>
      <c r="H1086" s="7" t="s">
        <v>37</v>
      </c>
      <c r="I1086" s="7" t="s">
        <v>8020</v>
      </c>
      <c r="J1086" s="7" t="s">
        <v>194</v>
      </c>
      <c r="K1086" s="7" t="s">
        <v>8021</v>
      </c>
      <c r="L1086" s="12">
        <v>1</v>
      </c>
      <c r="M1086" s="7" t="s">
        <v>173</v>
      </c>
    </row>
    <row r="1087" spans="2:13" ht="37.5" customHeight="1" x14ac:dyDescent="0.35">
      <c r="B1087" s="11">
        <v>53</v>
      </c>
      <c r="C1087" s="5" t="s">
        <v>7707</v>
      </c>
      <c r="D1087" s="11">
        <v>110</v>
      </c>
      <c r="E1087" s="5" t="s">
        <v>8022</v>
      </c>
      <c r="F1087" s="5" t="s">
        <v>8023</v>
      </c>
      <c r="G1087" s="5" t="s">
        <v>573</v>
      </c>
      <c r="H1087" s="5" t="s">
        <v>238</v>
      </c>
      <c r="I1087" s="5" t="s">
        <v>239</v>
      </c>
      <c r="J1087" s="5" t="s">
        <v>240</v>
      </c>
      <c r="K1087" s="5" t="s">
        <v>241</v>
      </c>
      <c r="L1087" s="11">
        <v>2</v>
      </c>
      <c r="M1087" s="5" t="s">
        <v>173</v>
      </c>
    </row>
    <row r="1088" spans="2:13" ht="21.75" customHeight="1" x14ac:dyDescent="0.35">
      <c r="B1088" s="12">
        <v>53</v>
      </c>
      <c r="C1088" s="7" t="s">
        <v>7707</v>
      </c>
      <c r="D1088" s="12">
        <v>111</v>
      </c>
      <c r="E1088" s="7" t="s">
        <v>8024</v>
      </c>
      <c r="F1088" s="7" t="s">
        <v>8025</v>
      </c>
      <c r="G1088" s="7" t="s">
        <v>7217</v>
      </c>
      <c r="H1088" s="7" t="s">
        <v>37</v>
      </c>
      <c r="I1088" s="7" t="s">
        <v>51</v>
      </c>
      <c r="J1088" s="7" t="s">
        <v>194</v>
      </c>
      <c r="K1088" s="7" t="s">
        <v>5169</v>
      </c>
      <c r="L1088" s="12">
        <v>1</v>
      </c>
      <c r="M1088" s="7" t="s">
        <v>173</v>
      </c>
    </row>
    <row r="1089" spans="2:13" ht="52.5" customHeight="1" x14ac:dyDescent="0.35">
      <c r="B1089" s="11">
        <v>53</v>
      </c>
      <c r="C1089" s="5" t="s">
        <v>7707</v>
      </c>
      <c r="D1089" s="11">
        <v>112</v>
      </c>
      <c r="E1089" s="5" t="s">
        <v>8026</v>
      </c>
      <c r="F1089" s="5" t="s">
        <v>8027</v>
      </c>
      <c r="G1089" s="5" t="s">
        <v>8028</v>
      </c>
      <c r="H1089" s="5" t="s">
        <v>5123</v>
      </c>
      <c r="I1089" s="5" t="s">
        <v>8029</v>
      </c>
      <c r="J1089" s="5" t="s">
        <v>8030</v>
      </c>
      <c r="K1089" s="5" t="s">
        <v>8031</v>
      </c>
      <c r="L1089" s="11">
        <v>2</v>
      </c>
      <c r="M1089" s="5" t="s">
        <v>173</v>
      </c>
    </row>
    <row r="1090" spans="2:13" ht="21.75" customHeight="1" x14ac:dyDescent="0.35">
      <c r="B1090" s="12">
        <v>53</v>
      </c>
      <c r="C1090" s="7" t="s">
        <v>7707</v>
      </c>
      <c r="D1090" s="12">
        <v>113</v>
      </c>
      <c r="E1090" s="7" t="s">
        <v>8032</v>
      </c>
      <c r="F1090" s="7" t="s">
        <v>8033</v>
      </c>
      <c r="G1090" s="7" t="s">
        <v>7519</v>
      </c>
      <c r="H1090" s="7" t="s">
        <v>37</v>
      </c>
      <c r="I1090" s="7" t="s">
        <v>51</v>
      </c>
      <c r="J1090" s="7" t="s">
        <v>194</v>
      </c>
      <c r="K1090" s="7" t="s">
        <v>5169</v>
      </c>
      <c r="L1090" s="12">
        <v>1</v>
      </c>
      <c r="M1090" s="7" t="s">
        <v>173</v>
      </c>
    </row>
    <row r="1091" spans="2:13" ht="37.5" customHeight="1" x14ac:dyDescent="0.35">
      <c r="B1091" s="11">
        <v>53</v>
      </c>
      <c r="C1091" s="5" t="s">
        <v>7707</v>
      </c>
      <c r="D1091" s="11">
        <v>114</v>
      </c>
      <c r="E1091" s="5" t="s">
        <v>8034</v>
      </c>
      <c r="F1091" s="5" t="s">
        <v>8035</v>
      </c>
      <c r="G1091" s="5" t="s">
        <v>8036</v>
      </c>
      <c r="H1091" s="5" t="s">
        <v>218</v>
      </c>
      <c r="I1091" s="5" t="s">
        <v>5036</v>
      </c>
      <c r="J1091" s="5" t="s">
        <v>220</v>
      </c>
      <c r="K1091" s="5" t="s">
        <v>7688</v>
      </c>
      <c r="L1091" s="11">
        <v>2</v>
      </c>
      <c r="M1091" s="5" t="s">
        <v>173</v>
      </c>
    </row>
    <row r="1092" spans="2:13" ht="37.5" customHeight="1" x14ac:dyDescent="0.35">
      <c r="B1092" s="12">
        <v>53</v>
      </c>
      <c r="C1092" s="7" t="s">
        <v>7707</v>
      </c>
      <c r="D1092" s="12">
        <v>115</v>
      </c>
      <c r="E1092" s="7" t="s">
        <v>8037</v>
      </c>
      <c r="F1092" s="7" t="s">
        <v>8038</v>
      </c>
      <c r="G1092" s="7" t="s">
        <v>1787</v>
      </c>
      <c r="H1092" s="7" t="s">
        <v>8039</v>
      </c>
      <c r="I1092" s="7" t="s">
        <v>5276</v>
      </c>
      <c r="J1092" s="7" t="s">
        <v>213</v>
      </c>
      <c r="K1092" s="7" t="s">
        <v>8040</v>
      </c>
      <c r="L1092" s="12">
        <v>2</v>
      </c>
      <c r="M1092" s="7" t="s">
        <v>173</v>
      </c>
    </row>
    <row r="1093" spans="2:13" ht="37.5" customHeight="1" x14ac:dyDescent="0.35">
      <c r="B1093" s="11">
        <v>53</v>
      </c>
      <c r="C1093" s="5" t="s">
        <v>7707</v>
      </c>
      <c r="D1093" s="11">
        <v>116</v>
      </c>
      <c r="E1093" s="5" t="s">
        <v>8041</v>
      </c>
      <c r="F1093" s="5" t="s">
        <v>8042</v>
      </c>
      <c r="G1093" s="5" t="s">
        <v>4634</v>
      </c>
      <c r="H1093" s="5" t="s">
        <v>42</v>
      </c>
      <c r="I1093" s="5" t="s">
        <v>8043</v>
      </c>
      <c r="J1093" s="5" t="s">
        <v>8044</v>
      </c>
      <c r="K1093" s="5" t="s">
        <v>8045</v>
      </c>
      <c r="L1093" s="11">
        <v>1</v>
      </c>
      <c r="M1093" s="5" t="s">
        <v>173</v>
      </c>
    </row>
    <row r="1094" spans="2:13" ht="37.5" customHeight="1" x14ac:dyDescent="0.35">
      <c r="B1094" s="12">
        <v>53</v>
      </c>
      <c r="C1094" s="7" t="s">
        <v>7707</v>
      </c>
      <c r="D1094" s="12">
        <v>117</v>
      </c>
      <c r="E1094" s="7" t="s">
        <v>8046</v>
      </c>
      <c r="F1094" s="7" t="s">
        <v>8047</v>
      </c>
      <c r="G1094" s="7" t="s">
        <v>927</v>
      </c>
      <c r="H1094" s="7" t="s">
        <v>42</v>
      </c>
      <c r="I1094" s="7" t="s">
        <v>4657</v>
      </c>
      <c r="J1094" s="7" t="s">
        <v>258</v>
      </c>
      <c r="K1094" s="7" t="s">
        <v>8048</v>
      </c>
      <c r="L1094" s="12">
        <v>1</v>
      </c>
      <c r="M1094" s="7" t="s">
        <v>173</v>
      </c>
    </row>
    <row r="1095" spans="2:13" ht="37.5" customHeight="1" x14ac:dyDescent="0.35">
      <c r="B1095" s="11">
        <v>53</v>
      </c>
      <c r="C1095" s="5" t="s">
        <v>7707</v>
      </c>
      <c r="D1095" s="11">
        <v>118</v>
      </c>
      <c r="E1095" s="5" t="s">
        <v>8049</v>
      </c>
      <c r="F1095" s="5" t="s">
        <v>8050</v>
      </c>
      <c r="G1095" s="5" t="s">
        <v>959</v>
      </c>
      <c r="H1095" s="5" t="s">
        <v>37</v>
      </c>
      <c r="I1095" s="5" t="s">
        <v>51</v>
      </c>
      <c r="J1095" s="5" t="s">
        <v>194</v>
      </c>
      <c r="K1095" s="5" t="s">
        <v>5169</v>
      </c>
      <c r="L1095" s="11">
        <v>1</v>
      </c>
      <c r="M1095" s="5" t="s">
        <v>173</v>
      </c>
    </row>
    <row r="1096" spans="2:13" ht="21.75" customHeight="1" x14ac:dyDescent="0.35">
      <c r="B1096" s="12">
        <v>53</v>
      </c>
      <c r="C1096" s="7" t="s">
        <v>7707</v>
      </c>
      <c r="D1096" s="12">
        <v>119</v>
      </c>
      <c r="E1096" s="7" t="s">
        <v>8051</v>
      </c>
      <c r="F1096" s="7" t="s">
        <v>8052</v>
      </c>
      <c r="G1096" s="7" t="s">
        <v>862</v>
      </c>
      <c r="H1096" s="7" t="s">
        <v>40</v>
      </c>
      <c r="I1096" s="7" t="s">
        <v>54</v>
      </c>
      <c r="J1096" s="7" t="s">
        <v>213</v>
      </c>
      <c r="K1096" s="7" t="s">
        <v>254</v>
      </c>
      <c r="L1096" s="12">
        <v>1</v>
      </c>
      <c r="M1096" s="7" t="s">
        <v>173</v>
      </c>
    </row>
    <row r="1097" spans="2:13" ht="37.5" customHeight="1" x14ac:dyDescent="0.35">
      <c r="B1097" s="11">
        <v>53</v>
      </c>
      <c r="C1097" s="5" t="s">
        <v>7707</v>
      </c>
      <c r="D1097" s="11">
        <v>120</v>
      </c>
      <c r="E1097" s="5" t="s">
        <v>8053</v>
      </c>
      <c r="F1097" s="5" t="s">
        <v>8054</v>
      </c>
      <c r="G1097" s="5" t="s">
        <v>7268</v>
      </c>
      <c r="H1097" s="5" t="s">
        <v>238</v>
      </c>
      <c r="I1097" s="5" t="s">
        <v>239</v>
      </c>
      <c r="J1097" s="5" t="s">
        <v>240</v>
      </c>
      <c r="K1097" s="5" t="s">
        <v>241</v>
      </c>
      <c r="L1097" s="11">
        <v>2</v>
      </c>
      <c r="M1097" s="5" t="s">
        <v>173</v>
      </c>
    </row>
    <row r="1098" spans="2:13" ht="37.5" customHeight="1" x14ac:dyDescent="0.35">
      <c r="B1098" s="12">
        <v>53</v>
      </c>
      <c r="C1098" s="7" t="s">
        <v>7707</v>
      </c>
      <c r="D1098" s="12">
        <v>121</v>
      </c>
      <c r="E1098" s="7" t="s">
        <v>8055</v>
      </c>
      <c r="F1098" s="7" t="s">
        <v>8056</v>
      </c>
      <c r="G1098" s="7" t="s">
        <v>6090</v>
      </c>
      <c r="H1098" s="7" t="s">
        <v>40</v>
      </c>
      <c r="I1098" s="7" t="s">
        <v>54</v>
      </c>
      <c r="J1098" s="7" t="s">
        <v>213</v>
      </c>
      <c r="K1098" s="7" t="s">
        <v>254</v>
      </c>
      <c r="L1098" s="12">
        <v>1</v>
      </c>
      <c r="M1098" s="7" t="s">
        <v>173</v>
      </c>
    </row>
    <row r="1099" spans="2:13" ht="21.75" customHeight="1" x14ac:dyDescent="0.35">
      <c r="B1099" s="11">
        <v>53</v>
      </c>
      <c r="C1099" s="5" t="s">
        <v>7707</v>
      </c>
      <c r="D1099" s="11">
        <v>122</v>
      </c>
      <c r="E1099" s="5" t="s">
        <v>8057</v>
      </c>
      <c r="F1099" s="5" t="s">
        <v>8058</v>
      </c>
      <c r="G1099" s="5" t="s">
        <v>3190</v>
      </c>
      <c r="H1099" s="5" t="s">
        <v>40</v>
      </c>
      <c r="I1099" s="5" t="s">
        <v>54</v>
      </c>
      <c r="J1099" s="5" t="s">
        <v>213</v>
      </c>
      <c r="K1099" s="5" t="s">
        <v>254</v>
      </c>
      <c r="L1099" s="11">
        <v>1</v>
      </c>
      <c r="M1099" s="5" t="s">
        <v>173</v>
      </c>
    </row>
    <row r="1100" spans="2:13" ht="37.5" customHeight="1" x14ac:dyDescent="0.35">
      <c r="B1100" s="12">
        <v>53</v>
      </c>
      <c r="C1100" s="7" t="s">
        <v>7707</v>
      </c>
      <c r="D1100" s="12">
        <v>123</v>
      </c>
      <c r="E1100" s="7" t="s">
        <v>8059</v>
      </c>
      <c r="F1100" s="7" t="s">
        <v>8060</v>
      </c>
      <c r="G1100" s="7" t="s">
        <v>6244</v>
      </c>
      <c r="H1100" s="7" t="s">
        <v>38</v>
      </c>
      <c r="I1100" s="7" t="s">
        <v>49</v>
      </c>
      <c r="J1100" s="7" t="s">
        <v>213</v>
      </c>
      <c r="K1100" s="7" t="s">
        <v>6311</v>
      </c>
      <c r="L1100" s="12">
        <v>1</v>
      </c>
      <c r="M1100" s="7" t="s">
        <v>173</v>
      </c>
    </row>
    <row r="1101" spans="2:13" ht="21.75" customHeight="1" x14ac:dyDescent="0.35">
      <c r="B1101" s="11">
        <v>53</v>
      </c>
      <c r="C1101" s="5" t="s">
        <v>7707</v>
      </c>
      <c r="D1101" s="11">
        <v>124</v>
      </c>
      <c r="E1101" s="5" t="s">
        <v>8061</v>
      </c>
      <c r="F1101" s="5" t="s">
        <v>8062</v>
      </c>
      <c r="G1101" s="5" t="s">
        <v>198</v>
      </c>
      <c r="H1101" s="5" t="s">
        <v>40</v>
      </c>
      <c r="I1101" s="5" t="s">
        <v>54</v>
      </c>
      <c r="J1101" s="5" t="s">
        <v>213</v>
      </c>
      <c r="K1101" s="5" t="s">
        <v>254</v>
      </c>
      <c r="L1101" s="11">
        <v>1</v>
      </c>
      <c r="M1101" s="5" t="s">
        <v>173</v>
      </c>
    </row>
    <row r="1102" spans="2:13" ht="21.75" customHeight="1" x14ac:dyDescent="0.35">
      <c r="B1102" s="12">
        <v>53</v>
      </c>
      <c r="C1102" s="7" t="s">
        <v>7707</v>
      </c>
      <c r="D1102" s="12">
        <v>125</v>
      </c>
      <c r="E1102" s="7" t="s">
        <v>8063</v>
      </c>
      <c r="F1102" s="7" t="s">
        <v>8064</v>
      </c>
      <c r="G1102" s="7" t="s">
        <v>4260</v>
      </c>
      <c r="H1102" s="7" t="s">
        <v>40</v>
      </c>
      <c r="I1102" s="7" t="s">
        <v>54</v>
      </c>
      <c r="J1102" s="7" t="s">
        <v>213</v>
      </c>
      <c r="K1102" s="7" t="s">
        <v>254</v>
      </c>
      <c r="L1102" s="12">
        <v>1</v>
      </c>
      <c r="M1102" s="7" t="s">
        <v>173</v>
      </c>
    </row>
    <row r="1103" spans="2:13" ht="21.75" customHeight="1" x14ac:dyDescent="0.35">
      <c r="B1103" s="11">
        <v>53</v>
      </c>
      <c r="C1103" s="5" t="s">
        <v>7707</v>
      </c>
      <c r="D1103" s="11">
        <v>126</v>
      </c>
      <c r="E1103" s="5" t="s">
        <v>8065</v>
      </c>
      <c r="F1103" s="5" t="s">
        <v>8066</v>
      </c>
      <c r="G1103" s="5" t="s">
        <v>845</v>
      </c>
      <c r="H1103" s="5" t="s">
        <v>37</v>
      </c>
      <c r="I1103" s="5" t="s">
        <v>51</v>
      </c>
      <c r="J1103" s="5" t="s">
        <v>194</v>
      </c>
      <c r="K1103" s="5" t="s">
        <v>5169</v>
      </c>
      <c r="L1103" s="11">
        <v>1</v>
      </c>
      <c r="M1103" s="5" t="s">
        <v>173</v>
      </c>
    </row>
    <row r="1104" spans="2:13" ht="37.5" customHeight="1" x14ac:dyDescent="0.35">
      <c r="B1104" s="12">
        <v>53</v>
      </c>
      <c r="C1104" s="7" t="s">
        <v>7707</v>
      </c>
      <c r="D1104" s="12">
        <v>127</v>
      </c>
      <c r="E1104" s="7" t="s">
        <v>8067</v>
      </c>
      <c r="F1104" s="7" t="s">
        <v>8068</v>
      </c>
      <c r="G1104" s="7" t="s">
        <v>908</v>
      </c>
      <c r="H1104" s="7" t="s">
        <v>218</v>
      </c>
      <c r="I1104" s="7" t="s">
        <v>5036</v>
      </c>
      <c r="J1104" s="7" t="s">
        <v>220</v>
      </c>
      <c r="K1104" s="7" t="s">
        <v>7688</v>
      </c>
      <c r="L1104" s="12">
        <v>2</v>
      </c>
      <c r="M1104" s="7" t="s">
        <v>173</v>
      </c>
    </row>
    <row r="1105" spans="2:13" ht="21.75" customHeight="1" x14ac:dyDescent="0.35">
      <c r="B1105" s="11">
        <v>53</v>
      </c>
      <c r="C1105" s="5" t="s">
        <v>7707</v>
      </c>
      <c r="D1105" s="11">
        <v>128</v>
      </c>
      <c r="E1105" s="5" t="s">
        <v>8069</v>
      </c>
      <c r="F1105" s="5" t="s">
        <v>8070</v>
      </c>
      <c r="G1105" s="5" t="s">
        <v>856</v>
      </c>
      <c r="H1105" s="5" t="s">
        <v>37</v>
      </c>
      <c r="I1105" s="5" t="s">
        <v>51</v>
      </c>
      <c r="J1105" s="5" t="s">
        <v>194</v>
      </c>
      <c r="K1105" s="5" t="s">
        <v>5169</v>
      </c>
      <c r="L1105" s="11">
        <v>1</v>
      </c>
      <c r="M1105" s="5" t="s">
        <v>173</v>
      </c>
    </row>
    <row r="1106" spans="2:13" ht="37.5" customHeight="1" x14ac:dyDescent="0.35">
      <c r="B1106" s="12">
        <v>53</v>
      </c>
      <c r="C1106" s="7" t="s">
        <v>7707</v>
      </c>
      <c r="D1106" s="12">
        <v>129</v>
      </c>
      <c r="E1106" s="7" t="s">
        <v>8071</v>
      </c>
      <c r="F1106" s="7" t="s">
        <v>8072</v>
      </c>
      <c r="G1106" s="7" t="s">
        <v>837</v>
      </c>
      <c r="H1106" s="7" t="s">
        <v>40</v>
      </c>
      <c r="I1106" s="7" t="s">
        <v>54</v>
      </c>
      <c r="J1106" s="7" t="s">
        <v>213</v>
      </c>
      <c r="K1106" s="7" t="s">
        <v>254</v>
      </c>
      <c r="L1106" s="12">
        <v>1</v>
      </c>
      <c r="M1106" s="7" t="s">
        <v>173</v>
      </c>
    </row>
    <row r="1107" spans="2:13" ht="37.5" customHeight="1" x14ac:dyDescent="0.35">
      <c r="B1107" s="11">
        <v>53</v>
      </c>
      <c r="C1107" s="5" t="s">
        <v>7707</v>
      </c>
      <c r="D1107" s="11">
        <v>130</v>
      </c>
      <c r="E1107" s="5" t="s">
        <v>8073</v>
      </c>
      <c r="F1107" s="5" t="s">
        <v>8074</v>
      </c>
      <c r="G1107" s="5" t="s">
        <v>8075</v>
      </c>
      <c r="H1107" s="5" t="s">
        <v>37</v>
      </c>
      <c r="I1107" s="5" t="s">
        <v>51</v>
      </c>
      <c r="J1107" s="5" t="s">
        <v>194</v>
      </c>
      <c r="K1107" s="5" t="s">
        <v>5169</v>
      </c>
      <c r="L1107" s="11">
        <v>1</v>
      </c>
      <c r="M1107" s="5" t="s">
        <v>173</v>
      </c>
    </row>
    <row r="1108" spans="2:13" ht="21.75" customHeight="1" x14ac:dyDescent="0.35">
      <c r="B1108" s="12">
        <v>53</v>
      </c>
      <c r="C1108" s="7" t="s">
        <v>7707</v>
      </c>
      <c r="D1108" s="12">
        <v>131</v>
      </c>
      <c r="E1108" s="7" t="s">
        <v>8076</v>
      </c>
      <c r="F1108" s="7" t="s">
        <v>8077</v>
      </c>
      <c r="G1108" s="7" t="s">
        <v>785</v>
      </c>
      <c r="H1108" s="7" t="s">
        <v>37</v>
      </c>
      <c r="I1108" s="7" t="s">
        <v>51</v>
      </c>
      <c r="J1108" s="7" t="s">
        <v>194</v>
      </c>
      <c r="K1108" s="7" t="s">
        <v>5169</v>
      </c>
      <c r="L1108" s="12">
        <v>1</v>
      </c>
      <c r="M1108" s="7" t="s">
        <v>173</v>
      </c>
    </row>
    <row r="1109" spans="2:13" ht="37.5" customHeight="1" x14ac:dyDescent="0.35">
      <c r="B1109" s="11">
        <v>53</v>
      </c>
      <c r="C1109" s="5" t="s">
        <v>7707</v>
      </c>
      <c r="D1109" s="11">
        <v>132</v>
      </c>
      <c r="E1109" s="5" t="s">
        <v>8078</v>
      </c>
      <c r="F1109" s="5" t="s">
        <v>8079</v>
      </c>
      <c r="G1109" s="5" t="s">
        <v>842</v>
      </c>
      <c r="H1109" s="5" t="s">
        <v>218</v>
      </c>
      <c r="I1109" s="5" t="s">
        <v>5036</v>
      </c>
      <c r="J1109" s="5" t="s">
        <v>220</v>
      </c>
      <c r="K1109" s="5" t="s">
        <v>7688</v>
      </c>
      <c r="L1109" s="11">
        <v>2</v>
      </c>
      <c r="M1109" s="5" t="s">
        <v>173</v>
      </c>
    </row>
    <row r="1110" spans="2:13" ht="21.75" customHeight="1" x14ac:dyDescent="0.35">
      <c r="B1110" s="12">
        <v>53</v>
      </c>
      <c r="C1110" s="7" t="s">
        <v>7707</v>
      </c>
      <c r="D1110" s="12">
        <v>133</v>
      </c>
      <c r="E1110" s="7" t="s">
        <v>8080</v>
      </c>
      <c r="F1110" s="7" t="s">
        <v>8081</v>
      </c>
      <c r="G1110" s="7" t="s">
        <v>1790</v>
      </c>
      <c r="H1110" s="7" t="s">
        <v>37</v>
      </c>
      <c r="I1110" s="7" t="s">
        <v>51</v>
      </c>
      <c r="J1110" s="7" t="s">
        <v>194</v>
      </c>
      <c r="K1110" s="7" t="s">
        <v>5169</v>
      </c>
      <c r="L1110" s="12">
        <v>1</v>
      </c>
      <c r="M1110" s="7" t="s">
        <v>173</v>
      </c>
    </row>
    <row r="1111" spans="2:13" ht="21.75" customHeight="1" x14ac:dyDescent="0.35">
      <c r="B1111" s="11">
        <v>53</v>
      </c>
      <c r="C1111" s="5" t="s">
        <v>7707</v>
      </c>
      <c r="D1111" s="11">
        <v>134</v>
      </c>
      <c r="E1111" s="5" t="s">
        <v>8082</v>
      </c>
      <c r="F1111" s="5" t="s">
        <v>8083</v>
      </c>
      <c r="G1111" s="5" t="s">
        <v>6230</v>
      </c>
      <c r="H1111" s="5" t="s">
        <v>37</v>
      </c>
      <c r="I1111" s="5" t="s">
        <v>51</v>
      </c>
      <c r="J1111" s="5" t="s">
        <v>194</v>
      </c>
      <c r="K1111" s="5" t="s">
        <v>5169</v>
      </c>
      <c r="L1111" s="11">
        <v>1</v>
      </c>
      <c r="M1111" s="5" t="s">
        <v>173</v>
      </c>
    </row>
    <row r="1112" spans="2:13" ht="37.5" customHeight="1" x14ac:dyDescent="0.35">
      <c r="B1112" s="12">
        <v>53</v>
      </c>
      <c r="C1112" s="7" t="s">
        <v>7707</v>
      </c>
      <c r="D1112" s="12">
        <v>135</v>
      </c>
      <c r="E1112" s="7" t="s">
        <v>8084</v>
      </c>
      <c r="F1112" s="7" t="s">
        <v>8085</v>
      </c>
      <c r="G1112" s="7" t="s">
        <v>6222</v>
      </c>
      <c r="H1112" s="7" t="s">
        <v>37</v>
      </c>
      <c r="I1112" s="7" t="s">
        <v>51</v>
      </c>
      <c r="J1112" s="7" t="s">
        <v>194</v>
      </c>
      <c r="K1112" s="7" t="s">
        <v>5169</v>
      </c>
      <c r="L1112" s="12">
        <v>1</v>
      </c>
      <c r="M1112" s="7" t="s">
        <v>173</v>
      </c>
    </row>
    <row r="1113" spans="2:13" ht="37.5" customHeight="1" x14ac:dyDescent="0.35">
      <c r="B1113" s="11">
        <v>53</v>
      </c>
      <c r="C1113" s="5" t="s">
        <v>7707</v>
      </c>
      <c r="D1113" s="11">
        <v>136</v>
      </c>
      <c r="E1113" s="5" t="s">
        <v>8086</v>
      </c>
      <c r="F1113" s="5" t="s">
        <v>8087</v>
      </c>
      <c r="G1113" s="5" t="s">
        <v>185</v>
      </c>
      <c r="H1113" s="5" t="s">
        <v>218</v>
      </c>
      <c r="I1113" s="5" t="s">
        <v>5036</v>
      </c>
      <c r="J1113" s="5" t="s">
        <v>220</v>
      </c>
      <c r="K1113" s="5" t="s">
        <v>7688</v>
      </c>
      <c r="L1113" s="11">
        <v>2</v>
      </c>
      <c r="M1113" s="5" t="s">
        <v>173</v>
      </c>
    </row>
    <row r="1114" spans="2:13" ht="21.75" customHeight="1" x14ac:dyDescent="0.35">
      <c r="B1114" s="12">
        <v>53</v>
      </c>
      <c r="C1114" s="7" t="s">
        <v>7707</v>
      </c>
      <c r="D1114" s="12">
        <v>137</v>
      </c>
      <c r="E1114" s="7" t="s">
        <v>8088</v>
      </c>
      <c r="F1114" s="7" t="s">
        <v>8089</v>
      </c>
      <c r="G1114" s="7" t="s">
        <v>1290</v>
      </c>
      <c r="H1114" s="7" t="s">
        <v>40</v>
      </c>
      <c r="I1114" s="7" t="s">
        <v>54</v>
      </c>
      <c r="J1114" s="7" t="s">
        <v>213</v>
      </c>
      <c r="K1114" s="7" t="s">
        <v>254</v>
      </c>
      <c r="L1114" s="12">
        <v>1</v>
      </c>
      <c r="M1114" s="7" t="s">
        <v>173</v>
      </c>
    </row>
    <row r="1115" spans="2:13" ht="37.5" customHeight="1" x14ac:dyDescent="0.35">
      <c r="B1115" s="11">
        <v>53</v>
      </c>
      <c r="C1115" s="5" t="s">
        <v>7707</v>
      </c>
      <c r="D1115" s="11">
        <v>138</v>
      </c>
      <c r="E1115" s="5" t="s">
        <v>8090</v>
      </c>
      <c r="F1115" s="5" t="s">
        <v>8091</v>
      </c>
      <c r="G1115" s="5" t="s">
        <v>848</v>
      </c>
      <c r="H1115" s="5" t="s">
        <v>37</v>
      </c>
      <c r="I1115" s="5" t="s">
        <v>51</v>
      </c>
      <c r="J1115" s="5" t="s">
        <v>194</v>
      </c>
      <c r="K1115" s="5" t="s">
        <v>5169</v>
      </c>
      <c r="L1115" s="11">
        <v>1</v>
      </c>
      <c r="M1115" s="5" t="s">
        <v>173</v>
      </c>
    </row>
    <row r="1116" spans="2:13" ht="21.75" customHeight="1" x14ac:dyDescent="0.35">
      <c r="B1116" s="12">
        <v>53</v>
      </c>
      <c r="C1116" s="7" t="s">
        <v>7707</v>
      </c>
      <c r="D1116" s="12">
        <v>139</v>
      </c>
      <c r="E1116" s="7" t="s">
        <v>8092</v>
      </c>
      <c r="F1116" s="7" t="s">
        <v>8093</v>
      </c>
      <c r="G1116" s="7" t="s">
        <v>3185</v>
      </c>
      <c r="H1116" s="7" t="s">
        <v>4676</v>
      </c>
      <c r="I1116" s="7" t="s">
        <v>49</v>
      </c>
      <c r="J1116" s="7" t="s">
        <v>213</v>
      </c>
      <c r="K1116" s="7" t="s">
        <v>7362</v>
      </c>
      <c r="L1116" s="12">
        <v>1</v>
      </c>
      <c r="M1116" s="7" t="s">
        <v>173</v>
      </c>
    </row>
    <row r="1117" spans="2:13" ht="37.5" customHeight="1" x14ac:dyDescent="0.35">
      <c r="B1117" s="11">
        <v>53</v>
      </c>
      <c r="C1117" s="5" t="s">
        <v>7707</v>
      </c>
      <c r="D1117" s="11">
        <v>140</v>
      </c>
      <c r="E1117" s="5" t="s">
        <v>8094</v>
      </c>
      <c r="F1117" s="5" t="s">
        <v>8095</v>
      </c>
      <c r="G1117" s="5" t="s">
        <v>573</v>
      </c>
      <c r="H1117" s="5" t="s">
        <v>37</v>
      </c>
      <c r="I1117" s="5" t="s">
        <v>51</v>
      </c>
      <c r="J1117" s="5" t="s">
        <v>194</v>
      </c>
      <c r="K1117" s="5" t="s">
        <v>5169</v>
      </c>
      <c r="L1117" s="11">
        <v>1</v>
      </c>
      <c r="M1117" s="5" t="s">
        <v>173</v>
      </c>
    </row>
    <row r="1118" spans="2:13" ht="37.5" customHeight="1" x14ac:dyDescent="0.35">
      <c r="B1118" s="12">
        <v>53</v>
      </c>
      <c r="C1118" s="7" t="s">
        <v>7707</v>
      </c>
      <c r="D1118" s="12">
        <v>141</v>
      </c>
      <c r="E1118" s="7" t="s">
        <v>8096</v>
      </c>
      <c r="F1118" s="7" t="s">
        <v>8097</v>
      </c>
      <c r="G1118" s="7" t="s">
        <v>733</v>
      </c>
      <c r="H1118" s="7" t="s">
        <v>218</v>
      </c>
      <c r="I1118" s="7" t="s">
        <v>5036</v>
      </c>
      <c r="J1118" s="7" t="s">
        <v>220</v>
      </c>
      <c r="K1118" s="7" t="s">
        <v>7688</v>
      </c>
      <c r="L1118" s="12">
        <v>2</v>
      </c>
      <c r="M1118" s="7" t="s">
        <v>173</v>
      </c>
    </row>
    <row r="1119" spans="2:13" ht="21.75" customHeight="1" x14ac:dyDescent="0.35">
      <c r="B1119" s="11">
        <v>53</v>
      </c>
      <c r="C1119" s="5" t="s">
        <v>7707</v>
      </c>
      <c r="D1119" s="11">
        <v>142</v>
      </c>
      <c r="E1119" s="5" t="s">
        <v>8098</v>
      </c>
      <c r="F1119" s="5" t="s">
        <v>8099</v>
      </c>
      <c r="G1119" s="5" t="s">
        <v>1713</v>
      </c>
      <c r="H1119" s="5" t="s">
        <v>37</v>
      </c>
      <c r="I1119" s="5" t="s">
        <v>51</v>
      </c>
      <c r="J1119" s="5" t="s">
        <v>194</v>
      </c>
      <c r="K1119" s="5" t="s">
        <v>5169</v>
      </c>
      <c r="L1119" s="11">
        <v>1</v>
      </c>
      <c r="M1119" s="5" t="s">
        <v>173</v>
      </c>
    </row>
    <row r="1120" spans="2:13" ht="37.5" customHeight="1" x14ac:dyDescent="0.35">
      <c r="B1120" s="12">
        <v>53</v>
      </c>
      <c r="C1120" s="7" t="s">
        <v>7707</v>
      </c>
      <c r="D1120" s="12">
        <v>143</v>
      </c>
      <c r="E1120" s="7" t="s">
        <v>8100</v>
      </c>
      <c r="F1120" s="7" t="s">
        <v>8101</v>
      </c>
      <c r="G1120" s="7" t="s">
        <v>1622</v>
      </c>
      <c r="H1120" s="7" t="s">
        <v>37</v>
      </c>
      <c r="I1120" s="7" t="s">
        <v>51</v>
      </c>
      <c r="J1120" s="7" t="s">
        <v>194</v>
      </c>
      <c r="K1120" s="7" t="s">
        <v>5169</v>
      </c>
      <c r="L1120" s="12">
        <v>1</v>
      </c>
      <c r="M1120" s="7" t="s">
        <v>173</v>
      </c>
    </row>
    <row r="1121" spans="2:13" ht="37.5" customHeight="1" x14ac:dyDescent="0.35">
      <c r="B1121" s="11">
        <v>53</v>
      </c>
      <c r="C1121" s="5" t="s">
        <v>7707</v>
      </c>
      <c r="D1121" s="11">
        <v>144</v>
      </c>
      <c r="E1121" s="5" t="s">
        <v>8102</v>
      </c>
      <c r="F1121" s="5" t="s">
        <v>8103</v>
      </c>
      <c r="G1121" s="5" t="s">
        <v>24</v>
      </c>
      <c r="H1121" s="5" t="s">
        <v>218</v>
      </c>
      <c r="I1121" s="5" t="s">
        <v>5036</v>
      </c>
      <c r="J1121" s="5" t="s">
        <v>220</v>
      </c>
      <c r="K1121" s="5" t="s">
        <v>7688</v>
      </c>
      <c r="L1121" s="11">
        <v>2</v>
      </c>
      <c r="M1121" s="5" t="s">
        <v>173</v>
      </c>
    </row>
    <row r="1122" spans="2:13" ht="21.75" customHeight="1" x14ac:dyDescent="0.35">
      <c r="B1122" s="12">
        <v>53</v>
      </c>
      <c r="C1122" s="7" t="s">
        <v>7707</v>
      </c>
      <c r="D1122" s="12">
        <v>145</v>
      </c>
      <c r="E1122" s="7" t="s">
        <v>8104</v>
      </c>
      <c r="F1122" s="7" t="s">
        <v>8105</v>
      </c>
      <c r="G1122" s="7" t="s">
        <v>6668</v>
      </c>
      <c r="H1122" s="7" t="s">
        <v>40</v>
      </c>
      <c r="I1122" s="7" t="s">
        <v>54</v>
      </c>
      <c r="J1122" s="7" t="s">
        <v>213</v>
      </c>
      <c r="K1122" s="7" t="s">
        <v>254</v>
      </c>
      <c r="L1122" s="12">
        <v>1</v>
      </c>
      <c r="M1122" s="7" t="s">
        <v>173</v>
      </c>
    </row>
    <row r="1123" spans="2:13" ht="21.75" customHeight="1" x14ac:dyDescent="0.35">
      <c r="B1123" s="11">
        <v>53</v>
      </c>
      <c r="C1123" s="5" t="s">
        <v>7707</v>
      </c>
      <c r="D1123" s="11">
        <v>146</v>
      </c>
      <c r="E1123" s="5" t="s">
        <v>8106</v>
      </c>
      <c r="F1123" s="5" t="s">
        <v>8107</v>
      </c>
      <c r="G1123" s="5" t="s">
        <v>6211</v>
      </c>
      <c r="H1123" s="5" t="s">
        <v>40</v>
      </c>
      <c r="I1123" s="5" t="s">
        <v>54</v>
      </c>
      <c r="J1123" s="5" t="s">
        <v>213</v>
      </c>
      <c r="K1123" s="5" t="s">
        <v>254</v>
      </c>
      <c r="L1123" s="11">
        <v>1</v>
      </c>
      <c r="M1123" s="5" t="s">
        <v>173</v>
      </c>
    </row>
    <row r="1124" spans="2:13" ht="37.5" customHeight="1" x14ac:dyDescent="0.35">
      <c r="B1124" s="12">
        <v>53</v>
      </c>
      <c r="C1124" s="7" t="s">
        <v>7707</v>
      </c>
      <c r="D1124" s="12">
        <v>147</v>
      </c>
      <c r="E1124" s="7" t="s">
        <v>8108</v>
      </c>
      <c r="F1124" s="7" t="s">
        <v>8109</v>
      </c>
      <c r="G1124" s="7" t="s">
        <v>1742</v>
      </c>
      <c r="H1124" s="7" t="s">
        <v>40</v>
      </c>
      <c r="I1124" s="7" t="s">
        <v>54</v>
      </c>
      <c r="J1124" s="7" t="s">
        <v>213</v>
      </c>
      <c r="K1124" s="7" t="s">
        <v>254</v>
      </c>
      <c r="L1124" s="12">
        <v>1</v>
      </c>
      <c r="M1124" s="7" t="s">
        <v>173</v>
      </c>
    </row>
    <row r="1125" spans="2:13" ht="37.5" customHeight="1" x14ac:dyDescent="0.35">
      <c r="B1125" s="11">
        <v>53</v>
      </c>
      <c r="C1125" s="5" t="s">
        <v>7707</v>
      </c>
      <c r="D1125" s="11">
        <v>148</v>
      </c>
      <c r="E1125" s="5" t="s">
        <v>8110</v>
      </c>
      <c r="F1125" s="5" t="s">
        <v>8111</v>
      </c>
      <c r="G1125" s="5" t="s">
        <v>192</v>
      </c>
      <c r="H1125" s="5" t="s">
        <v>40</v>
      </c>
      <c r="I1125" s="5" t="s">
        <v>54</v>
      </c>
      <c r="J1125" s="5" t="s">
        <v>213</v>
      </c>
      <c r="K1125" s="5" t="s">
        <v>254</v>
      </c>
      <c r="L1125" s="11">
        <v>1</v>
      </c>
      <c r="M1125" s="5" t="s">
        <v>173</v>
      </c>
    </row>
    <row r="1126" spans="2:13" ht="21.75" customHeight="1" x14ac:dyDescent="0.35">
      <c r="B1126" s="12">
        <v>53</v>
      </c>
      <c r="C1126" s="7" t="s">
        <v>7707</v>
      </c>
      <c r="D1126" s="12">
        <v>149</v>
      </c>
      <c r="E1126" s="7" t="s">
        <v>8112</v>
      </c>
      <c r="F1126" s="7" t="s">
        <v>8113</v>
      </c>
      <c r="G1126" s="7" t="s">
        <v>285</v>
      </c>
      <c r="H1126" s="7" t="s">
        <v>40</v>
      </c>
      <c r="I1126" s="7" t="s">
        <v>54</v>
      </c>
      <c r="J1126" s="7" t="s">
        <v>213</v>
      </c>
      <c r="K1126" s="7" t="s">
        <v>254</v>
      </c>
      <c r="L1126" s="12">
        <v>1</v>
      </c>
      <c r="M1126" s="7" t="s">
        <v>173</v>
      </c>
    </row>
    <row r="1127" spans="2:13" ht="37.5" customHeight="1" x14ac:dyDescent="0.35">
      <c r="B1127" s="11">
        <v>53</v>
      </c>
      <c r="C1127" s="5" t="s">
        <v>7707</v>
      </c>
      <c r="D1127" s="11">
        <v>150</v>
      </c>
      <c r="E1127" s="5" t="s">
        <v>8114</v>
      </c>
      <c r="F1127" s="5" t="s">
        <v>8115</v>
      </c>
      <c r="G1127" s="5" t="s">
        <v>851</v>
      </c>
      <c r="H1127" s="5" t="s">
        <v>40</v>
      </c>
      <c r="I1127" s="5" t="s">
        <v>54</v>
      </c>
      <c r="J1127" s="5" t="s">
        <v>213</v>
      </c>
      <c r="K1127" s="5" t="s">
        <v>254</v>
      </c>
      <c r="L1127" s="11">
        <v>1</v>
      </c>
      <c r="M1127" s="5" t="s">
        <v>173</v>
      </c>
    </row>
    <row r="1128" spans="2:13" ht="21.75" customHeight="1" x14ac:dyDescent="0.35">
      <c r="B1128" s="12">
        <v>53</v>
      </c>
      <c r="C1128" s="7" t="s">
        <v>7707</v>
      </c>
      <c r="D1128" s="12">
        <v>151</v>
      </c>
      <c r="E1128" s="7" t="s">
        <v>8116</v>
      </c>
      <c r="F1128" s="7" t="s">
        <v>8117</v>
      </c>
      <c r="G1128" s="7" t="s">
        <v>749</v>
      </c>
      <c r="H1128" s="7" t="s">
        <v>40</v>
      </c>
      <c r="I1128" s="7" t="s">
        <v>54</v>
      </c>
      <c r="J1128" s="7" t="s">
        <v>213</v>
      </c>
      <c r="K1128" s="7" t="s">
        <v>254</v>
      </c>
      <c r="L1128" s="12">
        <v>1</v>
      </c>
      <c r="M1128" s="7" t="s">
        <v>173</v>
      </c>
    </row>
    <row r="1129" spans="2:13" ht="21.75" customHeight="1" x14ac:dyDescent="0.35">
      <c r="B1129" s="11">
        <v>53</v>
      </c>
      <c r="C1129" s="5" t="s">
        <v>7707</v>
      </c>
      <c r="D1129" s="11">
        <v>152</v>
      </c>
      <c r="E1129" s="5" t="s">
        <v>8118</v>
      </c>
      <c r="F1129" s="5" t="s">
        <v>8119</v>
      </c>
      <c r="G1129" s="5" t="s">
        <v>2229</v>
      </c>
      <c r="H1129" s="5" t="s">
        <v>40</v>
      </c>
      <c r="I1129" s="5" t="s">
        <v>54</v>
      </c>
      <c r="J1129" s="5" t="s">
        <v>213</v>
      </c>
      <c r="K1129" s="5" t="s">
        <v>254</v>
      </c>
      <c r="L1129" s="11">
        <v>1</v>
      </c>
      <c r="M1129" s="5" t="s">
        <v>173</v>
      </c>
    </row>
    <row r="1130" spans="2:13" ht="21.75" customHeight="1" x14ac:dyDescent="0.35">
      <c r="B1130" s="12">
        <v>53</v>
      </c>
      <c r="C1130" s="7" t="s">
        <v>7707</v>
      </c>
      <c r="D1130" s="12">
        <v>153</v>
      </c>
      <c r="E1130" s="7" t="s">
        <v>8120</v>
      </c>
      <c r="F1130" s="7" t="s">
        <v>8121</v>
      </c>
      <c r="G1130" s="7" t="s">
        <v>549</v>
      </c>
      <c r="H1130" s="7" t="s">
        <v>40</v>
      </c>
      <c r="I1130" s="7" t="s">
        <v>54</v>
      </c>
      <c r="J1130" s="7" t="s">
        <v>213</v>
      </c>
      <c r="K1130" s="7" t="s">
        <v>254</v>
      </c>
      <c r="L1130" s="12">
        <v>1</v>
      </c>
      <c r="M1130" s="7" t="s">
        <v>173</v>
      </c>
    </row>
    <row r="1131" spans="2:13" ht="21.75" customHeight="1" x14ac:dyDescent="0.35">
      <c r="B1131" s="11">
        <v>53</v>
      </c>
      <c r="C1131" s="5" t="s">
        <v>7707</v>
      </c>
      <c r="D1131" s="11">
        <v>154</v>
      </c>
      <c r="E1131" s="5" t="s">
        <v>8122</v>
      </c>
      <c r="F1131" s="5" t="s">
        <v>8123</v>
      </c>
      <c r="G1131" s="5" t="s">
        <v>1829</v>
      </c>
      <c r="H1131" s="5" t="s">
        <v>37</v>
      </c>
      <c r="I1131" s="5" t="s">
        <v>51</v>
      </c>
      <c r="J1131" s="5" t="s">
        <v>194</v>
      </c>
      <c r="K1131" s="5" t="s">
        <v>5169</v>
      </c>
      <c r="L1131" s="11">
        <v>1</v>
      </c>
      <c r="M1131" s="5" t="s">
        <v>173</v>
      </c>
    </row>
    <row r="1132" spans="2:13" ht="21.75" customHeight="1" x14ac:dyDescent="0.35">
      <c r="B1132" s="12">
        <v>53</v>
      </c>
      <c r="C1132" s="7" t="s">
        <v>7707</v>
      </c>
      <c r="D1132" s="12">
        <v>155</v>
      </c>
      <c r="E1132" s="7" t="s">
        <v>8124</v>
      </c>
      <c r="F1132" s="7" t="s">
        <v>8125</v>
      </c>
      <c r="G1132" s="7" t="s">
        <v>7581</v>
      </c>
      <c r="H1132" s="7" t="s">
        <v>37</v>
      </c>
      <c r="I1132" s="7" t="s">
        <v>51</v>
      </c>
      <c r="J1132" s="7" t="s">
        <v>194</v>
      </c>
      <c r="K1132" s="7" t="s">
        <v>5169</v>
      </c>
      <c r="L1132" s="12">
        <v>1</v>
      </c>
      <c r="M1132" s="7" t="s">
        <v>173</v>
      </c>
    </row>
    <row r="1133" spans="2:13" ht="21.75" customHeight="1" x14ac:dyDescent="0.35">
      <c r="B1133" s="11">
        <v>53</v>
      </c>
      <c r="C1133" s="5" t="s">
        <v>7707</v>
      </c>
      <c r="D1133" s="11">
        <v>156</v>
      </c>
      <c r="E1133" s="5" t="s">
        <v>8126</v>
      </c>
      <c r="F1133" s="5" t="s">
        <v>8127</v>
      </c>
      <c r="G1133" s="5" t="s">
        <v>947</v>
      </c>
      <c r="H1133" s="5" t="s">
        <v>37</v>
      </c>
      <c r="I1133" s="5" t="s">
        <v>51</v>
      </c>
      <c r="J1133" s="5" t="s">
        <v>194</v>
      </c>
      <c r="K1133" s="5" t="s">
        <v>5169</v>
      </c>
      <c r="L1133" s="11">
        <v>1</v>
      </c>
      <c r="M1133" s="5" t="s">
        <v>173</v>
      </c>
    </row>
    <row r="1134" spans="2:13" ht="21.75" customHeight="1" x14ac:dyDescent="0.35">
      <c r="B1134" s="12">
        <v>53</v>
      </c>
      <c r="C1134" s="7" t="s">
        <v>7707</v>
      </c>
      <c r="D1134" s="12">
        <v>157</v>
      </c>
      <c r="E1134" s="7" t="s">
        <v>8128</v>
      </c>
      <c r="F1134" s="7" t="s">
        <v>8129</v>
      </c>
      <c r="G1134" s="7" t="s">
        <v>4811</v>
      </c>
      <c r="H1134" s="7" t="s">
        <v>37</v>
      </c>
      <c r="I1134" s="7" t="s">
        <v>51</v>
      </c>
      <c r="J1134" s="7" t="s">
        <v>194</v>
      </c>
      <c r="K1134" s="7" t="s">
        <v>5169</v>
      </c>
      <c r="L1134" s="12">
        <v>1</v>
      </c>
      <c r="M1134" s="7" t="s">
        <v>173</v>
      </c>
    </row>
    <row r="1135" spans="2:13" ht="21.75" customHeight="1" x14ac:dyDescent="0.35">
      <c r="B1135" s="11">
        <v>53</v>
      </c>
      <c r="C1135" s="5" t="s">
        <v>7707</v>
      </c>
      <c r="D1135" s="11">
        <v>158</v>
      </c>
      <c r="E1135" s="5" t="s">
        <v>8130</v>
      </c>
      <c r="F1135" s="5" t="s">
        <v>8131</v>
      </c>
      <c r="G1135" s="5" t="s">
        <v>1784</v>
      </c>
      <c r="H1135" s="5" t="s">
        <v>37</v>
      </c>
      <c r="I1135" s="5" t="s">
        <v>51</v>
      </c>
      <c r="J1135" s="5" t="s">
        <v>194</v>
      </c>
      <c r="K1135" s="5" t="s">
        <v>5169</v>
      </c>
      <c r="L1135" s="11">
        <v>1</v>
      </c>
      <c r="M1135" s="5" t="s">
        <v>173</v>
      </c>
    </row>
    <row r="1136" spans="2:13" ht="21.75" customHeight="1" x14ac:dyDescent="0.35">
      <c r="B1136" s="12">
        <v>53</v>
      </c>
      <c r="C1136" s="7" t="s">
        <v>7707</v>
      </c>
      <c r="D1136" s="12">
        <v>159</v>
      </c>
      <c r="E1136" s="7" t="s">
        <v>8132</v>
      </c>
      <c r="F1136" s="7" t="s">
        <v>8133</v>
      </c>
      <c r="G1136" s="7" t="s">
        <v>8134</v>
      </c>
      <c r="H1136" s="7" t="s">
        <v>37</v>
      </c>
      <c r="I1136" s="7" t="s">
        <v>51</v>
      </c>
      <c r="J1136" s="7" t="s">
        <v>194</v>
      </c>
      <c r="K1136" s="7" t="s">
        <v>5169</v>
      </c>
      <c r="L1136" s="12">
        <v>1</v>
      </c>
      <c r="M1136" s="7" t="s">
        <v>173</v>
      </c>
    </row>
    <row r="1137" spans="2:13" ht="37.5" customHeight="1" x14ac:dyDescent="0.35">
      <c r="B1137" s="11">
        <v>53</v>
      </c>
      <c r="C1137" s="5" t="s">
        <v>7707</v>
      </c>
      <c r="D1137" s="11">
        <v>160</v>
      </c>
      <c r="E1137" s="5" t="s">
        <v>8135</v>
      </c>
      <c r="F1137" s="5" t="s">
        <v>8136</v>
      </c>
      <c r="G1137" s="5" t="s">
        <v>7586</v>
      </c>
      <c r="H1137" s="5" t="s">
        <v>42</v>
      </c>
      <c r="I1137" s="5" t="s">
        <v>4657</v>
      </c>
      <c r="J1137" s="5" t="s">
        <v>1903</v>
      </c>
      <c r="K1137" s="5" t="s">
        <v>7388</v>
      </c>
      <c r="L1137" s="11">
        <v>1</v>
      </c>
      <c r="M1137" s="5" t="s">
        <v>173</v>
      </c>
    </row>
    <row r="1138" spans="2:13" ht="21.75" customHeight="1" x14ac:dyDescent="0.35">
      <c r="B1138" s="12">
        <v>53</v>
      </c>
      <c r="C1138" s="7" t="s">
        <v>7707</v>
      </c>
      <c r="D1138" s="12">
        <v>161</v>
      </c>
      <c r="E1138" s="7" t="s">
        <v>8137</v>
      </c>
      <c r="F1138" s="7" t="s">
        <v>8138</v>
      </c>
      <c r="G1138" s="7" t="s">
        <v>1263</v>
      </c>
      <c r="H1138" s="7" t="s">
        <v>40</v>
      </c>
      <c r="I1138" s="7" t="s">
        <v>54</v>
      </c>
      <c r="J1138" s="7" t="s">
        <v>213</v>
      </c>
      <c r="K1138" s="7" t="s">
        <v>254</v>
      </c>
      <c r="L1138" s="12">
        <v>1</v>
      </c>
      <c r="M1138" s="7" t="s">
        <v>173</v>
      </c>
    </row>
    <row r="1139" spans="2:13" ht="21.75" customHeight="1" x14ac:dyDescent="0.35">
      <c r="B1139" s="11">
        <v>53</v>
      </c>
      <c r="C1139" s="5" t="s">
        <v>7707</v>
      </c>
      <c r="D1139" s="11">
        <v>162</v>
      </c>
      <c r="E1139" s="5" t="s">
        <v>8139</v>
      </c>
      <c r="F1139" s="5" t="s">
        <v>8140</v>
      </c>
      <c r="G1139" s="5" t="s">
        <v>3703</v>
      </c>
      <c r="H1139" s="5" t="s">
        <v>40</v>
      </c>
      <c r="I1139" s="5" t="s">
        <v>54</v>
      </c>
      <c r="J1139" s="5" t="s">
        <v>213</v>
      </c>
      <c r="K1139" s="5" t="s">
        <v>254</v>
      </c>
      <c r="L1139" s="11">
        <v>1</v>
      </c>
      <c r="M1139" s="5" t="s">
        <v>173</v>
      </c>
    </row>
    <row r="1140" spans="2:13" ht="37.5" customHeight="1" x14ac:dyDescent="0.35">
      <c r="B1140" s="12">
        <v>53</v>
      </c>
      <c r="C1140" s="7" t="s">
        <v>7707</v>
      </c>
      <c r="D1140" s="12">
        <v>163</v>
      </c>
      <c r="E1140" s="7" t="s">
        <v>8141</v>
      </c>
      <c r="F1140" s="7" t="s">
        <v>8142</v>
      </c>
      <c r="G1140" s="7" t="s">
        <v>953</v>
      </c>
      <c r="H1140" s="7" t="s">
        <v>40</v>
      </c>
      <c r="I1140" s="7" t="s">
        <v>54</v>
      </c>
      <c r="J1140" s="7" t="s">
        <v>213</v>
      </c>
      <c r="K1140" s="7" t="s">
        <v>254</v>
      </c>
      <c r="L1140" s="12">
        <v>1</v>
      </c>
      <c r="M1140" s="7" t="s">
        <v>173</v>
      </c>
    </row>
    <row r="1141" spans="2:13" ht="21.75" customHeight="1" x14ac:dyDescent="0.35">
      <c r="B1141" s="11">
        <v>53</v>
      </c>
      <c r="C1141" s="5" t="s">
        <v>7707</v>
      </c>
      <c r="D1141" s="11">
        <v>164</v>
      </c>
      <c r="E1141" s="5" t="s">
        <v>8143</v>
      </c>
      <c r="F1141" s="5" t="s">
        <v>8144</v>
      </c>
      <c r="G1141" s="5" t="s">
        <v>2768</v>
      </c>
      <c r="H1141" s="5" t="s">
        <v>37</v>
      </c>
      <c r="I1141" s="5" t="s">
        <v>51</v>
      </c>
      <c r="J1141" s="5" t="s">
        <v>194</v>
      </c>
      <c r="K1141" s="5" t="s">
        <v>5169</v>
      </c>
      <c r="L1141" s="11">
        <v>1</v>
      </c>
      <c r="M1141" s="5" t="s">
        <v>173</v>
      </c>
    </row>
    <row r="1142" spans="2:13" ht="37.5" customHeight="1" x14ac:dyDescent="0.35">
      <c r="B1142" s="12">
        <v>53</v>
      </c>
      <c r="C1142" s="7" t="s">
        <v>7707</v>
      </c>
      <c r="D1142" s="12">
        <v>165</v>
      </c>
      <c r="E1142" s="7" t="s">
        <v>8145</v>
      </c>
      <c r="F1142" s="7" t="s">
        <v>8146</v>
      </c>
      <c r="G1142" s="7" t="s">
        <v>3270</v>
      </c>
      <c r="H1142" s="7" t="s">
        <v>37</v>
      </c>
      <c r="I1142" s="7" t="s">
        <v>51</v>
      </c>
      <c r="J1142" s="7" t="s">
        <v>194</v>
      </c>
      <c r="K1142" s="7" t="s">
        <v>5169</v>
      </c>
      <c r="L1142" s="12">
        <v>1</v>
      </c>
      <c r="M1142" s="7" t="s">
        <v>173</v>
      </c>
    </row>
    <row r="1143" spans="2:13" ht="21.75" customHeight="1" x14ac:dyDescent="0.35">
      <c r="B1143" s="11">
        <v>53</v>
      </c>
      <c r="C1143" s="5" t="s">
        <v>7707</v>
      </c>
      <c r="D1143" s="11">
        <v>166</v>
      </c>
      <c r="E1143" s="5" t="s">
        <v>8147</v>
      </c>
      <c r="F1143" s="5" t="s">
        <v>8148</v>
      </c>
      <c r="G1143" s="5" t="s">
        <v>877</v>
      </c>
      <c r="H1143" s="5" t="s">
        <v>40</v>
      </c>
      <c r="I1143" s="5" t="s">
        <v>54</v>
      </c>
      <c r="J1143" s="5" t="s">
        <v>213</v>
      </c>
      <c r="K1143" s="5" t="s">
        <v>254</v>
      </c>
      <c r="L1143" s="11">
        <v>1</v>
      </c>
      <c r="M1143" s="5" t="s">
        <v>173</v>
      </c>
    </row>
    <row r="1144" spans="2:13" ht="21.75" customHeight="1" x14ac:dyDescent="0.35">
      <c r="B1144" s="12">
        <v>53</v>
      </c>
      <c r="C1144" s="7" t="s">
        <v>7707</v>
      </c>
      <c r="D1144" s="12">
        <v>167</v>
      </c>
      <c r="E1144" s="7" t="s">
        <v>8149</v>
      </c>
      <c r="F1144" s="7" t="s">
        <v>8150</v>
      </c>
      <c r="G1144" s="7" t="s">
        <v>1784</v>
      </c>
      <c r="H1144" s="7" t="s">
        <v>40</v>
      </c>
      <c r="I1144" s="7" t="s">
        <v>54</v>
      </c>
      <c r="J1144" s="7" t="s">
        <v>213</v>
      </c>
      <c r="K1144" s="7" t="s">
        <v>254</v>
      </c>
      <c r="L1144" s="12">
        <v>1</v>
      </c>
      <c r="M1144" s="7" t="s">
        <v>173</v>
      </c>
    </row>
    <row r="1145" spans="2:13" ht="21.75" customHeight="1" x14ac:dyDescent="0.35">
      <c r="B1145" s="11">
        <v>53</v>
      </c>
      <c r="C1145" s="5" t="s">
        <v>7707</v>
      </c>
      <c r="D1145" s="11">
        <v>168</v>
      </c>
      <c r="E1145" s="5" t="s">
        <v>8151</v>
      </c>
      <c r="F1145" s="5" t="s">
        <v>8152</v>
      </c>
      <c r="G1145" s="5" t="s">
        <v>1725</v>
      </c>
      <c r="H1145" s="5" t="s">
        <v>40</v>
      </c>
      <c r="I1145" s="5" t="s">
        <v>54</v>
      </c>
      <c r="J1145" s="5" t="s">
        <v>213</v>
      </c>
      <c r="K1145" s="5" t="s">
        <v>254</v>
      </c>
      <c r="L1145" s="11">
        <v>1</v>
      </c>
      <c r="M1145" s="5" t="s">
        <v>173</v>
      </c>
    </row>
    <row r="1146" spans="2:13" ht="37.5" customHeight="1" x14ac:dyDescent="0.35">
      <c r="B1146" s="12">
        <v>53</v>
      </c>
      <c r="C1146" s="7" t="s">
        <v>7707</v>
      </c>
      <c r="D1146" s="12">
        <v>169</v>
      </c>
      <c r="E1146" s="7" t="s">
        <v>8078</v>
      </c>
      <c r="F1146" s="7" t="s">
        <v>8153</v>
      </c>
      <c r="G1146" s="7" t="s">
        <v>842</v>
      </c>
      <c r="H1146" s="7" t="s">
        <v>37</v>
      </c>
      <c r="I1146" s="7" t="s">
        <v>51</v>
      </c>
      <c r="J1146" s="7" t="s">
        <v>194</v>
      </c>
      <c r="K1146" s="7" t="s">
        <v>5169</v>
      </c>
      <c r="L1146" s="12">
        <v>1</v>
      </c>
      <c r="M1146" s="7" t="s">
        <v>173</v>
      </c>
    </row>
    <row r="1147" spans="2:13" ht="21.75" customHeight="1" x14ac:dyDescent="0.35">
      <c r="B1147" s="11">
        <v>53</v>
      </c>
      <c r="C1147" s="5" t="s">
        <v>7707</v>
      </c>
      <c r="D1147" s="11">
        <v>170</v>
      </c>
      <c r="E1147" s="5" t="s">
        <v>8154</v>
      </c>
      <c r="F1147" s="5" t="s">
        <v>8155</v>
      </c>
      <c r="G1147" s="5" t="s">
        <v>8156</v>
      </c>
      <c r="H1147" s="5" t="s">
        <v>40</v>
      </c>
      <c r="I1147" s="5" t="s">
        <v>54</v>
      </c>
      <c r="J1147" s="5" t="s">
        <v>8157</v>
      </c>
      <c r="K1147" s="5" t="s">
        <v>8158</v>
      </c>
      <c r="L1147" s="11">
        <v>1</v>
      </c>
      <c r="M1147" s="5" t="s">
        <v>173</v>
      </c>
    </row>
    <row r="1148" spans="2:13" ht="37.5" customHeight="1" x14ac:dyDescent="0.35">
      <c r="B1148" s="12">
        <v>53</v>
      </c>
      <c r="C1148" s="7" t="s">
        <v>7707</v>
      </c>
      <c r="D1148" s="12">
        <v>171</v>
      </c>
      <c r="E1148" s="7" t="s">
        <v>8159</v>
      </c>
      <c r="F1148" s="7" t="s">
        <v>8160</v>
      </c>
      <c r="G1148" s="7" t="s">
        <v>752</v>
      </c>
      <c r="H1148" s="7" t="s">
        <v>40</v>
      </c>
      <c r="I1148" s="7" t="s">
        <v>54</v>
      </c>
      <c r="J1148" s="7" t="s">
        <v>8157</v>
      </c>
      <c r="K1148" s="7" t="s">
        <v>8158</v>
      </c>
      <c r="L1148" s="12">
        <v>1</v>
      </c>
      <c r="M1148" s="7" t="s">
        <v>173</v>
      </c>
    </row>
    <row r="1149" spans="2:13" ht="37.5" customHeight="1" x14ac:dyDescent="0.35">
      <c r="B1149" s="11">
        <v>53</v>
      </c>
      <c r="C1149" s="5" t="s">
        <v>7707</v>
      </c>
      <c r="D1149" s="11">
        <v>172</v>
      </c>
      <c r="E1149" s="5" t="s">
        <v>8161</v>
      </c>
      <c r="F1149" s="5" t="s">
        <v>8162</v>
      </c>
      <c r="G1149" s="5" t="s">
        <v>3283</v>
      </c>
      <c r="H1149" s="5" t="s">
        <v>41</v>
      </c>
      <c r="I1149" s="5" t="s">
        <v>49</v>
      </c>
      <c r="J1149" s="5" t="s">
        <v>213</v>
      </c>
      <c r="K1149" s="5" t="s">
        <v>214</v>
      </c>
      <c r="L1149" s="11">
        <v>1</v>
      </c>
      <c r="M1149" s="5" t="s">
        <v>173</v>
      </c>
    </row>
    <row r="1150" spans="2:13" ht="21.75" customHeight="1" x14ac:dyDescent="0.35">
      <c r="B1150" s="12">
        <v>53</v>
      </c>
      <c r="C1150" s="7" t="s">
        <v>7707</v>
      </c>
      <c r="D1150" s="12">
        <v>173</v>
      </c>
      <c r="E1150" s="7" t="s">
        <v>8163</v>
      </c>
      <c r="F1150" s="7" t="s">
        <v>8164</v>
      </c>
      <c r="G1150" s="7" t="s">
        <v>3065</v>
      </c>
      <c r="H1150" s="7" t="s">
        <v>41</v>
      </c>
      <c r="I1150" s="7" t="s">
        <v>49</v>
      </c>
      <c r="J1150" s="7" t="s">
        <v>213</v>
      </c>
      <c r="K1150" s="7" t="s">
        <v>214</v>
      </c>
      <c r="L1150" s="12">
        <v>1</v>
      </c>
      <c r="M1150" s="7" t="s">
        <v>173</v>
      </c>
    </row>
    <row r="1151" spans="2:13" ht="37.5" customHeight="1" x14ac:dyDescent="0.35">
      <c r="B1151" s="11">
        <v>53</v>
      </c>
      <c r="C1151" s="5" t="s">
        <v>7707</v>
      </c>
      <c r="D1151" s="11">
        <v>174</v>
      </c>
      <c r="E1151" s="5" t="s">
        <v>8165</v>
      </c>
      <c r="F1151" s="5" t="s">
        <v>8166</v>
      </c>
      <c r="G1151" s="5" t="s">
        <v>8167</v>
      </c>
      <c r="H1151" s="5" t="s">
        <v>301</v>
      </c>
      <c r="I1151" s="5" t="s">
        <v>8168</v>
      </c>
      <c r="J1151" s="5" t="s">
        <v>8169</v>
      </c>
      <c r="K1151" s="5" t="s">
        <v>8170</v>
      </c>
      <c r="L1151" s="11">
        <v>2</v>
      </c>
      <c r="M1151" s="5" t="s">
        <v>173</v>
      </c>
    </row>
    <row r="1152" spans="2:13" ht="21.75" customHeight="1" x14ac:dyDescent="0.35">
      <c r="B1152" s="12">
        <v>53</v>
      </c>
      <c r="C1152" s="7" t="s">
        <v>7707</v>
      </c>
      <c r="D1152" s="12">
        <v>175</v>
      </c>
      <c r="E1152" s="7" t="s">
        <v>8171</v>
      </c>
      <c r="F1152" s="7" t="s">
        <v>8172</v>
      </c>
      <c r="G1152" s="7" t="s">
        <v>402</v>
      </c>
      <c r="H1152" s="7" t="s">
        <v>40</v>
      </c>
      <c r="I1152" s="7" t="s">
        <v>54</v>
      </c>
      <c r="J1152" s="7" t="s">
        <v>213</v>
      </c>
      <c r="K1152" s="7" t="s">
        <v>254</v>
      </c>
      <c r="L1152" s="12">
        <v>1</v>
      </c>
      <c r="M1152" s="7" t="s">
        <v>173</v>
      </c>
    </row>
    <row r="1153" spans="2:13" ht="21.75" customHeight="1" x14ac:dyDescent="0.35">
      <c r="B1153" s="11">
        <v>53</v>
      </c>
      <c r="C1153" s="5" t="s">
        <v>7707</v>
      </c>
      <c r="D1153" s="11">
        <v>176</v>
      </c>
      <c r="E1153" s="5" t="s">
        <v>8173</v>
      </c>
      <c r="F1153" s="5" t="s">
        <v>8174</v>
      </c>
      <c r="G1153" s="5" t="s">
        <v>7638</v>
      </c>
      <c r="H1153" s="5" t="s">
        <v>42</v>
      </c>
      <c r="I1153" s="5" t="s">
        <v>245</v>
      </c>
      <c r="J1153" s="5" t="s">
        <v>1903</v>
      </c>
      <c r="K1153" s="5" t="s">
        <v>8175</v>
      </c>
      <c r="L1153" s="11">
        <v>1</v>
      </c>
      <c r="M1153" s="5" t="s">
        <v>173</v>
      </c>
    </row>
    <row r="1154" spans="2:13" ht="21.75" customHeight="1" x14ac:dyDescent="0.35">
      <c r="B1154" s="12">
        <v>53</v>
      </c>
      <c r="C1154" s="7" t="s">
        <v>7707</v>
      </c>
      <c r="D1154" s="12">
        <v>177</v>
      </c>
      <c r="E1154" s="7" t="s">
        <v>8176</v>
      </c>
      <c r="F1154" s="7" t="s">
        <v>8177</v>
      </c>
      <c r="G1154" s="7" t="s">
        <v>27</v>
      </c>
      <c r="H1154" s="7" t="s">
        <v>42</v>
      </c>
      <c r="I1154" s="7" t="s">
        <v>5023</v>
      </c>
      <c r="J1154" s="7" t="s">
        <v>1903</v>
      </c>
      <c r="K1154" s="7" t="s">
        <v>7453</v>
      </c>
      <c r="L1154" s="12">
        <v>1</v>
      </c>
      <c r="M1154" s="7" t="s">
        <v>173</v>
      </c>
    </row>
    <row r="1155" spans="2:13" ht="21.75" customHeight="1" x14ac:dyDescent="0.35">
      <c r="B1155" s="11">
        <v>53</v>
      </c>
      <c r="C1155" s="5" t="s">
        <v>7707</v>
      </c>
      <c r="D1155" s="11">
        <v>178</v>
      </c>
      <c r="E1155" s="5" t="s">
        <v>8178</v>
      </c>
      <c r="F1155" s="5" t="s">
        <v>8179</v>
      </c>
      <c r="G1155" s="5" t="s">
        <v>800</v>
      </c>
      <c r="H1155" s="5" t="s">
        <v>40</v>
      </c>
      <c r="I1155" s="5" t="s">
        <v>54</v>
      </c>
      <c r="J1155" s="5" t="s">
        <v>213</v>
      </c>
      <c r="K1155" s="5" t="s">
        <v>254</v>
      </c>
      <c r="L1155" s="11">
        <v>1</v>
      </c>
      <c r="M1155" s="5" t="s">
        <v>173</v>
      </c>
    </row>
    <row r="1156" spans="2:13" ht="21.75" customHeight="1" x14ac:dyDescent="0.35">
      <c r="B1156" s="12">
        <v>53</v>
      </c>
      <c r="C1156" s="7" t="s">
        <v>7707</v>
      </c>
      <c r="D1156" s="12">
        <v>179</v>
      </c>
      <c r="E1156" s="7" t="s">
        <v>8180</v>
      </c>
      <c r="F1156" s="7" t="s">
        <v>8181</v>
      </c>
      <c r="G1156" s="7" t="s">
        <v>8182</v>
      </c>
      <c r="H1156" s="7" t="s">
        <v>40</v>
      </c>
      <c r="I1156" s="7" t="s">
        <v>54</v>
      </c>
      <c r="J1156" s="7" t="s">
        <v>213</v>
      </c>
      <c r="K1156" s="7" t="s">
        <v>254</v>
      </c>
      <c r="L1156" s="12">
        <v>1</v>
      </c>
      <c r="M1156" s="7" t="s">
        <v>173</v>
      </c>
    </row>
    <row r="1157" spans="2:13" ht="52.5" customHeight="1" x14ac:dyDescent="0.35">
      <c r="B1157" s="11">
        <v>54</v>
      </c>
      <c r="C1157" s="5" t="s">
        <v>8183</v>
      </c>
      <c r="D1157" s="11">
        <v>1</v>
      </c>
      <c r="E1157" s="5" t="s">
        <v>8184</v>
      </c>
      <c r="F1157" s="5" t="s">
        <v>8185</v>
      </c>
      <c r="G1157" s="5" t="s">
        <v>2415</v>
      </c>
      <c r="H1157" s="5" t="s">
        <v>8186</v>
      </c>
      <c r="I1157" s="5" t="s">
        <v>8187</v>
      </c>
      <c r="J1157" s="5" t="s">
        <v>220</v>
      </c>
      <c r="K1157" s="5" t="s">
        <v>8188</v>
      </c>
      <c r="L1157" s="11">
        <v>3</v>
      </c>
      <c r="M1157" s="5" t="s">
        <v>173</v>
      </c>
    </row>
    <row r="1158" spans="2:13" ht="37.5" customHeight="1" x14ac:dyDescent="0.35">
      <c r="B1158" s="12">
        <v>54</v>
      </c>
      <c r="C1158" s="7" t="s">
        <v>8183</v>
      </c>
      <c r="D1158" s="12">
        <v>2</v>
      </c>
      <c r="E1158" s="7" t="s">
        <v>8189</v>
      </c>
      <c r="F1158" s="7" t="s">
        <v>8190</v>
      </c>
      <c r="G1158" s="7" t="s">
        <v>648</v>
      </c>
      <c r="H1158" s="7" t="s">
        <v>37</v>
      </c>
      <c r="I1158" s="7" t="s">
        <v>51</v>
      </c>
      <c r="J1158" s="7" t="s">
        <v>194</v>
      </c>
      <c r="K1158" s="7" t="s">
        <v>5169</v>
      </c>
      <c r="L1158" s="12">
        <v>1</v>
      </c>
      <c r="M1158" s="7" t="s">
        <v>173</v>
      </c>
    </row>
    <row r="1159" spans="2:13" ht="37.5" customHeight="1" x14ac:dyDescent="0.35">
      <c r="B1159" s="11">
        <v>54</v>
      </c>
      <c r="C1159" s="5" t="s">
        <v>8183</v>
      </c>
      <c r="D1159" s="11">
        <v>3</v>
      </c>
      <c r="E1159" s="5" t="s">
        <v>8191</v>
      </c>
      <c r="F1159" s="5" t="s">
        <v>8192</v>
      </c>
      <c r="G1159" s="5" t="s">
        <v>573</v>
      </c>
      <c r="H1159" s="5" t="s">
        <v>37</v>
      </c>
      <c r="I1159" s="5" t="s">
        <v>170</v>
      </c>
      <c r="J1159" s="5" t="s">
        <v>8193</v>
      </c>
      <c r="K1159" s="5" t="s">
        <v>8194</v>
      </c>
      <c r="L1159" s="11">
        <v>1</v>
      </c>
      <c r="M1159" s="5" t="s">
        <v>173</v>
      </c>
    </row>
    <row r="1160" spans="2:13" ht="82.5" customHeight="1" x14ac:dyDescent="0.35">
      <c r="B1160" s="12">
        <v>55</v>
      </c>
      <c r="C1160" s="7" t="s">
        <v>8195</v>
      </c>
      <c r="D1160" s="12">
        <v>1</v>
      </c>
      <c r="E1160" s="7" t="s">
        <v>8196</v>
      </c>
      <c r="F1160" s="7" t="s">
        <v>8197</v>
      </c>
      <c r="G1160" s="7" t="s">
        <v>2919</v>
      </c>
      <c r="H1160" s="7" t="s">
        <v>8198</v>
      </c>
      <c r="I1160" s="7" t="s">
        <v>8199</v>
      </c>
      <c r="J1160" s="7" t="s">
        <v>240</v>
      </c>
      <c r="K1160" s="7" t="s">
        <v>8200</v>
      </c>
      <c r="L1160" s="12">
        <v>4</v>
      </c>
      <c r="M1160" s="7" t="s">
        <v>173</v>
      </c>
    </row>
    <row r="1161" spans="2:13" ht="52.5" customHeight="1" x14ac:dyDescent="0.35">
      <c r="B1161" s="11">
        <v>55</v>
      </c>
      <c r="C1161" s="5" t="s">
        <v>8195</v>
      </c>
      <c r="D1161" s="11">
        <v>2</v>
      </c>
      <c r="E1161" s="5" t="s">
        <v>8201</v>
      </c>
      <c r="F1161" s="5" t="s">
        <v>8202</v>
      </c>
      <c r="G1161" s="5" t="s">
        <v>497</v>
      </c>
      <c r="H1161" s="5" t="s">
        <v>7720</v>
      </c>
      <c r="I1161" s="5" t="s">
        <v>8203</v>
      </c>
      <c r="J1161" s="5" t="s">
        <v>8204</v>
      </c>
      <c r="K1161" s="5" t="s">
        <v>8205</v>
      </c>
      <c r="L1161" s="11">
        <v>3</v>
      </c>
      <c r="M1161" s="5" t="s">
        <v>173</v>
      </c>
    </row>
    <row r="1162" spans="2:13" ht="37.5" customHeight="1" x14ac:dyDescent="0.35">
      <c r="B1162" s="12">
        <v>55</v>
      </c>
      <c r="C1162" s="7" t="s">
        <v>8195</v>
      </c>
      <c r="D1162" s="12">
        <v>3</v>
      </c>
      <c r="E1162" s="7" t="s">
        <v>8206</v>
      </c>
      <c r="F1162" s="7" t="s">
        <v>8207</v>
      </c>
      <c r="G1162" s="7" t="s">
        <v>805</v>
      </c>
      <c r="H1162" s="7" t="s">
        <v>218</v>
      </c>
      <c r="I1162" s="7" t="s">
        <v>8208</v>
      </c>
      <c r="J1162" s="7" t="s">
        <v>1112</v>
      </c>
      <c r="K1162" s="7" t="s">
        <v>8209</v>
      </c>
      <c r="L1162" s="12">
        <v>2</v>
      </c>
      <c r="M1162" s="7" t="s">
        <v>173</v>
      </c>
    </row>
    <row r="1163" spans="2:13" ht="37.5" customHeight="1" x14ac:dyDescent="0.35">
      <c r="B1163" s="11">
        <v>55</v>
      </c>
      <c r="C1163" s="5" t="s">
        <v>8195</v>
      </c>
      <c r="D1163" s="11">
        <v>4</v>
      </c>
      <c r="E1163" s="5" t="s">
        <v>8210</v>
      </c>
      <c r="F1163" s="5" t="s">
        <v>8211</v>
      </c>
      <c r="G1163" s="5" t="s">
        <v>24</v>
      </c>
      <c r="H1163" s="5" t="s">
        <v>37</v>
      </c>
      <c r="I1163" s="5" t="s">
        <v>51</v>
      </c>
      <c r="J1163" s="5" t="s">
        <v>194</v>
      </c>
      <c r="K1163" s="5" t="s">
        <v>5169</v>
      </c>
      <c r="L1163" s="11">
        <v>1</v>
      </c>
      <c r="M1163" s="5" t="s">
        <v>173</v>
      </c>
    </row>
    <row r="1164" spans="2:13" ht="37.5" customHeight="1" x14ac:dyDescent="0.35">
      <c r="B1164" s="12">
        <v>55</v>
      </c>
      <c r="C1164" s="7" t="s">
        <v>8195</v>
      </c>
      <c r="D1164" s="12">
        <v>5</v>
      </c>
      <c r="E1164" s="7" t="s">
        <v>8212</v>
      </c>
      <c r="F1164" s="7" t="s">
        <v>8213</v>
      </c>
      <c r="G1164" s="7" t="s">
        <v>560</v>
      </c>
      <c r="H1164" s="7" t="s">
        <v>37</v>
      </c>
      <c r="I1164" s="7" t="s">
        <v>51</v>
      </c>
      <c r="J1164" s="7" t="s">
        <v>194</v>
      </c>
      <c r="K1164" s="7" t="s">
        <v>5169</v>
      </c>
      <c r="L1164" s="12">
        <v>1</v>
      </c>
      <c r="M1164" s="7" t="s">
        <v>173</v>
      </c>
    </row>
    <row r="1165" spans="2:13" ht="37.5" customHeight="1" x14ac:dyDescent="0.35">
      <c r="B1165" s="11">
        <v>55</v>
      </c>
      <c r="C1165" s="5" t="s">
        <v>8195</v>
      </c>
      <c r="D1165" s="11">
        <v>6</v>
      </c>
      <c r="E1165" s="5" t="s">
        <v>8214</v>
      </c>
      <c r="F1165" s="5" t="s">
        <v>8215</v>
      </c>
      <c r="G1165" s="5" t="s">
        <v>653</v>
      </c>
      <c r="H1165" s="5" t="s">
        <v>37</v>
      </c>
      <c r="I1165" s="5" t="s">
        <v>51</v>
      </c>
      <c r="J1165" s="5" t="s">
        <v>194</v>
      </c>
      <c r="K1165" s="5" t="s">
        <v>5169</v>
      </c>
      <c r="L1165" s="11">
        <v>1</v>
      </c>
      <c r="M1165" s="5" t="s">
        <v>173</v>
      </c>
    </row>
    <row r="1166" spans="2:13" ht="52.5" customHeight="1" x14ac:dyDescent="0.35">
      <c r="B1166" s="12">
        <v>55</v>
      </c>
      <c r="C1166" s="7" t="s">
        <v>8195</v>
      </c>
      <c r="D1166" s="12">
        <v>7</v>
      </c>
      <c r="E1166" s="7" t="s">
        <v>8216</v>
      </c>
      <c r="F1166" s="7" t="s">
        <v>8217</v>
      </c>
      <c r="G1166" s="7" t="s">
        <v>25</v>
      </c>
      <c r="H1166" s="7" t="s">
        <v>8218</v>
      </c>
      <c r="I1166" s="7" t="s">
        <v>8219</v>
      </c>
      <c r="J1166" s="7" t="s">
        <v>240</v>
      </c>
      <c r="K1166" s="7" t="s">
        <v>8220</v>
      </c>
      <c r="L1166" s="12">
        <v>3</v>
      </c>
      <c r="M1166" s="7" t="s">
        <v>173</v>
      </c>
    </row>
    <row r="1167" spans="2:13" ht="37.5" customHeight="1" x14ac:dyDescent="0.35">
      <c r="B1167" s="11">
        <v>55</v>
      </c>
      <c r="C1167" s="5" t="s">
        <v>8195</v>
      </c>
      <c r="D1167" s="11">
        <v>8</v>
      </c>
      <c r="E1167" s="5" t="s">
        <v>8221</v>
      </c>
      <c r="F1167" s="5" t="s">
        <v>8222</v>
      </c>
      <c r="G1167" s="5" t="s">
        <v>1076</v>
      </c>
      <c r="H1167" s="5" t="s">
        <v>40</v>
      </c>
      <c r="I1167" s="5" t="s">
        <v>54</v>
      </c>
      <c r="J1167" s="5" t="s">
        <v>213</v>
      </c>
      <c r="K1167" s="5" t="s">
        <v>254</v>
      </c>
      <c r="L1167" s="11">
        <v>1</v>
      </c>
      <c r="M1167" s="5" t="s">
        <v>173</v>
      </c>
    </row>
    <row r="1168" spans="2:13" ht="21.75" customHeight="1" x14ac:dyDescent="0.35">
      <c r="B1168" s="12">
        <v>55</v>
      </c>
      <c r="C1168" s="7" t="s">
        <v>8195</v>
      </c>
      <c r="D1168" s="12">
        <v>9</v>
      </c>
      <c r="E1168" s="7" t="s">
        <v>8223</v>
      </c>
      <c r="F1168" s="7" t="s">
        <v>8224</v>
      </c>
      <c r="G1168" s="7" t="s">
        <v>686</v>
      </c>
      <c r="H1168" s="7" t="s">
        <v>40</v>
      </c>
      <c r="I1168" s="7" t="s">
        <v>54</v>
      </c>
      <c r="J1168" s="7" t="s">
        <v>213</v>
      </c>
      <c r="K1168" s="7" t="s">
        <v>254</v>
      </c>
      <c r="L1168" s="12">
        <v>1</v>
      </c>
      <c r="M1168" s="7" t="s">
        <v>173</v>
      </c>
    </row>
    <row r="1169" spans="2:13" ht="37.5" customHeight="1" x14ac:dyDescent="0.35">
      <c r="B1169" s="11">
        <v>55</v>
      </c>
      <c r="C1169" s="5" t="s">
        <v>8195</v>
      </c>
      <c r="D1169" s="11">
        <v>10</v>
      </c>
      <c r="E1169" s="5" t="s">
        <v>8225</v>
      </c>
      <c r="F1169" s="5" t="s">
        <v>8226</v>
      </c>
      <c r="G1169" s="5" t="s">
        <v>24</v>
      </c>
      <c r="H1169" s="5" t="s">
        <v>3888</v>
      </c>
      <c r="I1169" s="5" t="s">
        <v>8227</v>
      </c>
      <c r="J1169" s="5" t="s">
        <v>8228</v>
      </c>
      <c r="K1169" s="5" t="s">
        <v>8229</v>
      </c>
      <c r="L1169" s="11">
        <v>1</v>
      </c>
      <c r="M1169" s="5" t="s">
        <v>173</v>
      </c>
    </row>
    <row r="1170" spans="2:13" ht="37.5" customHeight="1" x14ac:dyDescent="0.35">
      <c r="B1170" s="12">
        <v>56</v>
      </c>
      <c r="C1170" s="7" t="s">
        <v>8230</v>
      </c>
      <c r="D1170" s="12">
        <v>1</v>
      </c>
      <c r="E1170" s="7" t="s">
        <v>8231</v>
      </c>
      <c r="F1170" s="7" t="s">
        <v>8232</v>
      </c>
      <c r="G1170" s="7" t="s">
        <v>26</v>
      </c>
      <c r="H1170" s="7" t="s">
        <v>42</v>
      </c>
      <c r="I1170" s="7" t="s">
        <v>153</v>
      </c>
      <c r="J1170" s="7" t="s">
        <v>8233</v>
      </c>
      <c r="K1170" s="7" t="s">
        <v>8234</v>
      </c>
      <c r="L1170" s="12">
        <v>1</v>
      </c>
      <c r="M1170" s="7" t="s">
        <v>173</v>
      </c>
    </row>
    <row r="1171" spans="2:13" ht="37.5" customHeight="1" x14ac:dyDescent="0.35">
      <c r="B1171" s="11">
        <v>56</v>
      </c>
      <c r="C1171" s="5" t="s">
        <v>8230</v>
      </c>
      <c r="D1171" s="11">
        <v>2</v>
      </c>
      <c r="E1171" s="5" t="s">
        <v>8235</v>
      </c>
      <c r="F1171" s="5" t="s">
        <v>8236</v>
      </c>
      <c r="G1171" s="5" t="s">
        <v>358</v>
      </c>
      <c r="H1171" s="5" t="s">
        <v>42</v>
      </c>
      <c r="I1171" s="5" t="s">
        <v>5433</v>
      </c>
      <c r="J1171" s="5" t="s">
        <v>1903</v>
      </c>
      <c r="K1171" s="5" t="s">
        <v>5434</v>
      </c>
      <c r="L1171" s="11">
        <v>1</v>
      </c>
      <c r="M1171" s="5" t="s">
        <v>173</v>
      </c>
    </row>
    <row r="1172" spans="2:13" ht="37.5" customHeight="1" x14ac:dyDescent="0.35">
      <c r="B1172" s="12">
        <v>56</v>
      </c>
      <c r="C1172" s="7" t="s">
        <v>8230</v>
      </c>
      <c r="D1172" s="12">
        <v>3</v>
      </c>
      <c r="E1172" s="7" t="s">
        <v>8237</v>
      </c>
      <c r="F1172" s="7" t="s">
        <v>8238</v>
      </c>
      <c r="G1172" s="7" t="s">
        <v>573</v>
      </c>
      <c r="H1172" s="7" t="s">
        <v>42</v>
      </c>
      <c r="I1172" s="7" t="s">
        <v>5433</v>
      </c>
      <c r="J1172" s="7" t="s">
        <v>1903</v>
      </c>
      <c r="K1172" s="7" t="s">
        <v>5434</v>
      </c>
      <c r="L1172" s="12">
        <v>1</v>
      </c>
      <c r="M1172" s="7" t="s">
        <v>173</v>
      </c>
    </row>
    <row r="1173" spans="2:13" ht="37.5" customHeight="1" x14ac:dyDescent="0.35">
      <c r="B1173" s="11">
        <v>56</v>
      </c>
      <c r="C1173" s="5" t="s">
        <v>8230</v>
      </c>
      <c r="D1173" s="11">
        <v>4</v>
      </c>
      <c r="E1173" s="5" t="s">
        <v>8239</v>
      </c>
      <c r="F1173" s="5" t="s">
        <v>8240</v>
      </c>
      <c r="G1173" s="5" t="s">
        <v>616</v>
      </c>
      <c r="H1173" s="5" t="s">
        <v>37</v>
      </c>
      <c r="I1173" s="5" t="s">
        <v>51</v>
      </c>
      <c r="J1173" s="5" t="s">
        <v>8241</v>
      </c>
      <c r="K1173" s="5" t="s">
        <v>8242</v>
      </c>
      <c r="L1173" s="11">
        <v>1</v>
      </c>
      <c r="M1173" s="5" t="s">
        <v>173</v>
      </c>
    </row>
    <row r="1174" spans="2:13" ht="37.5" customHeight="1" x14ac:dyDescent="0.35">
      <c r="B1174" s="12">
        <v>56</v>
      </c>
      <c r="C1174" s="7" t="s">
        <v>8230</v>
      </c>
      <c r="D1174" s="12">
        <v>5</v>
      </c>
      <c r="E1174" s="7" t="s">
        <v>8243</v>
      </c>
      <c r="F1174" s="7" t="s">
        <v>8244</v>
      </c>
      <c r="G1174" s="7" t="s">
        <v>497</v>
      </c>
      <c r="H1174" s="7" t="s">
        <v>41</v>
      </c>
      <c r="I1174" s="7" t="s">
        <v>49</v>
      </c>
      <c r="J1174" s="7" t="s">
        <v>213</v>
      </c>
      <c r="K1174" s="7" t="s">
        <v>214</v>
      </c>
      <c r="L1174" s="12">
        <v>1</v>
      </c>
      <c r="M1174" s="7" t="s">
        <v>173</v>
      </c>
    </row>
    <row r="1175" spans="2:13" ht="37.5" customHeight="1" x14ac:dyDescent="0.35">
      <c r="B1175" s="11">
        <v>57</v>
      </c>
      <c r="C1175" s="5" t="s">
        <v>8245</v>
      </c>
      <c r="D1175" s="11">
        <v>1</v>
      </c>
      <c r="E1175" s="5" t="s">
        <v>8246</v>
      </c>
      <c r="F1175" s="5" t="s">
        <v>8247</v>
      </c>
      <c r="G1175" s="5" t="s">
        <v>358</v>
      </c>
      <c r="H1175" s="5" t="s">
        <v>36</v>
      </c>
      <c r="I1175" s="5" t="s">
        <v>6369</v>
      </c>
      <c r="J1175" s="5" t="s">
        <v>5702</v>
      </c>
      <c r="K1175" s="5" t="s">
        <v>8248</v>
      </c>
      <c r="L1175" s="11">
        <v>1</v>
      </c>
      <c r="M1175" s="5" t="s">
        <v>156</v>
      </c>
    </row>
    <row r="1176" spans="2:13" ht="67.5" customHeight="1" x14ac:dyDescent="0.35">
      <c r="B1176" s="12">
        <v>57</v>
      </c>
      <c r="C1176" s="7" t="s">
        <v>8245</v>
      </c>
      <c r="D1176" s="12">
        <v>2</v>
      </c>
      <c r="E1176" s="7" t="s">
        <v>8249</v>
      </c>
      <c r="F1176" s="7" t="s">
        <v>8250</v>
      </c>
      <c r="G1176" s="7" t="s">
        <v>30</v>
      </c>
      <c r="H1176" s="7" t="s">
        <v>5224</v>
      </c>
      <c r="I1176" s="7" t="s">
        <v>8251</v>
      </c>
      <c r="J1176" s="7" t="s">
        <v>8252</v>
      </c>
      <c r="K1176" s="7" t="s">
        <v>8253</v>
      </c>
      <c r="L1176" s="12">
        <v>4</v>
      </c>
      <c r="M1176" s="7" t="s">
        <v>156</v>
      </c>
    </row>
    <row r="1177" spans="2:13" ht="37.5" customHeight="1" x14ac:dyDescent="0.35">
      <c r="B1177" s="11">
        <v>57</v>
      </c>
      <c r="C1177" s="5" t="s">
        <v>8245</v>
      </c>
      <c r="D1177" s="11">
        <v>3</v>
      </c>
      <c r="E1177" s="5" t="s">
        <v>8254</v>
      </c>
      <c r="F1177" s="5" t="s">
        <v>8255</v>
      </c>
      <c r="G1177" s="5" t="s">
        <v>1294</v>
      </c>
      <c r="H1177" s="5" t="s">
        <v>36</v>
      </c>
      <c r="I1177" s="5" t="s">
        <v>6369</v>
      </c>
      <c r="J1177" s="5" t="s">
        <v>5702</v>
      </c>
      <c r="K1177" s="5" t="s">
        <v>8248</v>
      </c>
      <c r="L1177" s="11">
        <v>1</v>
      </c>
      <c r="M1177" s="5" t="s">
        <v>156</v>
      </c>
    </row>
    <row r="1178" spans="2:13" ht="37.5" customHeight="1" x14ac:dyDescent="0.35">
      <c r="B1178" s="12">
        <v>57</v>
      </c>
      <c r="C1178" s="7" t="s">
        <v>8245</v>
      </c>
      <c r="D1178" s="12">
        <v>4</v>
      </c>
      <c r="E1178" s="7" t="s">
        <v>8256</v>
      </c>
      <c r="F1178" s="7" t="s">
        <v>8257</v>
      </c>
      <c r="G1178" s="7" t="s">
        <v>358</v>
      </c>
      <c r="H1178" s="7" t="s">
        <v>36</v>
      </c>
      <c r="I1178" s="7" t="s">
        <v>6369</v>
      </c>
      <c r="J1178" s="7" t="s">
        <v>8258</v>
      </c>
      <c r="K1178" s="7" t="s">
        <v>8259</v>
      </c>
      <c r="L1178" s="12">
        <v>1</v>
      </c>
      <c r="M1178" s="7" t="s">
        <v>156</v>
      </c>
    </row>
    <row r="1179" spans="2:13" ht="37.5" customHeight="1" x14ac:dyDescent="0.35">
      <c r="B1179" s="11">
        <v>57</v>
      </c>
      <c r="C1179" s="5" t="s">
        <v>8245</v>
      </c>
      <c r="D1179" s="11">
        <v>5</v>
      </c>
      <c r="E1179" s="5" t="s">
        <v>8260</v>
      </c>
      <c r="F1179" s="5" t="s">
        <v>8261</v>
      </c>
      <c r="G1179" s="5" t="s">
        <v>1294</v>
      </c>
      <c r="H1179" s="5" t="s">
        <v>36</v>
      </c>
      <c r="I1179" s="5" t="s">
        <v>5754</v>
      </c>
      <c r="J1179" s="5" t="s">
        <v>8258</v>
      </c>
      <c r="K1179" s="5" t="s">
        <v>8262</v>
      </c>
      <c r="L1179" s="11">
        <v>1</v>
      </c>
      <c r="M1179" s="5" t="s">
        <v>156</v>
      </c>
    </row>
    <row r="1180" spans="2:13" ht="21.75" customHeight="1" x14ac:dyDescent="0.35">
      <c r="B1180" s="12">
        <v>57</v>
      </c>
      <c r="C1180" s="7" t="s">
        <v>8245</v>
      </c>
      <c r="D1180" s="12">
        <v>6</v>
      </c>
      <c r="E1180" s="7" t="s">
        <v>8263</v>
      </c>
      <c r="F1180" s="7" t="s">
        <v>8264</v>
      </c>
      <c r="G1180" s="7" t="s">
        <v>497</v>
      </c>
      <c r="H1180" s="7" t="s">
        <v>36</v>
      </c>
      <c r="I1180" s="7" t="s">
        <v>8265</v>
      </c>
      <c r="J1180" s="7" t="s">
        <v>5702</v>
      </c>
      <c r="K1180" s="7" t="s">
        <v>8266</v>
      </c>
      <c r="L1180" s="12">
        <v>1</v>
      </c>
      <c r="M1180" s="7" t="s">
        <v>156</v>
      </c>
    </row>
    <row r="1181" spans="2:13" ht="37.5" customHeight="1" x14ac:dyDescent="0.35">
      <c r="B1181" s="11">
        <v>57</v>
      </c>
      <c r="C1181" s="5" t="s">
        <v>8245</v>
      </c>
      <c r="D1181" s="11">
        <v>7</v>
      </c>
      <c r="E1181" s="5" t="s">
        <v>8267</v>
      </c>
      <c r="F1181" s="5" t="s">
        <v>8268</v>
      </c>
      <c r="G1181" s="5" t="s">
        <v>24</v>
      </c>
      <c r="H1181" s="5" t="s">
        <v>36</v>
      </c>
      <c r="I1181" s="5" t="s">
        <v>8269</v>
      </c>
      <c r="J1181" s="5" t="s">
        <v>5702</v>
      </c>
      <c r="K1181" s="5" t="s">
        <v>8270</v>
      </c>
      <c r="L1181" s="11">
        <v>1</v>
      </c>
      <c r="M1181" s="5" t="s">
        <v>156</v>
      </c>
    </row>
    <row r="1182" spans="2:13" ht="37.5" customHeight="1" x14ac:dyDescent="0.35">
      <c r="B1182" s="12">
        <v>57</v>
      </c>
      <c r="C1182" s="7" t="s">
        <v>8245</v>
      </c>
      <c r="D1182" s="12">
        <v>8</v>
      </c>
      <c r="E1182" s="7" t="s">
        <v>8271</v>
      </c>
      <c r="F1182" s="7" t="s">
        <v>8272</v>
      </c>
      <c r="G1182" s="7" t="s">
        <v>566</v>
      </c>
      <c r="H1182" s="7" t="s">
        <v>36</v>
      </c>
      <c r="I1182" s="7" t="s">
        <v>8273</v>
      </c>
      <c r="J1182" s="7" t="s">
        <v>8274</v>
      </c>
      <c r="K1182" s="7" t="s">
        <v>8275</v>
      </c>
      <c r="L1182" s="12">
        <v>2</v>
      </c>
      <c r="M1182" s="7" t="s">
        <v>156</v>
      </c>
    </row>
    <row r="1183" spans="2:13" ht="37.5" customHeight="1" x14ac:dyDescent="0.35">
      <c r="B1183" s="11">
        <v>57</v>
      </c>
      <c r="C1183" s="5" t="s">
        <v>8245</v>
      </c>
      <c r="D1183" s="11">
        <v>9</v>
      </c>
      <c r="E1183" s="5" t="s">
        <v>8276</v>
      </c>
      <c r="F1183" s="5" t="s">
        <v>8277</v>
      </c>
      <c r="G1183" s="5" t="s">
        <v>1294</v>
      </c>
      <c r="H1183" s="5" t="s">
        <v>36</v>
      </c>
      <c r="I1183" s="5" t="s">
        <v>6369</v>
      </c>
      <c r="J1183" s="5" t="s">
        <v>8258</v>
      </c>
      <c r="K1183" s="5" t="s">
        <v>8259</v>
      </c>
      <c r="L1183" s="11">
        <v>1</v>
      </c>
      <c r="M1183" s="5" t="s">
        <v>156</v>
      </c>
    </row>
    <row r="1184" spans="2:13" ht="37.5" customHeight="1" x14ac:dyDescent="0.35">
      <c r="B1184" s="12">
        <v>57</v>
      </c>
      <c r="C1184" s="7" t="s">
        <v>8245</v>
      </c>
      <c r="D1184" s="12">
        <v>10</v>
      </c>
      <c r="E1184" s="7" t="s">
        <v>8278</v>
      </c>
      <c r="F1184" s="7" t="s">
        <v>8279</v>
      </c>
      <c r="G1184" s="7" t="s">
        <v>282</v>
      </c>
      <c r="H1184" s="7" t="s">
        <v>36</v>
      </c>
      <c r="I1184" s="7" t="s">
        <v>5536</v>
      </c>
      <c r="J1184" s="7" t="s">
        <v>5702</v>
      </c>
      <c r="K1184" s="7" t="s">
        <v>8280</v>
      </c>
      <c r="L1184" s="12">
        <v>2</v>
      </c>
      <c r="M1184" s="7" t="s">
        <v>156</v>
      </c>
    </row>
    <row r="1185" spans="2:13" ht="37.5" customHeight="1" x14ac:dyDescent="0.35">
      <c r="B1185" s="11">
        <v>57</v>
      </c>
      <c r="C1185" s="5" t="s">
        <v>8245</v>
      </c>
      <c r="D1185" s="11">
        <v>11</v>
      </c>
      <c r="E1185" s="5" t="s">
        <v>8281</v>
      </c>
      <c r="F1185" s="5" t="s">
        <v>8282</v>
      </c>
      <c r="G1185" s="5" t="s">
        <v>28</v>
      </c>
      <c r="H1185" s="5" t="s">
        <v>41</v>
      </c>
      <c r="I1185" s="5" t="s">
        <v>7875</v>
      </c>
      <c r="J1185" s="5" t="s">
        <v>213</v>
      </c>
      <c r="K1185" s="5" t="s">
        <v>7876</v>
      </c>
      <c r="L1185" s="11">
        <v>1</v>
      </c>
      <c r="M1185" s="5" t="s">
        <v>156</v>
      </c>
    </row>
    <row r="1186" spans="2:13" ht="37.5" customHeight="1" x14ac:dyDescent="0.35">
      <c r="B1186" s="12">
        <v>57</v>
      </c>
      <c r="C1186" s="7" t="s">
        <v>8245</v>
      </c>
      <c r="D1186" s="12">
        <v>12</v>
      </c>
      <c r="E1186" s="7" t="s">
        <v>8283</v>
      </c>
      <c r="F1186" s="7" t="s">
        <v>8284</v>
      </c>
      <c r="G1186" s="7" t="s">
        <v>33</v>
      </c>
      <c r="H1186" s="7" t="s">
        <v>36</v>
      </c>
      <c r="I1186" s="7" t="s">
        <v>48</v>
      </c>
      <c r="J1186" s="7" t="s">
        <v>5702</v>
      </c>
      <c r="K1186" s="7" t="s">
        <v>5722</v>
      </c>
      <c r="L1186" s="12">
        <v>1</v>
      </c>
      <c r="M1186" s="7" t="s">
        <v>156</v>
      </c>
    </row>
    <row r="1187" spans="2:13" ht="37.5" customHeight="1" x14ac:dyDescent="0.35">
      <c r="B1187" s="11">
        <v>57</v>
      </c>
      <c r="C1187" s="5" t="s">
        <v>8245</v>
      </c>
      <c r="D1187" s="11">
        <v>13</v>
      </c>
      <c r="E1187" s="5" t="s">
        <v>8285</v>
      </c>
      <c r="F1187" s="5" t="s">
        <v>8286</v>
      </c>
      <c r="G1187" s="5" t="s">
        <v>358</v>
      </c>
      <c r="H1187" s="5" t="s">
        <v>1167</v>
      </c>
      <c r="I1187" s="5" t="s">
        <v>8287</v>
      </c>
      <c r="J1187" s="5" t="s">
        <v>8288</v>
      </c>
      <c r="K1187" s="5" t="s">
        <v>8289</v>
      </c>
      <c r="L1187" s="11">
        <v>2</v>
      </c>
      <c r="M1187" s="5" t="s">
        <v>156</v>
      </c>
    </row>
    <row r="1188" spans="2:13" ht="37.5" customHeight="1" x14ac:dyDescent="0.35">
      <c r="B1188" s="12">
        <v>57</v>
      </c>
      <c r="C1188" s="7" t="s">
        <v>8245</v>
      </c>
      <c r="D1188" s="12">
        <v>14</v>
      </c>
      <c r="E1188" s="7" t="s">
        <v>8290</v>
      </c>
      <c r="F1188" s="7" t="s">
        <v>8291</v>
      </c>
      <c r="G1188" s="7" t="s">
        <v>8292</v>
      </c>
      <c r="H1188" s="7" t="s">
        <v>36</v>
      </c>
      <c r="I1188" s="7" t="s">
        <v>5253</v>
      </c>
      <c r="J1188" s="7" t="s">
        <v>5702</v>
      </c>
      <c r="K1188" s="7" t="s">
        <v>5997</v>
      </c>
      <c r="L1188" s="12">
        <v>1</v>
      </c>
      <c r="M1188" s="7" t="s">
        <v>156</v>
      </c>
    </row>
    <row r="1189" spans="2:13" ht="37.5" customHeight="1" x14ac:dyDescent="0.35">
      <c r="B1189" s="11">
        <v>57</v>
      </c>
      <c r="C1189" s="5" t="s">
        <v>8245</v>
      </c>
      <c r="D1189" s="11">
        <v>15</v>
      </c>
      <c r="E1189" s="5" t="s">
        <v>8293</v>
      </c>
      <c r="F1189" s="5" t="s">
        <v>8294</v>
      </c>
      <c r="G1189" s="5" t="s">
        <v>31</v>
      </c>
      <c r="H1189" s="5" t="s">
        <v>1943</v>
      </c>
      <c r="I1189" s="5" t="s">
        <v>49</v>
      </c>
      <c r="J1189" s="5" t="s">
        <v>213</v>
      </c>
      <c r="K1189" s="5" t="s">
        <v>5428</v>
      </c>
      <c r="L1189" s="11">
        <v>1</v>
      </c>
      <c r="M1189" s="5" t="s">
        <v>156</v>
      </c>
    </row>
    <row r="1190" spans="2:13" ht="37.5" customHeight="1" x14ac:dyDescent="0.35">
      <c r="B1190" s="12">
        <v>57</v>
      </c>
      <c r="C1190" s="7" t="s">
        <v>8245</v>
      </c>
      <c r="D1190" s="12">
        <v>16</v>
      </c>
      <c r="E1190" s="7" t="s">
        <v>8295</v>
      </c>
      <c r="F1190" s="7" t="s">
        <v>8296</v>
      </c>
      <c r="G1190" s="7" t="s">
        <v>8297</v>
      </c>
      <c r="H1190" s="7" t="s">
        <v>8298</v>
      </c>
      <c r="I1190" s="7" t="s">
        <v>5143</v>
      </c>
      <c r="J1190" s="7" t="s">
        <v>171</v>
      </c>
      <c r="K1190" s="7" t="s">
        <v>8299</v>
      </c>
      <c r="L1190" s="12">
        <v>2</v>
      </c>
      <c r="M1190" s="7" t="s">
        <v>156</v>
      </c>
    </row>
    <row r="1191" spans="2:13" ht="37.5" customHeight="1" x14ac:dyDescent="0.35">
      <c r="B1191" s="11">
        <v>57</v>
      </c>
      <c r="C1191" s="5" t="s">
        <v>8245</v>
      </c>
      <c r="D1191" s="11">
        <v>17</v>
      </c>
      <c r="E1191" s="5" t="s">
        <v>8300</v>
      </c>
      <c r="F1191" s="5" t="s">
        <v>8301</v>
      </c>
      <c r="G1191" s="5" t="s">
        <v>531</v>
      </c>
      <c r="H1191" s="5" t="s">
        <v>37</v>
      </c>
      <c r="I1191" s="5" t="s">
        <v>8302</v>
      </c>
      <c r="J1191" s="5" t="s">
        <v>8303</v>
      </c>
      <c r="K1191" s="5" t="s">
        <v>8304</v>
      </c>
      <c r="L1191" s="11">
        <v>1</v>
      </c>
      <c r="M1191" s="5" t="s">
        <v>156</v>
      </c>
    </row>
    <row r="1192" spans="2:13" ht="21.75" customHeight="1" x14ac:dyDescent="0.35">
      <c r="B1192" s="12">
        <v>57</v>
      </c>
      <c r="C1192" s="7" t="s">
        <v>8245</v>
      </c>
      <c r="D1192" s="12">
        <v>18</v>
      </c>
      <c r="E1192" s="7" t="s">
        <v>8305</v>
      </c>
      <c r="F1192" s="7" t="s">
        <v>8306</v>
      </c>
      <c r="G1192" s="7" t="s">
        <v>27</v>
      </c>
      <c r="H1192" s="7" t="s">
        <v>36</v>
      </c>
      <c r="I1192" s="7" t="s">
        <v>48</v>
      </c>
      <c r="J1192" s="7" t="s">
        <v>177</v>
      </c>
      <c r="K1192" s="7" t="s">
        <v>4570</v>
      </c>
      <c r="L1192" s="12">
        <v>1</v>
      </c>
      <c r="M1192" s="7" t="s">
        <v>156</v>
      </c>
    </row>
    <row r="1193" spans="2:13" ht="37.5" customHeight="1" x14ac:dyDescent="0.35">
      <c r="B1193" s="11">
        <v>57</v>
      </c>
      <c r="C1193" s="5" t="s">
        <v>8245</v>
      </c>
      <c r="D1193" s="11">
        <v>19</v>
      </c>
      <c r="E1193" s="5" t="s">
        <v>8307</v>
      </c>
      <c r="F1193" s="5" t="s">
        <v>8308</v>
      </c>
      <c r="G1193" s="5" t="s">
        <v>576</v>
      </c>
      <c r="H1193" s="5" t="s">
        <v>36</v>
      </c>
      <c r="I1193" s="5" t="s">
        <v>5253</v>
      </c>
      <c r="J1193" s="5" t="s">
        <v>5702</v>
      </c>
      <c r="K1193" s="5" t="s">
        <v>5997</v>
      </c>
      <c r="L1193" s="11">
        <v>1</v>
      </c>
      <c r="M1193" s="5" t="s">
        <v>156</v>
      </c>
    </row>
    <row r="1194" spans="2:13" ht="37.5" customHeight="1" x14ac:dyDescent="0.35">
      <c r="B1194" s="12">
        <v>57</v>
      </c>
      <c r="C1194" s="7" t="s">
        <v>8245</v>
      </c>
      <c r="D1194" s="12">
        <v>20</v>
      </c>
      <c r="E1194" s="7" t="s">
        <v>8309</v>
      </c>
      <c r="F1194" s="7" t="s">
        <v>8310</v>
      </c>
      <c r="G1194" s="7" t="s">
        <v>8311</v>
      </c>
      <c r="H1194" s="7" t="s">
        <v>1521</v>
      </c>
      <c r="I1194" s="7" t="s">
        <v>5225</v>
      </c>
      <c r="J1194" s="7" t="s">
        <v>5702</v>
      </c>
      <c r="K1194" s="7" t="s">
        <v>8312</v>
      </c>
      <c r="L1194" s="12">
        <v>2</v>
      </c>
      <c r="M1194" s="7" t="s">
        <v>156</v>
      </c>
    </row>
    <row r="1195" spans="2:13" ht="37.5" customHeight="1" x14ac:dyDescent="0.35">
      <c r="B1195" s="11">
        <v>57</v>
      </c>
      <c r="C1195" s="5" t="s">
        <v>8245</v>
      </c>
      <c r="D1195" s="11">
        <v>21</v>
      </c>
      <c r="E1195" s="5" t="s">
        <v>8313</v>
      </c>
      <c r="F1195" s="5" t="s">
        <v>8314</v>
      </c>
      <c r="G1195" s="5" t="s">
        <v>631</v>
      </c>
      <c r="H1195" s="5" t="s">
        <v>306</v>
      </c>
      <c r="I1195" s="5" t="s">
        <v>8315</v>
      </c>
      <c r="J1195" s="5" t="s">
        <v>8316</v>
      </c>
      <c r="K1195" s="5" t="s">
        <v>8317</v>
      </c>
      <c r="L1195" s="11">
        <v>2</v>
      </c>
      <c r="M1195" s="5" t="s">
        <v>156</v>
      </c>
    </row>
    <row r="1196" spans="2:13" ht="37.5" customHeight="1" x14ac:dyDescent="0.35">
      <c r="B1196" s="12">
        <v>57</v>
      </c>
      <c r="C1196" s="7" t="s">
        <v>8245</v>
      </c>
      <c r="D1196" s="12">
        <v>22</v>
      </c>
      <c r="E1196" s="7" t="s">
        <v>8318</v>
      </c>
      <c r="F1196" s="7" t="s">
        <v>8319</v>
      </c>
      <c r="G1196" s="7" t="s">
        <v>631</v>
      </c>
      <c r="H1196" s="7" t="s">
        <v>306</v>
      </c>
      <c r="I1196" s="7" t="s">
        <v>5143</v>
      </c>
      <c r="J1196" s="7" t="s">
        <v>5702</v>
      </c>
      <c r="K1196" s="7" t="s">
        <v>8320</v>
      </c>
      <c r="L1196" s="12">
        <v>2</v>
      </c>
      <c r="M1196" s="7" t="s">
        <v>156</v>
      </c>
    </row>
    <row r="1197" spans="2:13" ht="52.5" customHeight="1" x14ac:dyDescent="0.35">
      <c r="B1197" s="11">
        <v>57</v>
      </c>
      <c r="C1197" s="5" t="s">
        <v>8245</v>
      </c>
      <c r="D1197" s="11">
        <v>23</v>
      </c>
      <c r="E1197" s="5" t="s">
        <v>8321</v>
      </c>
      <c r="F1197" s="5" t="s">
        <v>8322</v>
      </c>
      <c r="G1197" s="5" t="s">
        <v>497</v>
      </c>
      <c r="H1197" s="5" t="s">
        <v>8323</v>
      </c>
      <c r="I1197" s="5" t="s">
        <v>8324</v>
      </c>
      <c r="J1197" s="5" t="s">
        <v>8325</v>
      </c>
      <c r="K1197" s="5" t="s">
        <v>8326</v>
      </c>
      <c r="L1197" s="11">
        <v>3</v>
      </c>
      <c r="M1197" s="5" t="s">
        <v>156</v>
      </c>
    </row>
    <row r="1198" spans="2:13" ht="37.5" customHeight="1" x14ac:dyDescent="0.35">
      <c r="B1198" s="12">
        <v>57</v>
      </c>
      <c r="C1198" s="7" t="s">
        <v>8245</v>
      </c>
      <c r="D1198" s="12">
        <v>24</v>
      </c>
      <c r="E1198" s="7" t="s">
        <v>8327</v>
      </c>
      <c r="F1198" s="7" t="s">
        <v>8328</v>
      </c>
      <c r="G1198" s="7" t="s">
        <v>573</v>
      </c>
      <c r="H1198" s="7" t="s">
        <v>37</v>
      </c>
      <c r="I1198" s="7" t="s">
        <v>49</v>
      </c>
      <c r="J1198" s="7" t="s">
        <v>8329</v>
      </c>
      <c r="K1198" s="7" t="s">
        <v>8330</v>
      </c>
      <c r="L1198" s="12">
        <v>1</v>
      </c>
      <c r="M1198" s="7" t="s">
        <v>156</v>
      </c>
    </row>
    <row r="1199" spans="2:13" ht="21.75" customHeight="1" x14ac:dyDescent="0.35">
      <c r="B1199" s="11">
        <v>57</v>
      </c>
      <c r="C1199" s="5" t="s">
        <v>8245</v>
      </c>
      <c r="D1199" s="11">
        <v>25</v>
      </c>
      <c r="E1199" s="5" t="s">
        <v>8331</v>
      </c>
      <c r="F1199" s="5" t="s">
        <v>8332</v>
      </c>
      <c r="G1199" s="5" t="s">
        <v>402</v>
      </c>
      <c r="H1199" s="5" t="s">
        <v>37</v>
      </c>
      <c r="I1199" s="5" t="s">
        <v>8333</v>
      </c>
      <c r="J1199" s="5" t="s">
        <v>8334</v>
      </c>
      <c r="K1199" s="5" t="s">
        <v>8335</v>
      </c>
      <c r="L1199" s="11">
        <v>1</v>
      </c>
      <c r="M1199" s="5" t="s">
        <v>156</v>
      </c>
    </row>
    <row r="1200" spans="2:13" ht="37.5" customHeight="1" x14ac:dyDescent="0.35">
      <c r="B1200" s="12">
        <v>57</v>
      </c>
      <c r="C1200" s="7" t="s">
        <v>8245</v>
      </c>
      <c r="D1200" s="12">
        <v>26</v>
      </c>
      <c r="E1200" s="7" t="s">
        <v>8336</v>
      </c>
      <c r="F1200" s="7" t="s">
        <v>8337</v>
      </c>
      <c r="G1200" s="7" t="s">
        <v>880</v>
      </c>
      <c r="H1200" s="7" t="s">
        <v>36</v>
      </c>
      <c r="I1200" s="7" t="s">
        <v>48</v>
      </c>
      <c r="J1200" s="7" t="s">
        <v>177</v>
      </c>
      <c r="K1200" s="7" t="s">
        <v>4570</v>
      </c>
      <c r="L1200" s="12">
        <v>1</v>
      </c>
      <c r="M1200" s="7" t="s">
        <v>156</v>
      </c>
    </row>
    <row r="1201" spans="2:13" ht="37.5" customHeight="1" x14ac:dyDescent="0.35">
      <c r="B1201" s="11">
        <v>57</v>
      </c>
      <c r="C1201" s="5" t="s">
        <v>8245</v>
      </c>
      <c r="D1201" s="11">
        <v>27</v>
      </c>
      <c r="E1201" s="5" t="s">
        <v>8338</v>
      </c>
      <c r="F1201" s="5" t="s">
        <v>8339</v>
      </c>
      <c r="G1201" s="5" t="s">
        <v>566</v>
      </c>
      <c r="H1201" s="5" t="s">
        <v>36</v>
      </c>
      <c r="I1201" s="5" t="s">
        <v>48</v>
      </c>
      <c r="J1201" s="5" t="s">
        <v>5702</v>
      </c>
      <c r="K1201" s="5" t="s">
        <v>5722</v>
      </c>
      <c r="L1201" s="11">
        <v>1</v>
      </c>
      <c r="M1201" s="5" t="s">
        <v>156</v>
      </c>
    </row>
    <row r="1202" spans="2:13" ht="37.5" customHeight="1" x14ac:dyDescent="0.35">
      <c r="B1202" s="12">
        <v>57</v>
      </c>
      <c r="C1202" s="7" t="s">
        <v>8245</v>
      </c>
      <c r="D1202" s="12">
        <v>28</v>
      </c>
      <c r="E1202" s="7" t="s">
        <v>8340</v>
      </c>
      <c r="F1202" s="7" t="s">
        <v>8341</v>
      </c>
      <c r="G1202" s="7" t="s">
        <v>678</v>
      </c>
      <c r="H1202" s="7" t="s">
        <v>36</v>
      </c>
      <c r="I1202" s="7" t="s">
        <v>48</v>
      </c>
      <c r="J1202" s="7" t="s">
        <v>5702</v>
      </c>
      <c r="K1202" s="7" t="s">
        <v>5722</v>
      </c>
      <c r="L1202" s="12">
        <v>1</v>
      </c>
      <c r="M1202" s="7" t="s">
        <v>156</v>
      </c>
    </row>
    <row r="1203" spans="2:13" ht="37.5" customHeight="1" x14ac:dyDescent="0.35">
      <c r="B1203" s="11">
        <v>57</v>
      </c>
      <c r="C1203" s="5" t="s">
        <v>8245</v>
      </c>
      <c r="D1203" s="11">
        <v>29</v>
      </c>
      <c r="E1203" s="5" t="s">
        <v>8342</v>
      </c>
      <c r="F1203" s="5" t="s">
        <v>8343</v>
      </c>
      <c r="G1203" s="5" t="s">
        <v>8344</v>
      </c>
      <c r="H1203" s="5" t="s">
        <v>36</v>
      </c>
      <c r="I1203" s="5" t="s">
        <v>48</v>
      </c>
      <c r="J1203" s="5" t="s">
        <v>5702</v>
      </c>
      <c r="K1203" s="5" t="s">
        <v>5722</v>
      </c>
      <c r="L1203" s="11">
        <v>1</v>
      </c>
      <c r="M1203" s="5" t="s">
        <v>156</v>
      </c>
    </row>
    <row r="1204" spans="2:13" ht="21.75" customHeight="1" x14ac:dyDescent="0.35">
      <c r="B1204" s="12">
        <v>57</v>
      </c>
      <c r="C1204" s="7" t="s">
        <v>8245</v>
      </c>
      <c r="D1204" s="12">
        <v>30</v>
      </c>
      <c r="E1204" s="7" t="s">
        <v>8345</v>
      </c>
      <c r="F1204" s="7" t="s">
        <v>8346</v>
      </c>
      <c r="G1204" s="7" t="s">
        <v>645</v>
      </c>
      <c r="H1204" s="7" t="s">
        <v>36</v>
      </c>
      <c r="I1204" s="7" t="s">
        <v>48</v>
      </c>
      <c r="J1204" s="7" t="s">
        <v>5702</v>
      </c>
      <c r="K1204" s="7" t="s">
        <v>5722</v>
      </c>
      <c r="L1204" s="12">
        <v>1</v>
      </c>
      <c r="M1204" s="7" t="s">
        <v>156</v>
      </c>
    </row>
    <row r="1205" spans="2:13" ht="37.5" customHeight="1" x14ac:dyDescent="0.35">
      <c r="B1205" s="11">
        <v>57</v>
      </c>
      <c r="C1205" s="5" t="s">
        <v>8245</v>
      </c>
      <c r="D1205" s="11">
        <v>31</v>
      </c>
      <c r="E1205" s="5" t="s">
        <v>8347</v>
      </c>
      <c r="F1205" s="5" t="s">
        <v>8348</v>
      </c>
      <c r="G1205" s="5" t="s">
        <v>585</v>
      </c>
      <c r="H1205" s="5" t="s">
        <v>6394</v>
      </c>
      <c r="I1205" s="5" t="s">
        <v>8349</v>
      </c>
      <c r="J1205" s="5" t="s">
        <v>8350</v>
      </c>
      <c r="K1205" s="5" t="s">
        <v>8351</v>
      </c>
      <c r="L1205" s="11">
        <v>2</v>
      </c>
      <c r="M1205" s="5" t="s">
        <v>156</v>
      </c>
    </row>
    <row r="1206" spans="2:13" ht="37.5" customHeight="1" x14ac:dyDescent="0.35">
      <c r="B1206" s="12">
        <v>57</v>
      </c>
      <c r="C1206" s="7" t="s">
        <v>8245</v>
      </c>
      <c r="D1206" s="12">
        <v>32</v>
      </c>
      <c r="E1206" s="7" t="s">
        <v>8352</v>
      </c>
      <c r="F1206" s="7" t="s">
        <v>8353</v>
      </c>
      <c r="G1206" s="7" t="s">
        <v>625</v>
      </c>
      <c r="H1206" s="7" t="s">
        <v>36</v>
      </c>
      <c r="I1206" s="7" t="s">
        <v>8354</v>
      </c>
      <c r="J1206" s="7" t="s">
        <v>5702</v>
      </c>
      <c r="K1206" s="7" t="s">
        <v>8355</v>
      </c>
      <c r="L1206" s="12">
        <v>2</v>
      </c>
      <c r="M1206" s="7" t="s">
        <v>156</v>
      </c>
    </row>
    <row r="1207" spans="2:13" ht="37.5" customHeight="1" x14ac:dyDescent="0.35">
      <c r="B1207" s="11">
        <v>57</v>
      </c>
      <c r="C1207" s="5" t="s">
        <v>8245</v>
      </c>
      <c r="D1207" s="11">
        <v>33</v>
      </c>
      <c r="E1207" s="5" t="s">
        <v>8356</v>
      </c>
      <c r="F1207" s="5" t="s">
        <v>8357</v>
      </c>
      <c r="G1207" s="5" t="s">
        <v>552</v>
      </c>
      <c r="H1207" s="5" t="s">
        <v>36</v>
      </c>
      <c r="I1207" s="5" t="s">
        <v>48</v>
      </c>
      <c r="J1207" s="5" t="s">
        <v>5702</v>
      </c>
      <c r="K1207" s="5" t="s">
        <v>5722</v>
      </c>
      <c r="L1207" s="11">
        <v>1</v>
      </c>
      <c r="M1207" s="5" t="s">
        <v>156</v>
      </c>
    </row>
    <row r="1208" spans="2:13" ht="37.5" customHeight="1" x14ac:dyDescent="0.35">
      <c r="B1208" s="12">
        <v>57</v>
      </c>
      <c r="C1208" s="7" t="s">
        <v>8245</v>
      </c>
      <c r="D1208" s="12">
        <v>34</v>
      </c>
      <c r="E1208" s="7" t="s">
        <v>8358</v>
      </c>
      <c r="F1208" s="7" t="s">
        <v>8359</v>
      </c>
      <c r="G1208" s="7" t="s">
        <v>395</v>
      </c>
      <c r="H1208" s="7" t="s">
        <v>36</v>
      </c>
      <c r="I1208" s="7" t="s">
        <v>48</v>
      </c>
      <c r="J1208" s="7" t="s">
        <v>5702</v>
      </c>
      <c r="K1208" s="7" t="s">
        <v>5722</v>
      </c>
      <c r="L1208" s="12">
        <v>1</v>
      </c>
      <c r="M1208" s="7" t="s">
        <v>156</v>
      </c>
    </row>
    <row r="1209" spans="2:13" ht="21.75" customHeight="1" x14ac:dyDescent="0.35">
      <c r="B1209" s="11">
        <v>57</v>
      </c>
      <c r="C1209" s="5" t="s">
        <v>8245</v>
      </c>
      <c r="D1209" s="11">
        <v>35</v>
      </c>
      <c r="E1209" s="5" t="s">
        <v>8360</v>
      </c>
      <c r="F1209" s="5" t="s">
        <v>8361</v>
      </c>
      <c r="G1209" s="5" t="s">
        <v>1373</v>
      </c>
      <c r="H1209" s="5" t="s">
        <v>36</v>
      </c>
      <c r="I1209" s="5" t="s">
        <v>48</v>
      </c>
      <c r="J1209" s="5" t="s">
        <v>5702</v>
      </c>
      <c r="K1209" s="5" t="s">
        <v>5722</v>
      </c>
      <c r="L1209" s="11">
        <v>1</v>
      </c>
      <c r="M1209" s="5" t="s">
        <v>156</v>
      </c>
    </row>
    <row r="1210" spans="2:13" ht="21.75" customHeight="1" x14ac:dyDescent="0.35">
      <c r="B1210" s="12">
        <v>57</v>
      </c>
      <c r="C1210" s="7" t="s">
        <v>8245</v>
      </c>
      <c r="D1210" s="12">
        <v>36</v>
      </c>
      <c r="E1210" s="7" t="s">
        <v>8362</v>
      </c>
      <c r="F1210" s="7" t="s">
        <v>8363</v>
      </c>
      <c r="G1210" s="7" t="s">
        <v>32</v>
      </c>
      <c r="H1210" s="7" t="s">
        <v>38</v>
      </c>
      <c r="I1210" s="7" t="s">
        <v>268</v>
      </c>
      <c r="J1210" s="7" t="s">
        <v>5702</v>
      </c>
      <c r="K1210" s="7" t="s">
        <v>8364</v>
      </c>
      <c r="L1210" s="12">
        <v>1</v>
      </c>
      <c r="M1210" s="7" t="s">
        <v>156</v>
      </c>
    </row>
    <row r="1211" spans="2:13" ht="37.5" customHeight="1" x14ac:dyDescent="0.35">
      <c r="B1211" s="11">
        <v>57</v>
      </c>
      <c r="C1211" s="5" t="s">
        <v>8245</v>
      </c>
      <c r="D1211" s="11">
        <v>37</v>
      </c>
      <c r="E1211" s="5" t="s">
        <v>8365</v>
      </c>
      <c r="F1211" s="5" t="s">
        <v>8366</v>
      </c>
      <c r="G1211" s="5" t="s">
        <v>1127</v>
      </c>
      <c r="H1211" s="5" t="s">
        <v>36</v>
      </c>
      <c r="I1211" s="5" t="s">
        <v>48</v>
      </c>
      <c r="J1211" s="5" t="s">
        <v>5702</v>
      </c>
      <c r="K1211" s="5" t="s">
        <v>5722</v>
      </c>
      <c r="L1211" s="11">
        <v>1</v>
      </c>
      <c r="M1211" s="5" t="s">
        <v>156</v>
      </c>
    </row>
    <row r="1212" spans="2:13" ht="21.75" customHeight="1" x14ac:dyDescent="0.35">
      <c r="B1212" s="12">
        <v>57</v>
      </c>
      <c r="C1212" s="7" t="s">
        <v>8245</v>
      </c>
      <c r="D1212" s="12">
        <v>38</v>
      </c>
      <c r="E1212" s="7" t="s">
        <v>8367</v>
      </c>
      <c r="F1212" s="7" t="s">
        <v>8368</v>
      </c>
      <c r="G1212" s="7" t="s">
        <v>26</v>
      </c>
      <c r="H1212" s="7" t="s">
        <v>36</v>
      </c>
      <c r="I1212" s="7" t="s">
        <v>48</v>
      </c>
      <c r="J1212" s="7" t="s">
        <v>5702</v>
      </c>
      <c r="K1212" s="7" t="s">
        <v>5722</v>
      </c>
      <c r="L1212" s="12">
        <v>1</v>
      </c>
      <c r="M1212" s="7" t="s">
        <v>156</v>
      </c>
    </row>
    <row r="1213" spans="2:13" ht="37.5" customHeight="1" x14ac:dyDescent="0.35">
      <c r="B1213" s="11">
        <v>57</v>
      </c>
      <c r="C1213" s="5" t="s">
        <v>8245</v>
      </c>
      <c r="D1213" s="11">
        <v>39</v>
      </c>
      <c r="E1213" s="5" t="s">
        <v>8369</v>
      </c>
      <c r="F1213" s="5" t="s">
        <v>8370</v>
      </c>
      <c r="G1213" s="5" t="s">
        <v>959</v>
      </c>
      <c r="H1213" s="5" t="s">
        <v>39</v>
      </c>
      <c r="I1213" s="5" t="s">
        <v>8371</v>
      </c>
      <c r="J1213" s="5" t="s">
        <v>5702</v>
      </c>
      <c r="K1213" s="5" t="s">
        <v>8372</v>
      </c>
      <c r="L1213" s="11">
        <v>1</v>
      </c>
      <c r="M1213" s="5" t="s">
        <v>156</v>
      </c>
    </row>
    <row r="1214" spans="2:13" ht="37.5" customHeight="1" x14ac:dyDescent="0.35">
      <c r="B1214" s="12">
        <v>57</v>
      </c>
      <c r="C1214" s="7" t="s">
        <v>8245</v>
      </c>
      <c r="D1214" s="12">
        <v>40</v>
      </c>
      <c r="E1214" s="7" t="s">
        <v>8373</v>
      </c>
      <c r="F1214" s="7" t="s">
        <v>8374</v>
      </c>
      <c r="G1214" s="7" t="s">
        <v>573</v>
      </c>
      <c r="H1214" s="7" t="s">
        <v>36</v>
      </c>
      <c r="I1214" s="7" t="s">
        <v>48</v>
      </c>
      <c r="J1214" s="7" t="s">
        <v>177</v>
      </c>
      <c r="K1214" s="7" t="s">
        <v>4570</v>
      </c>
      <c r="L1214" s="12">
        <v>1</v>
      </c>
      <c r="M1214" s="7" t="s">
        <v>156</v>
      </c>
    </row>
    <row r="1215" spans="2:13" ht="37.5" customHeight="1" x14ac:dyDescent="0.35">
      <c r="B1215" s="11">
        <v>57</v>
      </c>
      <c r="C1215" s="5" t="s">
        <v>8245</v>
      </c>
      <c r="D1215" s="11">
        <v>41</v>
      </c>
      <c r="E1215" s="5" t="s">
        <v>8375</v>
      </c>
      <c r="F1215" s="5" t="s">
        <v>8376</v>
      </c>
      <c r="G1215" s="5" t="s">
        <v>573</v>
      </c>
      <c r="H1215" s="5" t="s">
        <v>36</v>
      </c>
      <c r="I1215" s="5" t="s">
        <v>48</v>
      </c>
      <c r="J1215" s="5" t="s">
        <v>5702</v>
      </c>
      <c r="K1215" s="5" t="s">
        <v>5722</v>
      </c>
      <c r="L1215" s="11">
        <v>1</v>
      </c>
      <c r="M1215" s="5" t="s">
        <v>156</v>
      </c>
    </row>
    <row r="1216" spans="2:13" ht="37.5" customHeight="1" x14ac:dyDescent="0.35">
      <c r="B1216" s="12">
        <v>57</v>
      </c>
      <c r="C1216" s="7" t="s">
        <v>8245</v>
      </c>
      <c r="D1216" s="12">
        <v>42</v>
      </c>
      <c r="E1216" s="7" t="s">
        <v>8377</v>
      </c>
      <c r="F1216" s="7" t="s">
        <v>8378</v>
      </c>
      <c r="G1216" s="7" t="s">
        <v>778</v>
      </c>
      <c r="H1216" s="7" t="s">
        <v>4752</v>
      </c>
      <c r="I1216" s="7" t="s">
        <v>8379</v>
      </c>
      <c r="J1216" s="7" t="s">
        <v>5702</v>
      </c>
      <c r="K1216" s="7" t="s">
        <v>8380</v>
      </c>
      <c r="L1216" s="12">
        <v>2</v>
      </c>
      <c r="M1216" s="7" t="s">
        <v>156</v>
      </c>
    </row>
    <row r="1217" spans="2:13" ht="37.5" customHeight="1" x14ac:dyDescent="0.35">
      <c r="B1217" s="11">
        <v>57</v>
      </c>
      <c r="C1217" s="5" t="s">
        <v>8245</v>
      </c>
      <c r="D1217" s="11">
        <v>43</v>
      </c>
      <c r="E1217" s="5" t="s">
        <v>8381</v>
      </c>
      <c r="F1217" s="5" t="s">
        <v>8382</v>
      </c>
      <c r="G1217" s="5" t="s">
        <v>742</v>
      </c>
      <c r="H1217" s="5" t="s">
        <v>36</v>
      </c>
      <c r="I1217" s="5" t="s">
        <v>5409</v>
      </c>
      <c r="J1217" s="5" t="s">
        <v>5702</v>
      </c>
      <c r="K1217" s="5" t="s">
        <v>6138</v>
      </c>
      <c r="L1217" s="11">
        <v>1</v>
      </c>
      <c r="M1217" s="5" t="s">
        <v>156</v>
      </c>
    </row>
    <row r="1218" spans="2:13" ht="21.75" customHeight="1" x14ac:dyDescent="0.35">
      <c r="B1218" s="12">
        <v>57</v>
      </c>
      <c r="C1218" s="7" t="s">
        <v>8245</v>
      </c>
      <c r="D1218" s="12">
        <v>44</v>
      </c>
      <c r="E1218" s="7" t="s">
        <v>8383</v>
      </c>
      <c r="F1218" s="7" t="s">
        <v>8384</v>
      </c>
      <c r="G1218" s="7" t="s">
        <v>749</v>
      </c>
      <c r="H1218" s="7" t="s">
        <v>36</v>
      </c>
      <c r="I1218" s="7" t="s">
        <v>48</v>
      </c>
      <c r="J1218" s="7" t="s">
        <v>5702</v>
      </c>
      <c r="K1218" s="7" t="s">
        <v>5722</v>
      </c>
      <c r="L1218" s="12">
        <v>1</v>
      </c>
      <c r="M1218" s="7" t="s">
        <v>156</v>
      </c>
    </row>
    <row r="1219" spans="2:13" ht="37.5" customHeight="1" x14ac:dyDescent="0.35">
      <c r="B1219" s="11">
        <v>57</v>
      </c>
      <c r="C1219" s="5" t="s">
        <v>8245</v>
      </c>
      <c r="D1219" s="11">
        <v>45</v>
      </c>
      <c r="E1219" s="5" t="s">
        <v>8385</v>
      </c>
      <c r="F1219" s="5" t="s">
        <v>8386</v>
      </c>
      <c r="G1219" s="5" t="s">
        <v>212</v>
      </c>
      <c r="H1219" s="5" t="s">
        <v>1521</v>
      </c>
      <c r="I1219" s="5" t="s">
        <v>5959</v>
      </c>
      <c r="J1219" s="5" t="s">
        <v>8387</v>
      </c>
      <c r="K1219" s="5" t="s">
        <v>8388</v>
      </c>
      <c r="L1219" s="11">
        <v>2</v>
      </c>
      <c r="M1219" s="5" t="s">
        <v>156</v>
      </c>
    </row>
    <row r="1220" spans="2:13" ht="21.75" customHeight="1" x14ac:dyDescent="0.35">
      <c r="B1220" s="12">
        <v>57</v>
      </c>
      <c r="C1220" s="7" t="s">
        <v>8245</v>
      </c>
      <c r="D1220" s="12">
        <v>46</v>
      </c>
      <c r="E1220" s="7" t="s">
        <v>8389</v>
      </c>
      <c r="F1220" s="7" t="s">
        <v>8390</v>
      </c>
      <c r="G1220" s="7" t="s">
        <v>1214</v>
      </c>
      <c r="H1220" s="7" t="s">
        <v>36</v>
      </c>
      <c r="I1220" s="7" t="s">
        <v>48</v>
      </c>
      <c r="J1220" s="7" t="s">
        <v>5702</v>
      </c>
      <c r="K1220" s="7" t="s">
        <v>5722</v>
      </c>
      <c r="L1220" s="12">
        <v>1</v>
      </c>
      <c r="M1220" s="7" t="s">
        <v>156</v>
      </c>
    </row>
    <row r="1221" spans="2:13" ht="37.5" customHeight="1" x14ac:dyDescent="0.35">
      <c r="B1221" s="11">
        <v>57</v>
      </c>
      <c r="C1221" s="5" t="s">
        <v>8245</v>
      </c>
      <c r="D1221" s="11">
        <v>47</v>
      </c>
      <c r="E1221" s="5" t="s">
        <v>8391</v>
      </c>
      <c r="F1221" s="5" t="s">
        <v>8392</v>
      </c>
      <c r="G1221" s="5" t="s">
        <v>865</v>
      </c>
      <c r="H1221" s="5" t="s">
        <v>36</v>
      </c>
      <c r="I1221" s="5" t="s">
        <v>48</v>
      </c>
      <c r="J1221" s="5" t="s">
        <v>5702</v>
      </c>
      <c r="K1221" s="5" t="s">
        <v>5722</v>
      </c>
      <c r="L1221" s="11">
        <v>1</v>
      </c>
      <c r="M1221" s="5" t="s">
        <v>156</v>
      </c>
    </row>
    <row r="1222" spans="2:13" ht="21.75" customHeight="1" x14ac:dyDescent="0.35">
      <c r="B1222" s="12">
        <v>57</v>
      </c>
      <c r="C1222" s="7" t="s">
        <v>8245</v>
      </c>
      <c r="D1222" s="12">
        <v>48</v>
      </c>
      <c r="E1222" s="7" t="s">
        <v>8393</v>
      </c>
      <c r="F1222" s="7" t="s">
        <v>8394</v>
      </c>
      <c r="G1222" s="7" t="s">
        <v>6095</v>
      </c>
      <c r="H1222" s="7" t="s">
        <v>36</v>
      </c>
      <c r="I1222" s="7" t="s">
        <v>48</v>
      </c>
      <c r="J1222" s="7" t="s">
        <v>5702</v>
      </c>
      <c r="K1222" s="7" t="s">
        <v>5722</v>
      </c>
      <c r="L1222" s="12">
        <v>1</v>
      </c>
      <c r="M1222" s="7" t="s">
        <v>156</v>
      </c>
    </row>
    <row r="1223" spans="2:13" ht="37.5" customHeight="1" x14ac:dyDescent="0.35">
      <c r="B1223" s="11">
        <v>57</v>
      </c>
      <c r="C1223" s="5" t="s">
        <v>8245</v>
      </c>
      <c r="D1223" s="11">
        <v>49</v>
      </c>
      <c r="E1223" s="5" t="s">
        <v>8395</v>
      </c>
      <c r="F1223" s="5" t="s">
        <v>8396</v>
      </c>
      <c r="G1223" s="5" t="s">
        <v>28</v>
      </c>
      <c r="H1223" s="5" t="s">
        <v>36</v>
      </c>
      <c r="I1223" s="5" t="s">
        <v>48</v>
      </c>
      <c r="J1223" s="5" t="s">
        <v>5702</v>
      </c>
      <c r="K1223" s="5" t="s">
        <v>5722</v>
      </c>
      <c r="L1223" s="11">
        <v>1</v>
      </c>
      <c r="M1223" s="5" t="s">
        <v>156</v>
      </c>
    </row>
    <row r="1224" spans="2:13" ht="21.75" customHeight="1" x14ac:dyDescent="0.35">
      <c r="B1224" s="12">
        <v>57</v>
      </c>
      <c r="C1224" s="7" t="s">
        <v>8245</v>
      </c>
      <c r="D1224" s="12">
        <v>50</v>
      </c>
      <c r="E1224" s="7" t="s">
        <v>8397</v>
      </c>
      <c r="F1224" s="7" t="s">
        <v>8398</v>
      </c>
      <c r="G1224" s="7" t="s">
        <v>402</v>
      </c>
      <c r="H1224" s="7" t="s">
        <v>36</v>
      </c>
      <c r="I1224" s="7" t="s">
        <v>48</v>
      </c>
      <c r="J1224" s="7" t="s">
        <v>5702</v>
      </c>
      <c r="K1224" s="7" t="s">
        <v>5722</v>
      </c>
      <c r="L1224" s="12">
        <v>1</v>
      </c>
      <c r="M1224" s="7" t="s">
        <v>156</v>
      </c>
    </row>
    <row r="1225" spans="2:13" ht="37.5" customHeight="1" x14ac:dyDescent="0.35">
      <c r="B1225" s="11">
        <v>57</v>
      </c>
      <c r="C1225" s="5" t="s">
        <v>8245</v>
      </c>
      <c r="D1225" s="11">
        <v>51</v>
      </c>
      <c r="E1225" s="5" t="s">
        <v>8399</v>
      </c>
      <c r="F1225" s="5" t="s">
        <v>8400</v>
      </c>
      <c r="G1225" s="5" t="s">
        <v>536</v>
      </c>
      <c r="H1225" s="5" t="s">
        <v>36</v>
      </c>
      <c r="I1225" s="5" t="s">
        <v>48</v>
      </c>
      <c r="J1225" s="5" t="s">
        <v>5702</v>
      </c>
      <c r="K1225" s="5" t="s">
        <v>5722</v>
      </c>
      <c r="L1225" s="11">
        <v>1</v>
      </c>
      <c r="M1225" s="5" t="s">
        <v>156</v>
      </c>
    </row>
    <row r="1226" spans="2:13" ht="37.5" customHeight="1" x14ac:dyDescent="0.35">
      <c r="B1226" s="12">
        <v>57</v>
      </c>
      <c r="C1226" s="7" t="s">
        <v>8245</v>
      </c>
      <c r="D1226" s="12">
        <v>52</v>
      </c>
      <c r="E1226" s="7" t="s">
        <v>8401</v>
      </c>
      <c r="F1226" s="7" t="s">
        <v>8402</v>
      </c>
      <c r="G1226" s="7" t="s">
        <v>24</v>
      </c>
      <c r="H1226" s="7" t="s">
        <v>36</v>
      </c>
      <c r="I1226" s="7" t="s">
        <v>48</v>
      </c>
      <c r="J1226" s="7" t="s">
        <v>5702</v>
      </c>
      <c r="K1226" s="7" t="s">
        <v>5722</v>
      </c>
      <c r="L1226" s="12">
        <v>1</v>
      </c>
      <c r="M1226" s="7" t="s">
        <v>156</v>
      </c>
    </row>
    <row r="1227" spans="2:13" ht="37.5" customHeight="1" x14ac:dyDescent="0.35">
      <c r="B1227" s="11">
        <v>57</v>
      </c>
      <c r="C1227" s="5" t="s">
        <v>8245</v>
      </c>
      <c r="D1227" s="11">
        <v>53</v>
      </c>
      <c r="E1227" s="5" t="s">
        <v>8403</v>
      </c>
      <c r="F1227" s="5" t="s">
        <v>8404</v>
      </c>
      <c r="G1227" s="5" t="s">
        <v>24</v>
      </c>
      <c r="H1227" s="5" t="s">
        <v>36</v>
      </c>
      <c r="I1227" s="5" t="s">
        <v>48</v>
      </c>
      <c r="J1227" s="5" t="s">
        <v>177</v>
      </c>
      <c r="K1227" s="5" t="s">
        <v>4570</v>
      </c>
      <c r="L1227" s="11">
        <v>1</v>
      </c>
      <c r="M1227" s="5" t="s">
        <v>156</v>
      </c>
    </row>
    <row r="1228" spans="2:13" ht="21.75" customHeight="1" x14ac:dyDescent="0.35">
      <c r="B1228" s="12">
        <v>57</v>
      </c>
      <c r="C1228" s="7" t="s">
        <v>8245</v>
      </c>
      <c r="D1228" s="12">
        <v>54</v>
      </c>
      <c r="E1228" s="7" t="s">
        <v>8405</v>
      </c>
      <c r="F1228" s="7" t="s">
        <v>8406</v>
      </c>
      <c r="G1228" s="7" t="s">
        <v>3703</v>
      </c>
      <c r="H1228" s="7" t="s">
        <v>36</v>
      </c>
      <c r="I1228" s="7" t="s">
        <v>48</v>
      </c>
      <c r="J1228" s="7" t="s">
        <v>5702</v>
      </c>
      <c r="K1228" s="7" t="s">
        <v>5722</v>
      </c>
      <c r="L1228" s="12">
        <v>1</v>
      </c>
      <c r="M1228" s="7" t="s">
        <v>156</v>
      </c>
    </row>
    <row r="1229" spans="2:13" ht="37.5" customHeight="1" x14ac:dyDescent="0.35">
      <c r="B1229" s="11">
        <v>57</v>
      </c>
      <c r="C1229" s="5" t="s">
        <v>8245</v>
      </c>
      <c r="D1229" s="11">
        <v>55</v>
      </c>
      <c r="E1229" s="5" t="s">
        <v>8407</v>
      </c>
      <c r="F1229" s="5" t="s">
        <v>8408</v>
      </c>
      <c r="G1229" s="5" t="s">
        <v>662</v>
      </c>
      <c r="H1229" s="5" t="s">
        <v>4752</v>
      </c>
      <c r="I1229" s="5" t="s">
        <v>8409</v>
      </c>
      <c r="J1229" s="5" t="s">
        <v>5702</v>
      </c>
      <c r="K1229" s="5" t="s">
        <v>8410</v>
      </c>
      <c r="L1229" s="11">
        <v>2</v>
      </c>
      <c r="M1229" s="5" t="s">
        <v>156</v>
      </c>
    </row>
    <row r="1230" spans="2:13" ht="21.75" customHeight="1" x14ac:dyDescent="0.35">
      <c r="B1230" s="12">
        <v>57</v>
      </c>
      <c r="C1230" s="7" t="s">
        <v>8245</v>
      </c>
      <c r="D1230" s="12">
        <v>56</v>
      </c>
      <c r="E1230" s="7" t="s">
        <v>8411</v>
      </c>
      <c r="F1230" s="7" t="s">
        <v>8412</v>
      </c>
      <c r="G1230" s="7" t="s">
        <v>8413</v>
      </c>
      <c r="H1230" s="7" t="s">
        <v>36</v>
      </c>
      <c r="I1230" s="7" t="s">
        <v>48</v>
      </c>
      <c r="J1230" s="7" t="s">
        <v>5702</v>
      </c>
      <c r="K1230" s="7" t="s">
        <v>5722</v>
      </c>
      <c r="L1230" s="12">
        <v>1</v>
      </c>
      <c r="M1230" s="7" t="s">
        <v>156</v>
      </c>
    </row>
    <row r="1231" spans="2:13" ht="37.5" customHeight="1" x14ac:dyDescent="0.35">
      <c r="B1231" s="11">
        <v>57</v>
      </c>
      <c r="C1231" s="5" t="s">
        <v>8245</v>
      </c>
      <c r="D1231" s="11">
        <v>57</v>
      </c>
      <c r="E1231" s="5" t="s">
        <v>8414</v>
      </c>
      <c r="F1231" s="5" t="s">
        <v>8415</v>
      </c>
      <c r="G1231" s="5" t="s">
        <v>3328</v>
      </c>
      <c r="H1231" s="5" t="s">
        <v>36</v>
      </c>
      <c r="I1231" s="5" t="s">
        <v>48</v>
      </c>
      <c r="J1231" s="5" t="s">
        <v>177</v>
      </c>
      <c r="K1231" s="5" t="s">
        <v>4570</v>
      </c>
      <c r="L1231" s="11">
        <v>1</v>
      </c>
      <c r="M1231" s="5" t="s">
        <v>156</v>
      </c>
    </row>
    <row r="1232" spans="2:13" ht="21.75" customHeight="1" x14ac:dyDescent="0.35">
      <c r="B1232" s="12">
        <v>57</v>
      </c>
      <c r="C1232" s="7" t="s">
        <v>8245</v>
      </c>
      <c r="D1232" s="12">
        <v>58</v>
      </c>
      <c r="E1232" s="7" t="s">
        <v>8416</v>
      </c>
      <c r="F1232" s="7" t="s">
        <v>8417</v>
      </c>
      <c r="G1232" s="7" t="s">
        <v>950</v>
      </c>
      <c r="H1232" s="7" t="s">
        <v>36</v>
      </c>
      <c r="I1232" s="7" t="s">
        <v>48</v>
      </c>
      <c r="J1232" s="7" t="s">
        <v>5702</v>
      </c>
      <c r="K1232" s="7" t="s">
        <v>5722</v>
      </c>
      <c r="L1232" s="12">
        <v>1</v>
      </c>
      <c r="M1232" s="7" t="s">
        <v>156</v>
      </c>
    </row>
    <row r="1233" spans="2:13" ht="37.5" customHeight="1" x14ac:dyDescent="0.35">
      <c r="B1233" s="11">
        <v>57</v>
      </c>
      <c r="C1233" s="5" t="s">
        <v>8245</v>
      </c>
      <c r="D1233" s="11">
        <v>59</v>
      </c>
      <c r="E1233" s="5" t="s">
        <v>8418</v>
      </c>
      <c r="F1233" s="5" t="s">
        <v>8419</v>
      </c>
      <c r="G1233" s="5" t="s">
        <v>825</v>
      </c>
      <c r="H1233" s="5" t="s">
        <v>38</v>
      </c>
      <c r="I1233" s="5" t="s">
        <v>268</v>
      </c>
      <c r="J1233" s="5" t="s">
        <v>5702</v>
      </c>
      <c r="K1233" s="5" t="s">
        <v>8364</v>
      </c>
      <c r="L1233" s="11">
        <v>1</v>
      </c>
      <c r="M1233" s="5" t="s">
        <v>156</v>
      </c>
    </row>
    <row r="1234" spans="2:13" ht="21.75" customHeight="1" x14ac:dyDescent="0.35">
      <c r="B1234" s="12">
        <v>57</v>
      </c>
      <c r="C1234" s="7" t="s">
        <v>8245</v>
      </c>
      <c r="D1234" s="12">
        <v>60</v>
      </c>
      <c r="E1234" s="7" t="s">
        <v>8420</v>
      </c>
      <c r="F1234" s="7" t="s">
        <v>8421</v>
      </c>
      <c r="G1234" s="7" t="s">
        <v>1713</v>
      </c>
      <c r="H1234" s="7" t="s">
        <v>36</v>
      </c>
      <c r="I1234" s="7" t="s">
        <v>48</v>
      </c>
      <c r="J1234" s="7" t="s">
        <v>5702</v>
      </c>
      <c r="K1234" s="7" t="s">
        <v>5722</v>
      </c>
      <c r="L1234" s="12">
        <v>1</v>
      </c>
      <c r="M1234" s="7" t="s">
        <v>156</v>
      </c>
    </row>
    <row r="1235" spans="2:13" ht="37.5" customHeight="1" x14ac:dyDescent="0.35">
      <c r="B1235" s="11">
        <v>57</v>
      </c>
      <c r="C1235" s="5" t="s">
        <v>8245</v>
      </c>
      <c r="D1235" s="11">
        <v>61</v>
      </c>
      <c r="E1235" s="5" t="s">
        <v>8422</v>
      </c>
      <c r="F1235" s="5" t="s">
        <v>8423</v>
      </c>
      <c r="G1235" s="5" t="s">
        <v>31</v>
      </c>
      <c r="H1235" s="5" t="s">
        <v>36</v>
      </c>
      <c r="I1235" s="5" t="s">
        <v>48</v>
      </c>
      <c r="J1235" s="5" t="s">
        <v>5702</v>
      </c>
      <c r="K1235" s="5" t="s">
        <v>5722</v>
      </c>
      <c r="L1235" s="11">
        <v>1</v>
      </c>
      <c r="M1235" s="5" t="s">
        <v>156</v>
      </c>
    </row>
    <row r="1236" spans="2:13" ht="21.75" customHeight="1" x14ac:dyDescent="0.35">
      <c r="B1236" s="12">
        <v>57</v>
      </c>
      <c r="C1236" s="7" t="s">
        <v>8245</v>
      </c>
      <c r="D1236" s="12">
        <v>62</v>
      </c>
      <c r="E1236" s="7" t="s">
        <v>8424</v>
      </c>
      <c r="F1236" s="7" t="s">
        <v>8425</v>
      </c>
      <c r="G1236" s="7" t="s">
        <v>862</v>
      </c>
      <c r="H1236" s="7" t="s">
        <v>36</v>
      </c>
      <c r="I1236" s="7" t="s">
        <v>48</v>
      </c>
      <c r="J1236" s="7" t="s">
        <v>5702</v>
      </c>
      <c r="K1236" s="7" t="s">
        <v>5722</v>
      </c>
      <c r="L1236" s="12">
        <v>1</v>
      </c>
      <c r="M1236" s="7" t="s">
        <v>156</v>
      </c>
    </row>
    <row r="1237" spans="2:13" ht="21.75" customHeight="1" x14ac:dyDescent="0.35">
      <c r="B1237" s="11">
        <v>57</v>
      </c>
      <c r="C1237" s="5" t="s">
        <v>8245</v>
      </c>
      <c r="D1237" s="11">
        <v>63</v>
      </c>
      <c r="E1237" s="5" t="s">
        <v>8426</v>
      </c>
      <c r="F1237" s="5" t="s">
        <v>8427</v>
      </c>
      <c r="G1237" s="5" t="s">
        <v>8428</v>
      </c>
      <c r="H1237" s="5" t="s">
        <v>36</v>
      </c>
      <c r="I1237" s="5" t="s">
        <v>48</v>
      </c>
      <c r="J1237" s="5" t="s">
        <v>5702</v>
      </c>
      <c r="K1237" s="5" t="s">
        <v>5722</v>
      </c>
      <c r="L1237" s="11">
        <v>1</v>
      </c>
      <c r="M1237" s="5" t="s">
        <v>156</v>
      </c>
    </row>
    <row r="1238" spans="2:13" ht="21.75" customHeight="1" x14ac:dyDescent="0.35">
      <c r="B1238" s="12">
        <v>57</v>
      </c>
      <c r="C1238" s="7" t="s">
        <v>8245</v>
      </c>
      <c r="D1238" s="12">
        <v>64</v>
      </c>
      <c r="E1238" s="7" t="s">
        <v>8429</v>
      </c>
      <c r="F1238" s="7" t="s">
        <v>8430</v>
      </c>
      <c r="G1238" s="7" t="s">
        <v>27</v>
      </c>
      <c r="H1238" s="7" t="s">
        <v>36</v>
      </c>
      <c r="I1238" s="7" t="s">
        <v>5409</v>
      </c>
      <c r="J1238" s="7" t="s">
        <v>5702</v>
      </c>
      <c r="K1238" s="7" t="s">
        <v>6138</v>
      </c>
      <c r="L1238" s="12">
        <v>1</v>
      </c>
      <c r="M1238" s="7" t="s">
        <v>156</v>
      </c>
    </row>
    <row r="1239" spans="2:13" ht="21.75" customHeight="1" x14ac:dyDescent="0.35">
      <c r="B1239" s="11">
        <v>57</v>
      </c>
      <c r="C1239" s="5" t="s">
        <v>8245</v>
      </c>
      <c r="D1239" s="11">
        <v>65</v>
      </c>
      <c r="E1239" s="5" t="s">
        <v>8431</v>
      </c>
      <c r="F1239" s="5" t="s">
        <v>8432</v>
      </c>
      <c r="G1239" s="5" t="s">
        <v>794</v>
      </c>
      <c r="H1239" s="5" t="s">
        <v>39</v>
      </c>
      <c r="I1239" s="5" t="s">
        <v>57</v>
      </c>
      <c r="J1239" s="5" t="s">
        <v>8433</v>
      </c>
      <c r="K1239" s="5" t="s">
        <v>8434</v>
      </c>
      <c r="L1239" s="11">
        <v>1</v>
      </c>
      <c r="M1239" s="5" t="s">
        <v>156</v>
      </c>
    </row>
    <row r="1240" spans="2:13" ht="21.75" customHeight="1" x14ac:dyDescent="0.35">
      <c r="B1240" s="12">
        <v>57</v>
      </c>
      <c r="C1240" s="7" t="s">
        <v>8245</v>
      </c>
      <c r="D1240" s="12">
        <v>66</v>
      </c>
      <c r="E1240" s="7" t="s">
        <v>8435</v>
      </c>
      <c r="F1240" s="7" t="s">
        <v>8436</v>
      </c>
      <c r="G1240" s="7" t="s">
        <v>1244</v>
      </c>
      <c r="H1240" s="7" t="s">
        <v>42</v>
      </c>
      <c r="I1240" s="7" t="s">
        <v>268</v>
      </c>
      <c r="J1240" s="7" t="s">
        <v>8437</v>
      </c>
      <c r="K1240" s="7" t="s">
        <v>8438</v>
      </c>
      <c r="L1240" s="12">
        <v>1</v>
      </c>
      <c r="M1240" s="7" t="s">
        <v>156</v>
      </c>
    </row>
    <row r="1241" spans="2:13" ht="37.5" customHeight="1" x14ac:dyDescent="0.35">
      <c r="B1241" s="11">
        <v>57</v>
      </c>
      <c r="C1241" s="5" t="s">
        <v>8245</v>
      </c>
      <c r="D1241" s="11">
        <v>67</v>
      </c>
      <c r="E1241" s="5" t="s">
        <v>8439</v>
      </c>
      <c r="F1241" s="5" t="s">
        <v>8440</v>
      </c>
      <c r="G1241" s="5" t="s">
        <v>825</v>
      </c>
      <c r="H1241" s="5" t="s">
        <v>36</v>
      </c>
      <c r="I1241" s="5" t="s">
        <v>48</v>
      </c>
      <c r="J1241" s="5" t="s">
        <v>177</v>
      </c>
      <c r="K1241" s="5" t="s">
        <v>4570</v>
      </c>
      <c r="L1241" s="11">
        <v>1</v>
      </c>
      <c r="M1241" s="5" t="s">
        <v>156</v>
      </c>
    </row>
    <row r="1242" spans="2:13" ht="37.5" customHeight="1" x14ac:dyDescent="0.35">
      <c r="B1242" s="12">
        <v>57</v>
      </c>
      <c r="C1242" s="7" t="s">
        <v>8245</v>
      </c>
      <c r="D1242" s="12">
        <v>68</v>
      </c>
      <c r="E1242" s="7" t="s">
        <v>8441</v>
      </c>
      <c r="F1242" s="7" t="s">
        <v>8442</v>
      </c>
      <c r="G1242" s="7" t="s">
        <v>206</v>
      </c>
      <c r="H1242" s="7" t="s">
        <v>36</v>
      </c>
      <c r="I1242" s="7" t="s">
        <v>48</v>
      </c>
      <c r="J1242" s="7" t="s">
        <v>5702</v>
      </c>
      <c r="K1242" s="7" t="s">
        <v>5722</v>
      </c>
      <c r="L1242" s="12">
        <v>1</v>
      </c>
      <c r="M1242" s="7" t="s">
        <v>156</v>
      </c>
    </row>
    <row r="1243" spans="2:13" ht="21.75" customHeight="1" x14ac:dyDescent="0.35">
      <c r="B1243" s="11">
        <v>57</v>
      </c>
      <c r="C1243" s="5" t="s">
        <v>8245</v>
      </c>
      <c r="D1243" s="11">
        <v>69</v>
      </c>
      <c r="E1243" s="5" t="s">
        <v>8443</v>
      </c>
      <c r="F1243" s="5" t="s">
        <v>8444</v>
      </c>
      <c r="G1243" s="5" t="s">
        <v>800</v>
      </c>
      <c r="H1243" s="5" t="s">
        <v>36</v>
      </c>
      <c r="I1243" s="5" t="s">
        <v>5409</v>
      </c>
      <c r="J1243" s="5" t="s">
        <v>5702</v>
      </c>
      <c r="K1243" s="5" t="s">
        <v>6138</v>
      </c>
      <c r="L1243" s="11">
        <v>1</v>
      </c>
      <c r="M1243" s="5" t="s">
        <v>156</v>
      </c>
    </row>
    <row r="1244" spans="2:13" ht="37.5" customHeight="1" x14ac:dyDescent="0.35">
      <c r="B1244" s="12">
        <v>57</v>
      </c>
      <c r="C1244" s="7" t="s">
        <v>8245</v>
      </c>
      <c r="D1244" s="12">
        <v>70</v>
      </c>
      <c r="E1244" s="7" t="s">
        <v>8445</v>
      </c>
      <c r="F1244" s="7" t="s">
        <v>8446</v>
      </c>
      <c r="G1244" s="7" t="s">
        <v>733</v>
      </c>
      <c r="H1244" s="7" t="s">
        <v>36</v>
      </c>
      <c r="I1244" s="7" t="s">
        <v>48</v>
      </c>
      <c r="J1244" s="7" t="s">
        <v>5702</v>
      </c>
      <c r="K1244" s="7" t="s">
        <v>5722</v>
      </c>
      <c r="L1244" s="12">
        <v>1</v>
      </c>
      <c r="M1244" s="7" t="s">
        <v>156</v>
      </c>
    </row>
    <row r="1245" spans="2:13" ht="21.75" customHeight="1" x14ac:dyDescent="0.35">
      <c r="B1245" s="11">
        <v>57</v>
      </c>
      <c r="C1245" s="5" t="s">
        <v>8245</v>
      </c>
      <c r="D1245" s="11">
        <v>71</v>
      </c>
      <c r="E1245" s="5" t="s">
        <v>8447</v>
      </c>
      <c r="F1245" s="5" t="s">
        <v>8448</v>
      </c>
      <c r="G1245" s="5" t="s">
        <v>755</v>
      </c>
      <c r="H1245" s="5" t="s">
        <v>36</v>
      </c>
      <c r="I1245" s="5" t="s">
        <v>48</v>
      </c>
      <c r="J1245" s="5" t="s">
        <v>5702</v>
      </c>
      <c r="K1245" s="5" t="s">
        <v>5722</v>
      </c>
      <c r="L1245" s="11">
        <v>1</v>
      </c>
      <c r="M1245" s="5" t="s">
        <v>156</v>
      </c>
    </row>
    <row r="1246" spans="2:13" ht="21.75" customHeight="1" x14ac:dyDescent="0.35">
      <c r="B1246" s="12">
        <v>57</v>
      </c>
      <c r="C1246" s="7" t="s">
        <v>8245</v>
      </c>
      <c r="D1246" s="12">
        <v>72</v>
      </c>
      <c r="E1246" s="7" t="s">
        <v>8449</v>
      </c>
      <c r="F1246" s="7" t="s">
        <v>8450</v>
      </c>
      <c r="G1246" s="7" t="s">
        <v>2229</v>
      </c>
      <c r="H1246" s="7" t="s">
        <v>36</v>
      </c>
      <c r="I1246" s="7" t="s">
        <v>48</v>
      </c>
      <c r="J1246" s="7" t="s">
        <v>5702</v>
      </c>
      <c r="K1246" s="7" t="s">
        <v>5722</v>
      </c>
      <c r="L1246" s="12">
        <v>1</v>
      </c>
      <c r="M1246" s="7" t="s">
        <v>156</v>
      </c>
    </row>
    <row r="1247" spans="2:13" ht="37.5" customHeight="1" x14ac:dyDescent="0.35">
      <c r="B1247" s="11">
        <v>57</v>
      </c>
      <c r="C1247" s="5" t="s">
        <v>8245</v>
      </c>
      <c r="D1247" s="11">
        <v>73</v>
      </c>
      <c r="E1247" s="5" t="s">
        <v>8451</v>
      </c>
      <c r="F1247" s="5" t="s">
        <v>8452</v>
      </c>
      <c r="G1247" s="5" t="s">
        <v>2261</v>
      </c>
      <c r="H1247" s="5" t="s">
        <v>6394</v>
      </c>
      <c r="I1247" s="5" t="s">
        <v>6922</v>
      </c>
      <c r="J1247" s="5" t="s">
        <v>8350</v>
      </c>
      <c r="K1247" s="5" t="s">
        <v>8453</v>
      </c>
      <c r="L1247" s="11">
        <v>2</v>
      </c>
      <c r="M1247" s="5" t="s">
        <v>156</v>
      </c>
    </row>
    <row r="1248" spans="2:13" ht="21.75" customHeight="1" x14ac:dyDescent="0.35">
      <c r="B1248" s="12">
        <v>57</v>
      </c>
      <c r="C1248" s="7" t="s">
        <v>8245</v>
      </c>
      <c r="D1248" s="12">
        <v>74</v>
      </c>
      <c r="E1248" s="7" t="s">
        <v>8454</v>
      </c>
      <c r="F1248" s="7" t="s">
        <v>8455</v>
      </c>
      <c r="G1248" s="7" t="s">
        <v>541</v>
      </c>
      <c r="H1248" s="7" t="s">
        <v>36</v>
      </c>
      <c r="I1248" s="7" t="s">
        <v>48</v>
      </c>
      <c r="J1248" s="7" t="s">
        <v>5702</v>
      </c>
      <c r="K1248" s="7" t="s">
        <v>5722</v>
      </c>
      <c r="L1248" s="12">
        <v>1</v>
      </c>
      <c r="M1248" s="7" t="s">
        <v>156</v>
      </c>
    </row>
    <row r="1249" spans="2:13" ht="37.5" customHeight="1" x14ac:dyDescent="0.35">
      <c r="B1249" s="11">
        <v>57</v>
      </c>
      <c r="C1249" s="5" t="s">
        <v>8245</v>
      </c>
      <c r="D1249" s="11">
        <v>75</v>
      </c>
      <c r="E1249" s="5" t="s">
        <v>8456</v>
      </c>
      <c r="F1249" s="5" t="s">
        <v>8457</v>
      </c>
      <c r="G1249" s="5" t="s">
        <v>8458</v>
      </c>
      <c r="H1249" s="5" t="s">
        <v>38</v>
      </c>
      <c r="I1249" s="5" t="s">
        <v>268</v>
      </c>
      <c r="J1249" s="5" t="s">
        <v>8459</v>
      </c>
      <c r="K1249" s="5" t="s">
        <v>8460</v>
      </c>
      <c r="L1249" s="11">
        <v>1</v>
      </c>
      <c r="M1249" s="5" t="s">
        <v>156</v>
      </c>
    </row>
    <row r="1250" spans="2:13" ht="37.5" customHeight="1" x14ac:dyDescent="0.35">
      <c r="B1250" s="12">
        <v>57</v>
      </c>
      <c r="C1250" s="7" t="s">
        <v>8245</v>
      </c>
      <c r="D1250" s="12">
        <v>76</v>
      </c>
      <c r="E1250" s="7" t="s">
        <v>8461</v>
      </c>
      <c r="F1250" s="7" t="s">
        <v>8462</v>
      </c>
      <c r="G1250" s="7" t="s">
        <v>185</v>
      </c>
      <c r="H1250" s="7" t="s">
        <v>4662</v>
      </c>
      <c r="I1250" s="7" t="s">
        <v>8463</v>
      </c>
      <c r="J1250" s="7" t="s">
        <v>5702</v>
      </c>
      <c r="K1250" s="7" t="s">
        <v>8464</v>
      </c>
      <c r="L1250" s="12">
        <v>2</v>
      </c>
      <c r="M1250" s="7" t="s">
        <v>156</v>
      </c>
    </row>
    <row r="1251" spans="2:13" ht="37.5" customHeight="1" x14ac:dyDescent="0.35">
      <c r="B1251" s="11">
        <v>57</v>
      </c>
      <c r="C1251" s="5" t="s">
        <v>8245</v>
      </c>
      <c r="D1251" s="11">
        <v>77</v>
      </c>
      <c r="E1251" s="5" t="s">
        <v>8465</v>
      </c>
      <c r="F1251" s="5" t="s">
        <v>8466</v>
      </c>
      <c r="G1251" s="5" t="s">
        <v>185</v>
      </c>
      <c r="H1251" s="5" t="s">
        <v>37</v>
      </c>
      <c r="I1251" s="5" t="s">
        <v>8467</v>
      </c>
      <c r="J1251" s="5" t="s">
        <v>8334</v>
      </c>
      <c r="K1251" s="5" t="s">
        <v>8468</v>
      </c>
      <c r="L1251" s="11">
        <v>1</v>
      </c>
      <c r="M1251" s="5" t="s">
        <v>156</v>
      </c>
    </row>
    <row r="1252" spans="2:13" ht="21.75" customHeight="1" x14ac:dyDescent="0.35">
      <c r="B1252" s="12">
        <v>57</v>
      </c>
      <c r="C1252" s="7" t="s">
        <v>8245</v>
      </c>
      <c r="D1252" s="12">
        <v>78</v>
      </c>
      <c r="E1252" s="7" t="s">
        <v>8469</v>
      </c>
      <c r="F1252" s="7" t="s">
        <v>8470</v>
      </c>
      <c r="G1252" s="7" t="s">
        <v>1617</v>
      </c>
      <c r="H1252" s="7" t="s">
        <v>36</v>
      </c>
      <c r="I1252" s="7" t="s">
        <v>48</v>
      </c>
      <c r="J1252" s="7" t="s">
        <v>5702</v>
      </c>
      <c r="K1252" s="7" t="s">
        <v>5722</v>
      </c>
      <c r="L1252" s="12">
        <v>1</v>
      </c>
      <c r="M1252" s="7" t="s">
        <v>156</v>
      </c>
    </row>
    <row r="1253" spans="2:13" ht="37.5" customHeight="1" x14ac:dyDescent="0.35">
      <c r="B1253" s="11">
        <v>57</v>
      </c>
      <c r="C1253" s="5" t="s">
        <v>8245</v>
      </c>
      <c r="D1253" s="11">
        <v>79</v>
      </c>
      <c r="E1253" s="5" t="s">
        <v>8471</v>
      </c>
      <c r="F1253" s="5" t="s">
        <v>8472</v>
      </c>
      <c r="G1253" s="5" t="s">
        <v>752</v>
      </c>
      <c r="H1253" s="5" t="s">
        <v>39</v>
      </c>
      <c r="I1253" s="5" t="s">
        <v>227</v>
      </c>
      <c r="J1253" s="5" t="s">
        <v>5702</v>
      </c>
      <c r="K1253" s="5" t="s">
        <v>8473</v>
      </c>
      <c r="L1253" s="11">
        <v>1</v>
      </c>
      <c r="M1253" s="5" t="s">
        <v>156</v>
      </c>
    </row>
    <row r="1254" spans="2:13" ht="37.5" customHeight="1" x14ac:dyDescent="0.35">
      <c r="B1254" s="12">
        <v>57</v>
      </c>
      <c r="C1254" s="7" t="s">
        <v>8245</v>
      </c>
      <c r="D1254" s="12">
        <v>80</v>
      </c>
      <c r="E1254" s="7" t="s">
        <v>8474</v>
      </c>
      <c r="F1254" s="7" t="s">
        <v>8475</v>
      </c>
      <c r="G1254" s="7" t="s">
        <v>8476</v>
      </c>
      <c r="H1254" s="7" t="s">
        <v>39</v>
      </c>
      <c r="I1254" s="7" t="s">
        <v>8477</v>
      </c>
      <c r="J1254" s="7" t="s">
        <v>8478</v>
      </c>
      <c r="K1254" s="7" t="s">
        <v>8479</v>
      </c>
      <c r="L1254" s="12">
        <v>1</v>
      </c>
      <c r="M1254" s="7" t="s">
        <v>156</v>
      </c>
    </row>
    <row r="1255" spans="2:13" ht="21.75" customHeight="1" x14ac:dyDescent="0.35">
      <c r="B1255" s="11">
        <v>57</v>
      </c>
      <c r="C1255" s="5" t="s">
        <v>8245</v>
      </c>
      <c r="D1255" s="11">
        <v>81</v>
      </c>
      <c r="E1255" s="5" t="s">
        <v>8480</v>
      </c>
      <c r="F1255" s="5" t="s">
        <v>8481</v>
      </c>
      <c r="G1255" s="5" t="s">
        <v>7670</v>
      </c>
      <c r="H1255" s="5" t="s">
        <v>36</v>
      </c>
      <c r="I1255" s="5" t="s">
        <v>48</v>
      </c>
      <c r="J1255" s="5" t="s">
        <v>8478</v>
      </c>
      <c r="K1255" s="5" t="s">
        <v>8482</v>
      </c>
      <c r="L1255" s="11">
        <v>1</v>
      </c>
      <c r="M1255" s="5" t="s">
        <v>156</v>
      </c>
    </row>
    <row r="1256" spans="2:13" ht="21.75" customHeight="1" x14ac:dyDescent="0.35">
      <c r="B1256" s="12">
        <v>57</v>
      </c>
      <c r="C1256" s="7" t="s">
        <v>8245</v>
      </c>
      <c r="D1256" s="12">
        <v>82</v>
      </c>
      <c r="E1256" s="7" t="s">
        <v>8483</v>
      </c>
      <c r="F1256" s="7" t="s">
        <v>8484</v>
      </c>
      <c r="G1256" s="7" t="s">
        <v>8485</v>
      </c>
      <c r="H1256" s="7" t="s">
        <v>36</v>
      </c>
      <c r="I1256" s="7" t="s">
        <v>48</v>
      </c>
      <c r="J1256" s="7" t="s">
        <v>8478</v>
      </c>
      <c r="K1256" s="7" t="s">
        <v>8482</v>
      </c>
      <c r="L1256" s="12">
        <v>1</v>
      </c>
      <c r="M1256" s="7" t="s">
        <v>156</v>
      </c>
    </row>
    <row r="1257" spans="2:13" ht="37.5" customHeight="1" x14ac:dyDescent="0.35">
      <c r="B1257" s="11">
        <v>57</v>
      </c>
      <c r="C1257" s="5" t="s">
        <v>8245</v>
      </c>
      <c r="D1257" s="11">
        <v>83</v>
      </c>
      <c r="E1257" s="5" t="s">
        <v>8486</v>
      </c>
      <c r="F1257" s="5" t="s">
        <v>8487</v>
      </c>
      <c r="G1257" s="5" t="s">
        <v>4815</v>
      </c>
      <c r="H1257" s="5" t="s">
        <v>36</v>
      </c>
      <c r="I1257" s="5" t="s">
        <v>48</v>
      </c>
      <c r="J1257" s="5" t="s">
        <v>8478</v>
      </c>
      <c r="K1257" s="5" t="s">
        <v>8482</v>
      </c>
      <c r="L1257" s="11">
        <v>1</v>
      </c>
      <c r="M1257" s="5" t="s">
        <v>156</v>
      </c>
    </row>
    <row r="1258" spans="2:13" ht="37.5" customHeight="1" x14ac:dyDescent="0.35">
      <c r="B1258" s="12">
        <v>58</v>
      </c>
      <c r="C1258" s="7" t="s">
        <v>8488</v>
      </c>
      <c r="D1258" s="12">
        <v>1</v>
      </c>
      <c r="E1258" s="7" t="s">
        <v>8489</v>
      </c>
      <c r="F1258" s="7" t="s">
        <v>8490</v>
      </c>
      <c r="G1258" s="7" t="s">
        <v>428</v>
      </c>
      <c r="H1258" s="7" t="s">
        <v>36</v>
      </c>
      <c r="I1258" s="7" t="s">
        <v>8491</v>
      </c>
      <c r="J1258" s="7" t="s">
        <v>177</v>
      </c>
      <c r="K1258" s="7" t="s">
        <v>8492</v>
      </c>
      <c r="L1258" s="12">
        <v>1</v>
      </c>
      <c r="M1258" s="7" t="s">
        <v>156</v>
      </c>
    </row>
    <row r="1259" spans="2:13" ht="37.5" customHeight="1" x14ac:dyDescent="0.35">
      <c r="B1259" s="11">
        <v>58</v>
      </c>
      <c r="C1259" s="5" t="s">
        <v>8488</v>
      </c>
      <c r="D1259" s="11">
        <v>2</v>
      </c>
      <c r="E1259" s="5" t="s">
        <v>8493</v>
      </c>
      <c r="F1259" s="5" t="s">
        <v>8494</v>
      </c>
      <c r="G1259" s="5" t="s">
        <v>1294</v>
      </c>
      <c r="H1259" s="5" t="s">
        <v>36</v>
      </c>
      <c r="I1259" s="5" t="s">
        <v>1885</v>
      </c>
      <c r="J1259" s="5" t="s">
        <v>177</v>
      </c>
      <c r="K1259" s="5" t="s">
        <v>4796</v>
      </c>
      <c r="L1259" s="11">
        <v>1</v>
      </c>
      <c r="M1259" s="5" t="s">
        <v>156</v>
      </c>
    </row>
    <row r="1260" spans="2:13" ht="52.5" customHeight="1" x14ac:dyDescent="0.35">
      <c r="B1260" s="12">
        <v>58</v>
      </c>
      <c r="C1260" s="7" t="s">
        <v>8488</v>
      </c>
      <c r="D1260" s="12">
        <v>3</v>
      </c>
      <c r="E1260" s="7" t="s">
        <v>8495</v>
      </c>
      <c r="F1260" s="7" t="s">
        <v>8496</v>
      </c>
      <c r="G1260" s="7" t="s">
        <v>566</v>
      </c>
      <c r="H1260" s="7" t="s">
        <v>8497</v>
      </c>
      <c r="I1260" s="7" t="s">
        <v>8498</v>
      </c>
      <c r="J1260" s="7" t="s">
        <v>8499</v>
      </c>
      <c r="K1260" s="7" t="s">
        <v>8500</v>
      </c>
      <c r="L1260" s="12">
        <v>3</v>
      </c>
      <c r="M1260" s="7" t="s">
        <v>156</v>
      </c>
    </row>
    <row r="1261" spans="2:13" ht="67.5" customHeight="1" x14ac:dyDescent="0.35">
      <c r="B1261" s="11">
        <v>58</v>
      </c>
      <c r="C1261" s="5" t="s">
        <v>8488</v>
      </c>
      <c r="D1261" s="11">
        <v>4</v>
      </c>
      <c r="E1261" s="5" t="s">
        <v>8501</v>
      </c>
      <c r="F1261" s="5" t="s">
        <v>8502</v>
      </c>
      <c r="G1261" s="5" t="s">
        <v>168</v>
      </c>
      <c r="H1261" s="5" t="s">
        <v>8503</v>
      </c>
      <c r="I1261" s="5" t="s">
        <v>8504</v>
      </c>
      <c r="J1261" s="5" t="s">
        <v>8505</v>
      </c>
      <c r="K1261" s="5" t="s">
        <v>8506</v>
      </c>
      <c r="L1261" s="11">
        <v>4</v>
      </c>
      <c r="M1261" s="5" t="s">
        <v>156</v>
      </c>
    </row>
    <row r="1262" spans="2:13" ht="82.5" customHeight="1" x14ac:dyDescent="0.35">
      <c r="B1262" s="12">
        <v>58</v>
      </c>
      <c r="C1262" s="7" t="s">
        <v>8488</v>
      </c>
      <c r="D1262" s="12">
        <v>5</v>
      </c>
      <c r="E1262" s="7" t="s">
        <v>8507</v>
      </c>
      <c r="F1262" s="7" t="s">
        <v>8508</v>
      </c>
      <c r="G1262" s="7" t="s">
        <v>29</v>
      </c>
      <c r="H1262" s="7" t="s">
        <v>8509</v>
      </c>
      <c r="I1262" s="7" t="s">
        <v>8510</v>
      </c>
      <c r="J1262" s="7" t="s">
        <v>8511</v>
      </c>
      <c r="K1262" s="7" t="s">
        <v>8512</v>
      </c>
      <c r="L1262" s="12">
        <v>5</v>
      </c>
      <c r="M1262" s="7" t="s">
        <v>156</v>
      </c>
    </row>
    <row r="1263" spans="2:13" ht="21.75" customHeight="1" x14ac:dyDescent="0.35">
      <c r="B1263" s="11">
        <v>58</v>
      </c>
      <c r="C1263" s="5" t="s">
        <v>8488</v>
      </c>
      <c r="D1263" s="11">
        <v>6</v>
      </c>
      <c r="E1263" s="5" t="s">
        <v>8513</v>
      </c>
      <c r="F1263" s="5" t="s">
        <v>8514</v>
      </c>
      <c r="G1263" s="5" t="s">
        <v>517</v>
      </c>
      <c r="H1263" s="5" t="s">
        <v>36</v>
      </c>
      <c r="I1263" s="5" t="s">
        <v>1885</v>
      </c>
      <c r="J1263" s="5" t="s">
        <v>177</v>
      </c>
      <c r="K1263" s="5" t="s">
        <v>4796</v>
      </c>
      <c r="L1263" s="11">
        <v>1</v>
      </c>
      <c r="M1263" s="5" t="s">
        <v>156</v>
      </c>
    </row>
    <row r="1264" spans="2:13" ht="37.5" customHeight="1" x14ac:dyDescent="0.35">
      <c r="B1264" s="12">
        <v>58</v>
      </c>
      <c r="C1264" s="7" t="s">
        <v>8488</v>
      </c>
      <c r="D1264" s="12">
        <v>7</v>
      </c>
      <c r="E1264" s="7" t="s">
        <v>8515</v>
      </c>
      <c r="F1264" s="7" t="s">
        <v>8516</v>
      </c>
      <c r="G1264" s="7" t="s">
        <v>365</v>
      </c>
      <c r="H1264" s="7" t="s">
        <v>1521</v>
      </c>
      <c r="I1264" s="7" t="s">
        <v>8517</v>
      </c>
      <c r="J1264" s="7" t="s">
        <v>4650</v>
      </c>
      <c r="K1264" s="7" t="s">
        <v>8518</v>
      </c>
      <c r="L1264" s="12">
        <v>2</v>
      </c>
      <c r="M1264" s="7" t="s">
        <v>156</v>
      </c>
    </row>
    <row r="1265" spans="2:13" ht="37.5" customHeight="1" x14ac:dyDescent="0.35">
      <c r="B1265" s="11">
        <v>58</v>
      </c>
      <c r="C1265" s="5" t="s">
        <v>8488</v>
      </c>
      <c r="D1265" s="11">
        <v>8</v>
      </c>
      <c r="E1265" s="5" t="s">
        <v>8519</v>
      </c>
      <c r="F1265" s="5" t="s">
        <v>8520</v>
      </c>
      <c r="G1265" s="5" t="s">
        <v>176</v>
      </c>
      <c r="H1265" s="5" t="s">
        <v>36</v>
      </c>
      <c r="I1265" s="5" t="s">
        <v>1885</v>
      </c>
      <c r="J1265" s="5" t="s">
        <v>177</v>
      </c>
      <c r="K1265" s="5" t="s">
        <v>4796</v>
      </c>
      <c r="L1265" s="11">
        <v>1</v>
      </c>
      <c r="M1265" s="5" t="s">
        <v>156</v>
      </c>
    </row>
    <row r="1266" spans="2:13" ht="67.5" customHeight="1" x14ac:dyDescent="0.35">
      <c r="B1266" s="12">
        <v>58</v>
      </c>
      <c r="C1266" s="7" t="s">
        <v>8488</v>
      </c>
      <c r="D1266" s="12">
        <v>9</v>
      </c>
      <c r="E1266" s="7" t="s">
        <v>8521</v>
      </c>
      <c r="F1266" s="7" t="s">
        <v>8522</v>
      </c>
      <c r="G1266" s="7" t="s">
        <v>25</v>
      </c>
      <c r="H1266" s="7" t="s">
        <v>8523</v>
      </c>
      <c r="I1266" s="7" t="s">
        <v>8524</v>
      </c>
      <c r="J1266" s="7" t="s">
        <v>8525</v>
      </c>
      <c r="K1266" s="7" t="s">
        <v>8526</v>
      </c>
      <c r="L1266" s="12">
        <v>4</v>
      </c>
      <c r="M1266" s="7" t="s">
        <v>156</v>
      </c>
    </row>
    <row r="1267" spans="2:13" ht="37.5" customHeight="1" x14ac:dyDescent="0.35">
      <c r="B1267" s="11">
        <v>58</v>
      </c>
      <c r="C1267" s="5" t="s">
        <v>8488</v>
      </c>
      <c r="D1267" s="11">
        <v>10</v>
      </c>
      <c r="E1267" s="5" t="s">
        <v>8527</v>
      </c>
      <c r="F1267" s="5" t="s">
        <v>8528</v>
      </c>
      <c r="G1267" s="5" t="s">
        <v>1076</v>
      </c>
      <c r="H1267" s="5" t="s">
        <v>8529</v>
      </c>
      <c r="I1267" s="5" t="s">
        <v>8530</v>
      </c>
      <c r="J1267" s="5" t="s">
        <v>8531</v>
      </c>
      <c r="K1267" s="5" t="s">
        <v>8532</v>
      </c>
      <c r="L1267" s="11">
        <v>2</v>
      </c>
      <c r="M1267" s="5" t="s">
        <v>156</v>
      </c>
    </row>
    <row r="1268" spans="2:13" ht="21.75" customHeight="1" x14ac:dyDescent="0.35">
      <c r="B1268" s="12">
        <v>58</v>
      </c>
      <c r="C1268" s="7" t="s">
        <v>8488</v>
      </c>
      <c r="D1268" s="12">
        <v>11</v>
      </c>
      <c r="E1268" s="7" t="s">
        <v>8533</v>
      </c>
      <c r="F1268" s="7" t="s">
        <v>8534</v>
      </c>
      <c r="G1268" s="7" t="s">
        <v>1373</v>
      </c>
      <c r="H1268" s="7" t="s">
        <v>8535</v>
      </c>
      <c r="I1268" s="7" t="s">
        <v>49</v>
      </c>
      <c r="J1268" s="7" t="s">
        <v>213</v>
      </c>
      <c r="K1268" s="7" t="s">
        <v>8536</v>
      </c>
      <c r="L1268" s="12">
        <v>1</v>
      </c>
      <c r="M1268" s="7" t="s">
        <v>156</v>
      </c>
    </row>
    <row r="1269" spans="2:13" ht="52.5" customHeight="1" x14ac:dyDescent="0.35">
      <c r="B1269" s="11">
        <v>58</v>
      </c>
      <c r="C1269" s="5" t="s">
        <v>8488</v>
      </c>
      <c r="D1269" s="11">
        <v>12</v>
      </c>
      <c r="E1269" s="5" t="s">
        <v>8537</v>
      </c>
      <c r="F1269" s="5" t="s">
        <v>8538</v>
      </c>
      <c r="G1269" s="5" t="s">
        <v>188</v>
      </c>
      <c r="H1269" s="5" t="s">
        <v>8539</v>
      </c>
      <c r="I1269" s="5" t="s">
        <v>8540</v>
      </c>
      <c r="J1269" s="5" t="s">
        <v>8541</v>
      </c>
      <c r="K1269" s="5" t="s">
        <v>8542</v>
      </c>
      <c r="L1269" s="11">
        <v>3</v>
      </c>
      <c r="M1269" s="5" t="s">
        <v>156</v>
      </c>
    </row>
    <row r="1270" spans="2:13" ht="37.5" customHeight="1" x14ac:dyDescent="0.35">
      <c r="B1270" s="12">
        <v>58</v>
      </c>
      <c r="C1270" s="7" t="s">
        <v>8488</v>
      </c>
      <c r="D1270" s="12">
        <v>13</v>
      </c>
      <c r="E1270" s="7" t="s">
        <v>8543</v>
      </c>
      <c r="F1270" s="7" t="s">
        <v>8544</v>
      </c>
      <c r="G1270" s="7" t="s">
        <v>472</v>
      </c>
      <c r="H1270" s="7" t="s">
        <v>37</v>
      </c>
      <c r="I1270" s="7" t="s">
        <v>170</v>
      </c>
      <c r="J1270" s="7" t="s">
        <v>6262</v>
      </c>
      <c r="K1270" s="7" t="s">
        <v>8545</v>
      </c>
      <c r="L1270" s="12">
        <v>1</v>
      </c>
      <c r="M1270" s="7" t="s">
        <v>156</v>
      </c>
    </row>
    <row r="1271" spans="2:13" ht="21.75" customHeight="1" x14ac:dyDescent="0.35">
      <c r="B1271" s="11">
        <v>58</v>
      </c>
      <c r="C1271" s="5" t="s">
        <v>8488</v>
      </c>
      <c r="D1271" s="11">
        <v>14</v>
      </c>
      <c r="E1271" s="5" t="s">
        <v>8546</v>
      </c>
      <c r="F1271" s="5" t="s">
        <v>8547</v>
      </c>
      <c r="G1271" s="5" t="s">
        <v>686</v>
      </c>
      <c r="H1271" s="5" t="s">
        <v>42</v>
      </c>
      <c r="I1271" s="5" t="s">
        <v>49</v>
      </c>
      <c r="J1271" s="5" t="s">
        <v>8548</v>
      </c>
      <c r="K1271" s="5" t="s">
        <v>8549</v>
      </c>
      <c r="L1271" s="11">
        <v>1</v>
      </c>
      <c r="M1271" s="5" t="s">
        <v>156</v>
      </c>
    </row>
    <row r="1272" spans="2:13" ht="37.5" customHeight="1" x14ac:dyDescent="0.35">
      <c r="B1272" s="12">
        <v>58</v>
      </c>
      <c r="C1272" s="7" t="s">
        <v>8488</v>
      </c>
      <c r="D1272" s="12">
        <v>15</v>
      </c>
      <c r="E1272" s="7" t="s">
        <v>8550</v>
      </c>
      <c r="F1272" s="7" t="s">
        <v>8551</v>
      </c>
      <c r="G1272" s="7" t="s">
        <v>576</v>
      </c>
      <c r="H1272" s="7" t="s">
        <v>41</v>
      </c>
      <c r="I1272" s="7" t="s">
        <v>49</v>
      </c>
      <c r="J1272" s="7" t="s">
        <v>213</v>
      </c>
      <c r="K1272" s="7" t="s">
        <v>214</v>
      </c>
      <c r="L1272" s="12">
        <v>1</v>
      </c>
      <c r="M1272" s="7" t="s">
        <v>156</v>
      </c>
    </row>
    <row r="1273" spans="2:13" ht="37.5" customHeight="1" x14ac:dyDescent="0.35">
      <c r="B1273" s="11">
        <v>58</v>
      </c>
      <c r="C1273" s="5" t="s">
        <v>8488</v>
      </c>
      <c r="D1273" s="11">
        <v>16</v>
      </c>
      <c r="E1273" s="5" t="s">
        <v>8552</v>
      </c>
      <c r="F1273" s="5" t="s">
        <v>8553</v>
      </c>
      <c r="G1273" s="5" t="s">
        <v>557</v>
      </c>
      <c r="H1273" s="5" t="s">
        <v>37</v>
      </c>
      <c r="I1273" s="5" t="s">
        <v>170</v>
      </c>
      <c r="J1273" s="5" t="s">
        <v>6262</v>
      </c>
      <c r="K1273" s="5" t="s">
        <v>8545</v>
      </c>
      <c r="L1273" s="11">
        <v>1</v>
      </c>
      <c r="M1273" s="5" t="s">
        <v>156</v>
      </c>
    </row>
    <row r="1274" spans="2:13" ht="37.5" customHeight="1" x14ac:dyDescent="0.35">
      <c r="B1274" s="12">
        <v>58</v>
      </c>
      <c r="C1274" s="7" t="s">
        <v>8488</v>
      </c>
      <c r="D1274" s="12">
        <v>17</v>
      </c>
      <c r="E1274" s="7" t="s">
        <v>8554</v>
      </c>
      <c r="F1274" s="7" t="s">
        <v>8555</v>
      </c>
      <c r="G1274" s="7" t="s">
        <v>733</v>
      </c>
      <c r="H1274" s="7" t="s">
        <v>36</v>
      </c>
      <c r="I1274" s="7" t="s">
        <v>1885</v>
      </c>
      <c r="J1274" s="7" t="s">
        <v>6262</v>
      </c>
      <c r="K1274" s="7" t="s">
        <v>6263</v>
      </c>
      <c r="L1274" s="12">
        <v>1</v>
      </c>
      <c r="M1274" s="7" t="s">
        <v>156</v>
      </c>
    </row>
    <row r="1275" spans="2:13" ht="37.5" customHeight="1" x14ac:dyDescent="0.35">
      <c r="B1275" s="11">
        <v>58</v>
      </c>
      <c r="C1275" s="5" t="s">
        <v>8488</v>
      </c>
      <c r="D1275" s="11">
        <v>18</v>
      </c>
      <c r="E1275" s="5" t="s">
        <v>8556</v>
      </c>
      <c r="F1275" s="5" t="s">
        <v>8557</v>
      </c>
      <c r="G1275" s="5" t="s">
        <v>8558</v>
      </c>
      <c r="H1275" s="5" t="s">
        <v>1521</v>
      </c>
      <c r="I1275" s="5" t="s">
        <v>8559</v>
      </c>
      <c r="J1275" s="5" t="s">
        <v>8560</v>
      </c>
      <c r="K1275" s="5" t="s">
        <v>8561</v>
      </c>
      <c r="L1275" s="11">
        <v>2</v>
      </c>
      <c r="M1275" s="5" t="s">
        <v>156</v>
      </c>
    </row>
    <row r="1276" spans="2:13" ht="37.5" customHeight="1" x14ac:dyDescent="0.35">
      <c r="B1276" s="12">
        <v>58</v>
      </c>
      <c r="C1276" s="7" t="s">
        <v>8488</v>
      </c>
      <c r="D1276" s="12">
        <v>19</v>
      </c>
      <c r="E1276" s="7" t="s">
        <v>8562</v>
      </c>
      <c r="F1276" s="7" t="s">
        <v>8563</v>
      </c>
      <c r="G1276" s="7" t="s">
        <v>573</v>
      </c>
      <c r="H1276" s="7" t="s">
        <v>36</v>
      </c>
      <c r="I1276" s="7" t="s">
        <v>1885</v>
      </c>
      <c r="J1276" s="7" t="s">
        <v>6262</v>
      </c>
      <c r="K1276" s="7" t="s">
        <v>6263</v>
      </c>
      <c r="L1276" s="12">
        <v>1</v>
      </c>
      <c r="M1276" s="7" t="s">
        <v>156</v>
      </c>
    </row>
    <row r="1277" spans="2:13" ht="52.5" customHeight="1" x14ac:dyDescent="0.35">
      <c r="B1277" s="11">
        <v>58</v>
      </c>
      <c r="C1277" s="5" t="s">
        <v>8488</v>
      </c>
      <c r="D1277" s="11">
        <v>20</v>
      </c>
      <c r="E1277" s="5" t="s">
        <v>8564</v>
      </c>
      <c r="F1277" s="5" t="s">
        <v>8565</v>
      </c>
      <c r="G1277" s="5" t="s">
        <v>552</v>
      </c>
      <c r="H1277" s="5" t="s">
        <v>8503</v>
      </c>
      <c r="I1277" s="5" t="s">
        <v>8566</v>
      </c>
      <c r="J1277" s="5" t="s">
        <v>8567</v>
      </c>
      <c r="K1277" s="5" t="s">
        <v>8568</v>
      </c>
      <c r="L1277" s="11">
        <v>3</v>
      </c>
      <c r="M1277" s="5" t="s">
        <v>156</v>
      </c>
    </row>
    <row r="1278" spans="2:13" ht="37.5" customHeight="1" x14ac:dyDescent="0.35">
      <c r="B1278" s="12">
        <v>58</v>
      </c>
      <c r="C1278" s="7" t="s">
        <v>8488</v>
      </c>
      <c r="D1278" s="12">
        <v>21</v>
      </c>
      <c r="E1278" s="7" t="s">
        <v>8569</v>
      </c>
      <c r="F1278" s="7" t="s">
        <v>8570</v>
      </c>
      <c r="G1278" s="7" t="s">
        <v>33</v>
      </c>
      <c r="H1278" s="7" t="s">
        <v>36</v>
      </c>
      <c r="I1278" s="7" t="s">
        <v>1885</v>
      </c>
      <c r="J1278" s="7" t="s">
        <v>6262</v>
      </c>
      <c r="K1278" s="7" t="s">
        <v>6263</v>
      </c>
      <c r="L1278" s="12">
        <v>1</v>
      </c>
      <c r="M1278" s="7" t="s">
        <v>156</v>
      </c>
    </row>
    <row r="1279" spans="2:13" ht="37.5" customHeight="1" x14ac:dyDescent="0.35">
      <c r="B1279" s="11">
        <v>58</v>
      </c>
      <c r="C1279" s="5" t="s">
        <v>8488</v>
      </c>
      <c r="D1279" s="11">
        <v>22</v>
      </c>
      <c r="E1279" s="5" t="s">
        <v>8571</v>
      </c>
      <c r="F1279" s="5" t="s">
        <v>8572</v>
      </c>
      <c r="G1279" s="5" t="s">
        <v>282</v>
      </c>
      <c r="H1279" s="5" t="s">
        <v>5017</v>
      </c>
      <c r="I1279" s="5" t="s">
        <v>8573</v>
      </c>
      <c r="J1279" s="5" t="s">
        <v>8574</v>
      </c>
      <c r="K1279" s="5" t="s">
        <v>8575</v>
      </c>
      <c r="L1279" s="11">
        <v>2</v>
      </c>
      <c r="M1279" s="5" t="s">
        <v>156</v>
      </c>
    </row>
    <row r="1280" spans="2:13" ht="21.75" customHeight="1" x14ac:dyDescent="0.35">
      <c r="B1280" s="12">
        <v>58</v>
      </c>
      <c r="C1280" s="7" t="s">
        <v>8488</v>
      </c>
      <c r="D1280" s="12">
        <v>23</v>
      </c>
      <c r="E1280" s="7" t="s">
        <v>8576</v>
      </c>
      <c r="F1280" s="7" t="s">
        <v>8577</v>
      </c>
      <c r="G1280" s="7" t="s">
        <v>794</v>
      </c>
      <c r="H1280" s="7" t="s">
        <v>37</v>
      </c>
      <c r="I1280" s="7" t="s">
        <v>51</v>
      </c>
      <c r="J1280" s="7" t="s">
        <v>8193</v>
      </c>
      <c r="K1280" s="7" t="s">
        <v>8578</v>
      </c>
      <c r="L1280" s="12">
        <v>1</v>
      </c>
      <c r="M1280" s="7" t="s">
        <v>156</v>
      </c>
    </row>
    <row r="1281" spans="2:13" ht="37.5" customHeight="1" x14ac:dyDescent="0.35">
      <c r="B1281" s="11">
        <v>58</v>
      </c>
      <c r="C1281" s="5" t="s">
        <v>8488</v>
      </c>
      <c r="D1281" s="11">
        <v>24</v>
      </c>
      <c r="E1281" s="5" t="s">
        <v>8579</v>
      </c>
      <c r="F1281" s="5" t="s">
        <v>8580</v>
      </c>
      <c r="G1281" s="5" t="s">
        <v>698</v>
      </c>
      <c r="H1281" s="5" t="s">
        <v>36</v>
      </c>
      <c r="I1281" s="5" t="s">
        <v>1885</v>
      </c>
      <c r="J1281" s="5" t="s">
        <v>6262</v>
      </c>
      <c r="K1281" s="5" t="s">
        <v>6263</v>
      </c>
      <c r="L1281" s="11">
        <v>1</v>
      </c>
      <c r="M1281" s="5" t="s">
        <v>156</v>
      </c>
    </row>
    <row r="1282" spans="2:13" ht="52.5" customHeight="1" x14ac:dyDescent="0.35">
      <c r="B1282" s="12">
        <v>58</v>
      </c>
      <c r="C1282" s="7" t="s">
        <v>8488</v>
      </c>
      <c r="D1282" s="12">
        <v>25</v>
      </c>
      <c r="E1282" s="7" t="s">
        <v>8581</v>
      </c>
      <c r="F1282" s="7" t="s">
        <v>8582</v>
      </c>
      <c r="G1282" s="7" t="s">
        <v>497</v>
      </c>
      <c r="H1282" s="7" t="s">
        <v>8583</v>
      </c>
      <c r="I1282" s="7" t="s">
        <v>8584</v>
      </c>
      <c r="J1282" s="7" t="s">
        <v>8585</v>
      </c>
      <c r="K1282" s="7" t="s">
        <v>8586</v>
      </c>
      <c r="L1282" s="12">
        <v>3</v>
      </c>
      <c r="M1282" s="7" t="s">
        <v>156</v>
      </c>
    </row>
    <row r="1283" spans="2:13" ht="37.5" customHeight="1" x14ac:dyDescent="0.35">
      <c r="B1283" s="11">
        <v>58</v>
      </c>
      <c r="C1283" s="5" t="s">
        <v>8488</v>
      </c>
      <c r="D1283" s="11">
        <v>26</v>
      </c>
      <c r="E1283" s="5" t="s">
        <v>8587</v>
      </c>
      <c r="F1283" s="5" t="s">
        <v>8588</v>
      </c>
      <c r="G1283" s="5" t="s">
        <v>513</v>
      </c>
      <c r="H1283" s="5" t="s">
        <v>8589</v>
      </c>
      <c r="I1283" s="5" t="s">
        <v>5143</v>
      </c>
      <c r="J1283" s="5" t="s">
        <v>171</v>
      </c>
      <c r="K1283" s="5" t="s">
        <v>8590</v>
      </c>
      <c r="L1283" s="11">
        <v>2</v>
      </c>
      <c r="M1283" s="5" t="s">
        <v>156</v>
      </c>
    </row>
    <row r="1284" spans="2:13" ht="37.5" customHeight="1" x14ac:dyDescent="0.35">
      <c r="B1284" s="12">
        <v>58</v>
      </c>
      <c r="C1284" s="7" t="s">
        <v>8488</v>
      </c>
      <c r="D1284" s="12">
        <v>27</v>
      </c>
      <c r="E1284" s="7" t="s">
        <v>8591</v>
      </c>
      <c r="F1284" s="7" t="s">
        <v>8592</v>
      </c>
      <c r="G1284" s="7" t="s">
        <v>192</v>
      </c>
      <c r="H1284" s="7" t="s">
        <v>8593</v>
      </c>
      <c r="I1284" s="7" t="s">
        <v>49</v>
      </c>
      <c r="J1284" s="7" t="s">
        <v>213</v>
      </c>
      <c r="K1284" s="7" t="s">
        <v>8594</v>
      </c>
      <c r="L1284" s="12">
        <v>1</v>
      </c>
      <c r="M1284" s="7" t="s">
        <v>156</v>
      </c>
    </row>
    <row r="1285" spans="2:13" ht="21.75" customHeight="1" x14ac:dyDescent="0.35">
      <c r="B1285" s="11">
        <v>58</v>
      </c>
      <c r="C1285" s="5" t="s">
        <v>8488</v>
      </c>
      <c r="D1285" s="11">
        <v>28</v>
      </c>
      <c r="E1285" s="5" t="s">
        <v>8595</v>
      </c>
      <c r="F1285" s="5" t="s">
        <v>8596</v>
      </c>
      <c r="G1285" s="5" t="s">
        <v>897</v>
      </c>
      <c r="H1285" s="5" t="s">
        <v>39</v>
      </c>
      <c r="I1285" s="5" t="s">
        <v>57</v>
      </c>
      <c r="J1285" s="5" t="s">
        <v>177</v>
      </c>
      <c r="K1285" s="5" t="s">
        <v>8597</v>
      </c>
      <c r="L1285" s="11">
        <v>1</v>
      </c>
      <c r="M1285" s="5" t="s">
        <v>156</v>
      </c>
    </row>
    <row r="1286" spans="2:13" ht="21.75" customHeight="1" x14ac:dyDescent="0.35">
      <c r="B1286" s="12">
        <v>58</v>
      </c>
      <c r="C1286" s="7" t="s">
        <v>8488</v>
      </c>
      <c r="D1286" s="12">
        <v>29</v>
      </c>
      <c r="E1286" s="7" t="s">
        <v>8598</v>
      </c>
      <c r="F1286" s="7" t="s">
        <v>8599</v>
      </c>
      <c r="G1286" s="7" t="s">
        <v>625</v>
      </c>
      <c r="H1286" s="7" t="s">
        <v>37</v>
      </c>
      <c r="I1286" s="7" t="s">
        <v>8600</v>
      </c>
      <c r="J1286" s="7" t="s">
        <v>8193</v>
      </c>
      <c r="K1286" s="7" t="s">
        <v>8601</v>
      </c>
      <c r="L1286" s="12">
        <v>1</v>
      </c>
      <c r="M1286" s="7" t="s">
        <v>156</v>
      </c>
    </row>
    <row r="1287" spans="2:13" ht="37.5" customHeight="1" x14ac:dyDescent="0.35">
      <c r="B1287" s="11">
        <v>58</v>
      </c>
      <c r="C1287" s="5" t="s">
        <v>8488</v>
      </c>
      <c r="D1287" s="11">
        <v>30</v>
      </c>
      <c r="E1287" s="5" t="s">
        <v>8602</v>
      </c>
      <c r="F1287" s="5" t="s">
        <v>8603</v>
      </c>
      <c r="G1287" s="5" t="s">
        <v>402</v>
      </c>
      <c r="H1287" s="5" t="s">
        <v>263</v>
      </c>
      <c r="I1287" s="5" t="s">
        <v>7676</v>
      </c>
      <c r="J1287" s="5" t="s">
        <v>177</v>
      </c>
      <c r="K1287" s="5" t="s">
        <v>8604</v>
      </c>
      <c r="L1287" s="11">
        <v>2</v>
      </c>
      <c r="M1287" s="5" t="s">
        <v>156</v>
      </c>
    </row>
    <row r="1288" spans="2:13" ht="37.5" customHeight="1" x14ac:dyDescent="0.35">
      <c r="B1288" s="12">
        <v>58</v>
      </c>
      <c r="C1288" s="7" t="s">
        <v>8488</v>
      </c>
      <c r="D1288" s="12">
        <v>31</v>
      </c>
      <c r="E1288" s="7" t="s">
        <v>8605</v>
      </c>
      <c r="F1288" s="7" t="s">
        <v>8606</v>
      </c>
      <c r="G1288" s="7" t="s">
        <v>8607</v>
      </c>
      <c r="H1288" s="7"/>
      <c r="I1288" s="7" t="s">
        <v>54</v>
      </c>
      <c r="J1288" s="7" t="s">
        <v>154</v>
      </c>
      <c r="K1288" s="7" t="s">
        <v>8608</v>
      </c>
      <c r="L1288" s="12">
        <v>1</v>
      </c>
      <c r="M1288" s="7" t="s">
        <v>156</v>
      </c>
    </row>
    <row r="1289" spans="2:13" ht="37.5" customHeight="1" x14ac:dyDescent="0.35">
      <c r="B1289" s="11">
        <v>58</v>
      </c>
      <c r="C1289" s="5" t="s">
        <v>8488</v>
      </c>
      <c r="D1289" s="11">
        <v>32</v>
      </c>
      <c r="E1289" s="5" t="s">
        <v>8609</v>
      </c>
      <c r="F1289" s="5" t="s">
        <v>8610</v>
      </c>
      <c r="G1289" s="5" t="s">
        <v>31</v>
      </c>
      <c r="H1289" s="5" t="s">
        <v>306</v>
      </c>
      <c r="I1289" s="5" t="s">
        <v>4738</v>
      </c>
      <c r="J1289" s="5" t="s">
        <v>8611</v>
      </c>
      <c r="K1289" s="5" t="s">
        <v>8612</v>
      </c>
      <c r="L1289" s="11">
        <v>2</v>
      </c>
      <c r="M1289" s="5" t="s">
        <v>156</v>
      </c>
    </row>
    <row r="1290" spans="2:13" ht="21.75" customHeight="1" x14ac:dyDescent="0.35">
      <c r="B1290" s="12">
        <v>58</v>
      </c>
      <c r="C1290" s="7" t="s">
        <v>8488</v>
      </c>
      <c r="D1290" s="12">
        <v>33</v>
      </c>
      <c r="E1290" s="7" t="s">
        <v>8613</v>
      </c>
      <c r="F1290" s="7" t="s">
        <v>8614</v>
      </c>
      <c r="G1290" s="7" t="s">
        <v>1203</v>
      </c>
      <c r="H1290" s="7" t="s">
        <v>37</v>
      </c>
      <c r="I1290" s="7" t="s">
        <v>51</v>
      </c>
      <c r="J1290" s="7" t="s">
        <v>8193</v>
      </c>
      <c r="K1290" s="7" t="s">
        <v>8578</v>
      </c>
      <c r="L1290" s="12">
        <v>1</v>
      </c>
      <c r="M1290" s="7" t="s">
        <v>156</v>
      </c>
    </row>
    <row r="1291" spans="2:13" ht="21.75" customHeight="1" x14ac:dyDescent="0.35">
      <c r="B1291" s="11">
        <v>58</v>
      </c>
      <c r="C1291" s="5" t="s">
        <v>8488</v>
      </c>
      <c r="D1291" s="11">
        <v>34</v>
      </c>
      <c r="E1291" s="5" t="s">
        <v>8615</v>
      </c>
      <c r="F1291" s="5" t="s">
        <v>8616</v>
      </c>
      <c r="G1291" s="5" t="s">
        <v>2288</v>
      </c>
      <c r="H1291" s="5" t="s">
        <v>37</v>
      </c>
      <c r="I1291" s="5" t="s">
        <v>170</v>
      </c>
      <c r="J1291" s="5" t="s">
        <v>8193</v>
      </c>
      <c r="K1291" s="5" t="s">
        <v>8194</v>
      </c>
      <c r="L1291" s="11">
        <v>1</v>
      </c>
      <c r="M1291" s="5" t="s">
        <v>156</v>
      </c>
    </row>
    <row r="1292" spans="2:13" ht="21.75" customHeight="1" x14ac:dyDescent="0.35">
      <c r="B1292" s="12">
        <v>58</v>
      </c>
      <c r="C1292" s="7" t="s">
        <v>8488</v>
      </c>
      <c r="D1292" s="12">
        <v>35</v>
      </c>
      <c r="E1292" s="7" t="s">
        <v>8617</v>
      </c>
      <c r="F1292" s="7" t="s">
        <v>8618</v>
      </c>
      <c r="G1292" s="7" t="s">
        <v>8619</v>
      </c>
      <c r="H1292" s="7" t="s">
        <v>36</v>
      </c>
      <c r="I1292" s="7" t="s">
        <v>48</v>
      </c>
      <c r="J1292" s="7" t="s">
        <v>177</v>
      </c>
      <c r="K1292" s="7" t="s">
        <v>4570</v>
      </c>
      <c r="L1292" s="12">
        <v>1</v>
      </c>
      <c r="M1292" s="7" t="s">
        <v>156</v>
      </c>
    </row>
    <row r="1293" spans="2:13" ht="37.5" customHeight="1" x14ac:dyDescent="0.35">
      <c r="B1293" s="11">
        <v>58</v>
      </c>
      <c r="C1293" s="5" t="s">
        <v>8488</v>
      </c>
      <c r="D1293" s="11">
        <v>36</v>
      </c>
      <c r="E1293" s="5" t="s">
        <v>8620</v>
      </c>
      <c r="F1293" s="5" t="s">
        <v>8621</v>
      </c>
      <c r="G1293" s="5" t="s">
        <v>185</v>
      </c>
      <c r="H1293" s="5" t="s">
        <v>1039</v>
      </c>
      <c r="I1293" s="5" t="s">
        <v>5664</v>
      </c>
      <c r="J1293" s="5" t="s">
        <v>8622</v>
      </c>
      <c r="K1293" s="5" t="s">
        <v>8623</v>
      </c>
      <c r="L1293" s="11">
        <v>2</v>
      </c>
      <c r="M1293" s="5" t="s">
        <v>156</v>
      </c>
    </row>
    <row r="1294" spans="2:13" ht="21.75" customHeight="1" x14ac:dyDescent="0.35">
      <c r="B1294" s="12">
        <v>58</v>
      </c>
      <c r="C1294" s="7" t="s">
        <v>8488</v>
      </c>
      <c r="D1294" s="12">
        <v>37</v>
      </c>
      <c r="E1294" s="7" t="s">
        <v>8624</v>
      </c>
      <c r="F1294" s="7" t="s">
        <v>8625</v>
      </c>
      <c r="G1294" s="7" t="s">
        <v>8626</v>
      </c>
      <c r="H1294" s="7" t="s">
        <v>36</v>
      </c>
      <c r="I1294" s="7" t="s">
        <v>48</v>
      </c>
      <c r="J1294" s="7" t="s">
        <v>6262</v>
      </c>
      <c r="K1294" s="7" t="s">
        <v>8627</v>
      </c>
      <c r="L1294" s="12">
        <v>1</v>
      </c>
      <c r="M1294" s="7" t="s">
        <v>156</v>
      </c>
    </row>
    <row r="1295" spans="2:13" ht="37.5" customHeight="1" x14ac:dyDescent="0.35">
      <c r="B1295" s="11">
        <v>59</v>
      </c>
      <c r="C1295" s="5" t="s">
        <v>8628</v>
      </c>
      <c r="D1295" s="11">
        <v>1</v>
      </c>
      <c r="E1295" s="5" t="s">
        <v>8629</v>
      </c>
      <c r="F1295" s="5" t="s">
        <v>8630</v>
      </c>
      <c r="G1295" s="5" t="s">
        <v>1730</v>
      </c>
      <c r="H1295" s="5" t="s">
        <v>36</v>
      </c>
      <c r="I1295" s="5" t="s">
        <v>8354</v>
      </c>
      <c r="J1295" s="5" t="s">
        <v>8631</v>
      </c>
      <c r="K1295" s="5" t="s">
        <v>8632</v>
      </c>
      <c r="L1295" s="11">
        <v>2</v>
      </c>
      <c r="M1295" s="5" t="s">
        <v>1892</v>
      </c>
    </row>
    <row r="1296" spans="2:13" ht="21.75" customHeight="1" x14ac:dyDescent="0.35">
      <c r="B1296" s="12">
        <v>59</v>
      </c>
      <c r="C1296" s="7" t="s">
        <v>8628</v>
      </c>
      <c r="D1296" s="12">
        <v>2</v>
      </c>
      <c r="E1296" s="7" t="s">
        <v>8633</v>
      </c>
      <c r="F1296" s="7" t="s">
        <v>8634</v>
      </c>
      <c r="G1296" s="7" t="s">
        <v>1855</v>
      </c>
      <c r="H1296" s="7" t="s">
        <v>36</v>
      </c>
      <c r="I1296" s="7" t="s">
        <v>48</v>
      </c>
      <c r="J1296" s="7" t="s">
        <v>5531</v>
      </c>
      <c r="K1296" s="7" t="s">
        <v>6710</v>
      </c>
      <c r="L1296" s="12">
        <v>1</v>
      </c>
      <c r="M1296" s="7" t="s">
        <v>1892</v>
      </c>
    </row>
    <row r="1297" spans="2:13" ht="21.75" customHeight="1" x14ac:dyDescent="0.35">
      <c r="B1297" s="11">
        <v>59</v>
      </c>
      <c r="C1297" s="5" t="s">
        <v>8628</v>
      </c>
      <c r="D1297" s="11">
        <v>3</v>
      </c>
      <c r="E1297" s="5" t="s">
        <v>8635</v>
      </c>
      <c r="F1297" s="5" t="s">
        <v>8636</v>
      </c>
      <c r="G1297" s="5" t="s">
        <v>1123</v>
      </c>
      <c r="H1297" s="5" t="s">
        <v>36</v>
      </c>
      <c r="I1297" s="5" t="s">
        <v>48</v>
      </c>
      <c r="J1297" s="5" t="s">
        <v>5531</v>
      </c>
      <c r="K1297" s="5" t="s">
        <v>6710</v>
      </c>
      <c r="L1297" s="11">
        <v>1</v>
      </c>
      <c r="M1297" s="5" t="s">
        <v>1892</v>
      </c>
    </row>
    <row r="1298" spans="2:13" ht="21.75" customHeight="1" x14ac:dyDescent="0.35">
      <c r="B1298" s="12">
        <v>59</v>
      </c>
      <c r="C1298" s="7" t="s">
        <v>8628</v>
      </c>
      <c r="D1298" s="12">
        <v>4</v>
      </c>
      <c r="E1298" s="7" t="s">
        <v>8637</v>
      </c>
      <c r="F1298" s="7" t="s">
        <v>8638</v>
      </c>
      <c r="G1298" s="7" t="s">
        <v>1873</v>
      </c>
      <c r="H1298" s="7" t="s">
        <v>36</v>
      </c>
      <c r="I1298" s="7" t="s">
        <v>48</v>
      </c>
      <c r="J1298" s="7" t="s">
        <v>5531</v>
      </c>
      <c r="K1298" s="7" t="s">
        <v>6710</v>
      </c>
      <c r="L1298" s="12">
        <v>1</v>
      </c>
      <c r="M1298" s="7" t="s">
        <v>1892</v>
      </c>
    </row>
    <row r="1299" spans="2:13" ht="37.5" customHeight="1" x14ac:dyDescent="0.35">
      <c r="B1299" s="11">
        <v>59</v>
      </c>
      <c r="C1299" s="5" t="s">
        <v>8628</v>
      </c>
      <c r="D1299" s="11">
        <v>5</v>
      </c>
      <c r="E1299" s="5" t="s">
        <v>8639</v>
      </c>
      <c r="F1299" s="5" t="s">
        <v>8640</v>
      </c>
      <c r="G1299" s="5" t="s">
        <v>560</v>
      </c>
      <c r="H1299" s="5" t="s">
        <v>37</v>
      </c>
      <c r="I1299" s="5" t="s">
        <v>55</v>
      </c>
      <c r="J1299" s="5" t="s">
        <v>3415</v>
      </c>
      <c r="K1299" s="5" t="s">
        <v>8641</v>
      </c>
      <c r="L1299" s="11">
        <v>1</v>
      </c>
      <c r="M1299" s="5" t="s">
        <v>1892</v>
      </c>
    </row>
    <row r="1300" spans="2:13" ht="21.75" customHeight="1" x14ac:dyDescent="0.35">
      <c r="B1300" s="12">
        <v>59</v>
      </c>
      <c r="C1300" s="7" t="s">
        <v>8628</v>
      </c>
      <c r="D1300" s="12">
        <v>6</v>
      </c>
      <c r="E1300" s="7" t="s">
        <v>8642</v>
      </c>
      <c r="F1300" s="7" t="s">
        <v>8643</v>
      </c>
      <c r="G1300" s="7" t="s">
        <v>1175</v>
      </c>
      <c r="H1300" s="7" t="s">
        <v>36</v>
      </c>
      <c r="I1300" s="7" t="s">
        <v>48</v>
      </c>
      <c r="J1300" s="7" t="s">
        <v>5531</v>
      </c>
      <c r="K1300" s="7" t="s">
        <v>6710</v>
      </c>
      <c r="L1300" s="12">
        <v>1</v>
      </c>
      <c r="M1300" s="7" t="s">
        <v>1892</v>
      </c>
    </row>
    <row r="1301" spans="2:13" ht="37.5" customHeight="1" x14ac:dyDescent="0.35">
      <c r="B1301" s="11">
        <v>59</v>
      </c>
      <c r="C1301" s="5" t="s">
        <v>8628</v>
      </c>
      <c r="D1301" s="11">
        <v>7</v>
      </c>
      <c r="E1301" s="5" t="s">
        <v>8644</v>
      </c>
      <c r="F1301" s="5" t="s">
        <v>8645</v>
      </c>
      <c r="G1301" s="5" t="s">
        <v>2603</v>
      </c>
      <c r="H1301" s="5" t="s">
        <v>4662</v>
      </c>
      <c r="I1301" s="5" t="s">
        <v>8646</v>
      </c>
      <c r="J1301" s="5" t="s">
        <v>8647</v>
      </c>
      <c r="K1301" s="5" t="s">
        <v>8648</v>
      </c>
      <c r="L1301" s="11">
        <v>2</v>
      </c>
      <c r="M1301" s="5" t="s">
        <v>1892</v>
      </c>
    </row>
    <row r="1302" spans="2:13" ht="21.75" customHeight="1" x14ac:dyDescent="0.35">
      <c r="B1302" s="12">
        <v>59</v>
      </c>
      <c r="C1302" s="7" t="s">
        <v>8628</v>
      </c>
      <c r="D1302" s="12">
        <v>8</v>
      </c>
      <c r="E1302" s="7" t="s">
        <v>8649</v>
      </c>
      <c r="F1302" s="7" t="s">
        <v>8650</v>
      </c>
      <c r="G1302" s="7" t="s">
        <v>1214</v>
      </c>
      <c r="H1302" s="7" t="s">
        <v>36</v>
      </c>
      <c r="I1302" s="7" t="s">
        <v>48</v>
      </c>
      <c r="J1302" s="7" t="s">
        <v>5531</v>
      </c>
      <c r="K1302" s="7" t="s">
        <v>6710</v>
      </c>
      <c r="L1302" s="12">
        <v>1</v>
      </c>
      <c r="M1302" s="7" t="s">
        <v>1892</v>
      </c>
    </row>
    <row r="1303" spans="2:13" ht="37.5" customHeight="1" x14ac:dyDescent="0.35">
      <c r="B1303" s="11">
        <v>59</v>
      </c>
      <c r="C1303" s="5" t="s">
        <v>8628</v>
      </c>
      <c r="D1303" s="11">
        <v>9</v>
      </c>
      <c r="E1303" s="5" t="s">
        <v>8651</v>
      </c>
      <c r="F1303" s="5" t="s">
        <v>8652</v>
      </c>
      <c r="G1303" s="5" t="s">
        <v>1211</v>
      </c>
      <c r="H1303" s="5" t="s">
        <v>4752</v>
      </c>
      <c r="I1303" s="5" t="s">
        <v>8653</v>
      </c>
      <c r="J1303" s="5" t="s">
        <v>8654</v>
      </c>
      <c r="K1303" s="5" t="s">
        <v>8655</v>
      </c>
      <c r="L1303" s="11">
        <v>2</v>
      </c>
      <c r="M1303" s="5" t="s">
        <v>1892</v>
      </c>
    </row>
    <row r="1304" spans="2:13" ht="37.5" customHeight="1" x14ac:dyDescent="0.35">
      <c r="B1304" s="12">
        <v>59</v>
      </c>
      <c r="C1304" s="7" t="s">
        <v>8628</v>
      </c>
      <c r="D1304" s="12">
        <v>10</v>
      </c>
      <c r="E1304" s="7" t="s">
        <v>8656</v>
      </c>
      <c r="F1304" s="7" t="s">
        <v>8657</v>
      </c>
      <c r="G1304" s="7" t="s">
        <v>1190</v>
      </c>
      <c r="H1304" s="7" t="s">
        <v>4752</v>
      </c>
      <c r="I1304" s="7" t="s">
        <v>8658</v>
      </c>
      <c r="J1304" s="7" t="s">
        <v>8659</v>
      </c>
      <c r="K1304" s="7" t="s">
        <v>8660</v>
      </c>
      <c r="L1304" s="12">
        <v>2</v>
      </c>
      <c r="M1304" s="7" t="s">
        <v>1892</v>
      </c>
    </row>
    <row r="1305" spans="2:13" ht="37.5" customHeight="1" x14ac:dyDescent="0.35">
      <c r="B1305" s="11">
        <v>59</v>
      </c>
      <c r="C1305" s="5" t="s">
        <v>8628</v>
      </c>
      <c r="D1305" s="11">
        <v>11</v>
      </c>
      <c r="E1305" s="5" t="s">
        <v>8661</v>
      </c>
      <c r="F1305" s="5" t="s">
        <v>8662</v>
      </c>
      <c r="G1305" s="5" t="s">
        <v>262</v>
      </c>
      <c r="H1305" s="5" t="s">
        <v>4752</v>
      </c>
      <c r="I1305" s="5" t="s">
        <v>8663</v>
      </c>
      <c r="J1305" s="5" t="s">
        <v>8664</v>
      </c>
      <c r="K1305" s="5" t="s">
        <v>8665</v>
      </c>
      <c r="L1305" s="11">
        <v>2</v>
      </c>
      <c r="M1305" s="5" t="s">
        <v>1892</v>
      </c>
    </row>
    <row r="1306" spans="2:13" ht="37.5" customHeight="1" x14ac:dyDescent="0.35">
      <c r="B1306" s="12">
        <v>59</v>
      </c>
      <c r="C1306" s="7" t="s">
        <v>8628</v>
      </c>
      <c r="D1306" s="12">
        <v>12</v>
      </c>
      <c r="E1306" s="7" t="s">
        <v>8666</v>
      </c>
      <c r="F1306" s="7" t="s">
        <v>8667</v>
      </c>
      <c r="G1306" s="7" t="s">
        <v>862</v>
      </c>
      <c r="H1306" s="7" t="s">
        <v>218</v>
      </c>
      <c r="I1306" s="7" t="s">
        <v>5036</v>
      </c>
      <c r="J1306" s="7" t="s">
        <v>8668</v>
      </c>
      <c r="K1306" s="7" t="s">
        <v>8669</v>
      </c>
      <c r="L1306" s="12">
        <v>2</v>
      </c>
      <c r="M1306" s="7" t="s">
        <v>1892</v>
      </c>
    </row>
    <row r="1307" spans="2:13" ht="21.75" customHeight="1" x14ac:dyDescent="0.35">
      <c r="B1307" s="11">
        <v>59</v>
      </c>
      <c r="C1307" s="5" t="s">
        <v>8628</v>
      </c>
      <c r="D1307" s="11">
        <v>13</v>
      </c>
      <c r="E1307" s="5" t="s">
        <v>8670</v>
      </c>
      <c r="F1307" s="5" t="s">
        <v>8671</v>
      </c>
      <c r="G1307" s="5" t="s">
        <v>1073</v>
      </c>
      <c r="H1307" s="5" t="s">
        <v>36</v>
      </c>
      <c r="I1307" s="5" t="s">
        <v>48</v>
      </c>
      <c r="J1307" s="5" t="s">
        <v>6744</v>
      </c>
      <c r="K1307" s="5" t="s">
        <v>6745</v>
      </c>
      <c r="L1307" s="11">
        <v>1</v>
      </c>
      <c r="M1307" s="5" t="s">
        <v>1892</v>
      </c>
    </row>
    <row r="1308" spans="2:13" ht="21.75" customHeight="1" x14ac:dyDescent="0.35">
      <c r="B1308" s="12">
        <v>59</v>
      </c>
      <c r="C1308" s="7" t="s">
        <v>8628</v>
      </c>
      <c r="D1308" s="12">
        <v>14</v>
      </c>
      <c r="E1308" s="7" t="s">
        <v>8672</v>
      </c>
      <c r="F1308" s="7" t="s">
        <v>8673</v>
      </c>
      <c r="G1308" s="7" t="s">
        <v>4311</v>
      </c>
      <c r="H1308" s="7" t="s">
        <v>36</v>
      </c>
      <c r="I1308" s="7" t="s">
        <v>48</v>
      </c>
      <c r="J1308" s="7" t="s">
        <v>6744</v>
      </c>
      <c r="K1308" s="7" t="s">
        <v>6745</v>
      </c>
      <c r="L1308" s="12">
        <v>1</v>
      </c>
      <c r="M1308" s="7" t="s">
        <v>1892</v>
      </c>
    </row>
    <row r="1309" spans="2:13" ht="52.5" customHeight="1" x14ac:dyDescent="0.35">
      <c r="B1309" s="11">
        <v>60</v>
      </c>
      <c r="C1309" s="5" t="s">
        <v>8674</v>
      </c>
      <c r="D1309" s="11">
        <v>1</v>
      </c>
      <c r="E1309" s="5" t="s">
        <v>8675</v>
      </c>
      <c r="F1309" s="5" t="s">
        <v>8676</v>
      </c>
      <c r="G1309" s="5" t="s">
        <v>560</v>
      </c>
      <c r="H1309" s="5" t="s">
        <v>8677</v>
      </c>
      <c r="I1309" s="5" t="s">
        <v>8678</v>
      </c>
      <c r="J1309" s="5" t="s">
        <v>8679</v>
      </c>
      <c r="K1309" s="5" t="s">
        <v>8680</v>
      </c>
      <c r="L1309" s="11">
        <v>3</v>
      </c>
      <c r="M1309" s="5" t="s">
        <v>1892</v>
      </c>
    </row>
    <row r="1310" spans="2:13" ht="37.5" customHeight="1" x14ac:dyDescent="0.35">
      <c r="B1310" s="12">
        <v>61</v>
      </c>
      <c r="C1310" s="7" t="s">
        <v>8681</v>
      </c>
      <c r="D1310" s="12">
        <v>1</v>
      </c>
      <c r="E1310" s="7" t="s">
        <v>8682</v>
      </c>
      <c r="F1310" s="7" t="s">
        <v>8683</v>
      </c>
      <c r="G1310" s="7" t="s">
        <v>421</v>
      </c>
      <c r="H1310" s="7" t="s">
        <v>8684</v>
      </c>
      <c r="I1310" s="7" t="s">
        <v>8685</v>
      </c>
      <c r="J1310" s="7" t="s">
        <v>8686</v>
      </c>
      <c r="K1310" s="7" t="s">
        <v>8687</v>
      </c>
      <c r="L1310" s="12">
        <v>2</v>
      </c>
      <c r="M1310" s="7"/>
    </row>
    <row r="1311" spans="2:13" ht="37.5" customHeight="1" x14ac:dyDescent="0.35">
      <c r="B1311" s="11">
        <v>61</v>
      </c>
      <c r="C1311" s="5" t="s">
        <v>8681</v>
      </c>
      <c r="D1311" s="11">
        <v>2</v>
      </c>
      <c r="E1311" s="5" t="s">
        <v>8688</v>
      </c>
      <c r="F1311" s="5" t="s">
        <v>8689</v>
      </c>
      <c r="G1311" s="5" t="s">
        <v>192</v>
      </c>
      <c r="H1311" s="5" t="s">
        <v>37</v>
      </c>
      <c r="I1311" s="5" t="s">
        <v>170</v>
      </c>
      <c r="J1311" s="5" t="s">
        <v>194</v>
      </c>
      <c r="K1311" s="5" t="s">
        <v>286</v>
      </c>
      <c r="L1311" s="11">
        <v>1</v>
      </c>
      <c r="M1311" s="5"/>
    </row>
    <row r="1312" spans="2:13" ht="37.5" customHeight="1" x14ac:dyDescent="0.35">
      <c r="B1312" s="12">
        <v>61</v>
      </c>
      <c r="C1312" s="7" t="s">
        <v>8681</v>
      </c>
      <c r="D1312" s="12">
        <v>3</v>
      </c>
      <c r="E1312" s="7" t="s">
        <v>8690</v>
      </c>
      <c r="F1312" s="7" t="s">
        <v>8691</v>
      </c>
      <c r="G1312" s="7" t="s">
        <v>188</v>
      </c>
      <c r="H1312" s="7" t="s">
        <v>5142</v>
      </c>
      <c r="I1312" s="7" t="s">
        <v>5143</v>
      </c>
      <c r="J1312" s="7" t="s">
        <v>8692</v>
      </c>
      <c r="K1312" s="7" t="s">
        <v>8693</v>
      </c>
      <c r="L1312" s="12">
        <v>2</v>
      </c>
      <c r="M1312" s="7"/>
    </row>
    <row r="1313" spans="2:13" ht="37.5" customHeight="1" x14ac:dyDescent="0.35">
      <c r="B1313" s="11">
        <v>61</v>
      </c>
      <c r="C1313" s="5" t="s">
        <v>8681</v>
      </c>
      <c r="D1313" s="11">
        <v>4</v>
      </c>
      <c r="E1313" s="5" t="s">
        <v>8694</v>
      </c>
      <c r="F1313" s="5" t="s">
        <v>8695</v>
      </c>
      <c r="G1313" s="5" t="s">
        <v>28</v>
      </c>
      <c r="H1313" s="5" t="s">
        <v>42</v>
      </c>
      <c r="I1313" s="5" t="s">
        <v>8696</v>
      </c>
      <c r="J1313" s="5" t="s">
        <v>1107</v>
      </c>
      <c r="K1313" s="5" t="s">
        <v>8697</v>
      </c>
      <c r="L1313" s="11">
        <v>1</v>
      </c>
      <c r="M1313" s="5"/>
    </row>
    <row r="1314" spans="2:13" ht="37.5" customHeight="1" x14ac:dyDescent="0.35">
      <c r="B1314" s="12">
        <v>61</v>
      </c>
      <c r="C1314" s="7" t="s">
        <v>8681</v>
      </c>
      <c r="D1314" s="12">
        <v>5</v>
      </c>
      <c r="E1314" s="7" t="s">
        <v>8698</v>
      </c>
      <c r="F1314" s="7" t="s">
        <v>8699</v>
      </c>
      <c r="G1314" s="7" t="s">
        <v>557</v>
      </c>
      <c r="H1314" s="7" t="s">
        <v>37</v>
      </c>
      <c r="I1314" s="7" t="s">
        <v>170</v>
      </c>
      <c r="J1314" s="7" t="s">
        <v>8700</v>
      </c>
      <c r="K1314" s="7" t="s">
        <v>8701</v>
      </c>
      <c r="L1314" s="12">
        <v>1</v>
      </c>
      <c r="M1314" s="7"/>
    </row>
    <row r="1315" spans="2:13" ht="37.5" customHeight="1" x14ac:dyDescent="0.35">
      <c r="B1315" s="11">
        <v>61</v>
      </c>
      <c r="C1315" s="5" t="s">
        <v>8681</v>
      </c>
      <c r="D1315" s="11">
        <v>6</v>
      </c>
      <c r="E1315" s="5" t="s">
        <v>8702</v>
      </c>
      <c r="F1315" s="5" t="s">
        <v>8703</v>
      </c>
      <c r="G1315" s="5" t="s">
        <v>582</v>
      </c>
      <c r="H1315" s="5" t="s">
        <v>36</v>
      </c>
      <c r="I1315" s="5" t="s">
        <v>48</v>
      </c>
      <c r="J1315" s="5" t="s">
        <v>8704</v>
      </c>
      <c r="K1315" s="5" t="s">
        <v>8705</v>
      </c>
      <c r="L1315" s="11">
        <v>1</v>
      </c>
      <c r="M1315" s="5"/>
    </row>
    <row r="1316" spans="2:13" ht="37.5" customHeight="1" x14ac:dyDescent="0.35">
      <c r="B1316" s="12">
        <v>61</v>
      </c>
      <c r="C1316" s="7" t="s">
        <v>8681</v>
      </c>
      <c r="D1316" s="12">
        <v>7</v>
      </c>
      <c r="E1316" s="7" t="s">
        <v>8706</v>
      </c>
      <c r="F1316" s="7" t="s">
        <v>8707</v>
      </c>
      <c r="G1316" s="7" t="s">
        <v>8708</v>
      </c>
      <c r="H1316" s="7" t="s">
        <v>39</v>
      </c>
      <c r="I1316" s="7" t="s">
        <v>57</v>
      </c>
      <c r="J1316" s="7" t="s">
        <v>194</v>
      </c>
      <c r="K1316" s="7" t="s">
        <v>8709</v>
      </c>
      <c r="L1316" s="12">
        <v>1</v>
      </c>
      <c r="M1316" s="7"/>
    </row>
    <row r="1317" spans="2:13" ht="37.5" customHeight="1" x14ac:dyDescent="0.35">
      <c r="B1317" s="11">
        <v>62</v>
      </c>
      <c r="C1317" s="5" t="s">
        <v>8710</v>
      </c>
      <c r="D1317" s="11">
        <v>1</v>
      </c>
      <c r="E1317" s="5" t="s">
        <v>8711</v>
      </c>
      <c r="F1317" s="5" t="s">
        <v>8712</v>
      </c>
      <c r="G1317" s="5" t="s">
        <v>249</v>
      </c>
      <c r="H1317" s="5" t="s">
        <v>301</v>
      </c>
      <c r="I1317" s="5" t="s">
        <v>8713</v>
      </c>
      <c r="J1317" s="5" t="s">
        <v>8714</v>
      </c>
      <c r="K1317" s="5" t="s">
        <v>8715</v>
      </c>
      <c r="L1317" s="11">
        <v>2</v>
      </c>
      <c r="M1317" s="5"/>
    </row>
    <row r="1318" spans="2:13" ht="21.75" customHeight="1" x14ac:dyDescent="0.35">
      <c r="B1318" s="12">
        <v>62</v>
      </c>
      <c r="C1318" s="7" t="s">
        <v>8710</v>
      </c>
      <c r="D1318" s="12">
        <v>2</v>
      </c>
      <c r="E1318" s="7" t="s">
        <v>8716</v>
      </c>
      <c r="F1318" s="7" t="s">
        <v>8717</v>
      </c>
      <c r="G1318" s="7" t="s">
        <v>788</v>
      </c>
      <c r="H1318" s="7" t="s">
        <v>37</v>
      </c>
      <c r="I1318" s="7" t="s">
        <v>49</v>
      </c>
      <c r="J1318" s="7" t="s">
        <v>5176</v>
      </c>
      <c r="K1318" s="7" t="s">
        <v>8718</v>
      </c>
      <c r="L1318" s="12">
        <v>1</v>
      </c>
      <c r="M1318" s="7"/>
    </row>
    <row r="1319" spans="2:13" ht="97.5" customHeight="1" x14ac:dyDescent="0.35">
      <c r="B1319" s="11">
        <v>63</v>
      </c>
      <c r="C1319" s="5" t="s">
        <v>8719</v>
      </c>
      <c r="D1319" s="11">
        <v>1</v>
      </c>
      <c r="E1319" s="5" t="s">
        <v>8720</v>
      </c>
      <c r="F1319" s="5" t="s">
        <v>8721</v>
      </c>
      <c r="G1319" s="5" t="s">
        <v>421</v>
      </c>
      <c r="H1319" s="5" t="s">
        <v>8722</v>
      </c>
      <c r="I1319" s="5" t="s">
        <v>8723</v>
      </c>
      <c r="J1319" s="5" t="s">
        <v>1351</v>
      </c>
      <c r="K1319" s="5" t="s">
        <v>8724</v>
      </c>
      <c r="L1319" s="11">
        <v>5</v>
      </c>
      <c r="M1319" s="5" t="s">
        <v>4518</v>
      </c>
    </row>
    <row r="1320" spans="2:13" ht="37.5" customHeight="1" x14ac:dyDescent="0.35">
      <c r="B1320" s="12">
        <v>63</v>
      </c>
      <c r="C1320" s="7" t="s">
        <v>8719</v>
      </c>
      <c r="D1320" s="12">
        <v>2</v>
      </c>
      <c r="E1320" s="7" t="s">
        <v>8725</v>
      </c>
      <c r="F1320" s="7" t="s">
        <v>8726</v>
      </c>
      <c r="G1320" s="7" t="s">
        <v>279</v>
      </c>
      <c r="H1320" s="7" t="s">
        <v>8727</v>
      </c>
      <c r="I1320" s="7" t="s">
        <v>8728</v>
      </c>
      <c r="J1320" s="7" t="s">
        <v>8729</v>
      </c>
      <c r="K1320" s="7" t="s">
        <v>8730</v>
      </c>
      <c r="L1320" s="12">
        <v>2</v>
      </c>
      <c r="M1320" s="7" t="s">
        <v>4518</v>
      </c>
    </row>
    <row r="1321" spans="2:13" ht="37.5" customHeight="1" x14ac:dyDescent="0.35">
      <c r="B1321" s="11">
        <v>63</v>
      </c>
      <c r="C1321" s="5" t="s">
        <v>8719</v>
      </c>
      <c r="D1321" s="11">
        <v>3</v>
      </c>
      <c r="E1321" s="5" t="s">
        <v>8731</v>
      </c>
      <c r="F1321" s="5" t="s">
        <v>8732</v>
      </c>
      <c r="G1321" s="5" t="s">
        <v>28</v>
      </c>
      <c r="H1321" s="5" t="s">
        <v>42</v>
      </c>
      <c r="I1321" s="5" t="s">
        <v>5433</v>
      </c>
      <c r="J1321" s="5" t="s">
        <v>4308</v>
      </c>
      <c r="K1321" s="5" t="s">
        <v>8733</v>
      </c>
      <c r="L1321" s="11">
        <v>1</v>
      </c>
      <c r="M1321" s="5" t="s">
        <v>4518</v>
      </c>
    </row>
    <row r="1322" spans="2:13" ht="37.5" customHeight="1" x14ac:dyDescent="0.35">
      <c r="B1322" s="12">
        <v>63</v>
      </c>
      <c r="C1322" s="7" t="s">
        <v>8719</v>
      </c>
      <c r="D1322" s="12">
        <v>4</v>
      </c>
      <c r="E1322" s="7" t="s">
        <v>8734</v>
      </c>
      <c r="F1322" s="7" t="s">
        <v>8735</v>
      </c>
      <c r="G1322" s="7" t="s">
        <v>497</v>
      </c>
      <c r="H1322" s="7" t="s">
        <v>8736</v>
      </c>
      <c r="I1322" s="7" t="s">
        <v>8737</v>
      </c>
      <c r="J1322" s="7" t="s">
        <v>8738</v>
      </c>
      <c r="K1322" s="7" t="s">
        <v>8739</v>
      </c>
      <c r="L1322" s="12">
        <v>2</v>
      </c>
      <c r="M1322" s="7" t="s">
        <v>4518</v>
      </c>
    </row>
    <row r="1323" spans="2:13" ht="37.5" customHeight="1" x14ac:dyDescent="0.35">
      <c r="B1323" s="11">
        <v>63</v>
      </c>
      <c r="C1323" s="5" t="s">
        <v>8719</v>
      </c>
      <c r="D1323" s="11">
        <v>5</v>
      </c>
      <c r="E1323" s="5" t="s">
        <v>8740</v>
      </c>
      <c r="F1323" s="5" t="s">
        <v>8741</v>
      </c>
      <c r="G1323" s="5" t="s">
        <v>428</v>
      </c>
      <c r="H1323" s="5" t="s">
        <v>43</v>
      </c>
      <c r="I1323" s="5" t="s">
        <v>8742</v>
      </c>
      <c r="J1323" s="5" t="s">
        <v>1063</v>
      </c>
      <c r="K1323" s="5" t="s">
        <v>8743</v>
      </c>
      <c r="L1323" s="11">
        <v>1</v>
      </c>
      <c r="M1323" s="5" t="s">
        <v>4518</v>
      </c>
    </row>
    <row r="1324" spans="2:13" ht="37.5" customHeight="1" x14ac:dyDescent="0.35">
      <c r="B1324" s="12">
        <v>63</v>
      </c>
      <c r="C1324" s="7" t="s">
        <v>8719</v>
      </c>
      <c r="D1324" s="12">
        <v>7</v>
      </c>
      <c r="E1324" s="7" t="s">
        <v>8744</v>
      </c>
      <c r="F1324" s="7" t="s">
        <v>8745</v>
      </c>
      <c r="G1324" s="7" t="s">
        <v>766</v>
      </c>
      <c r="H1324" s="7" t="s">
        <v>43</v>
      </c>
      <c r="I1324" s="7" t="s">
        <v>8742</v>
      </c>
      <c r="J1324" s="7" t="s">
        <v>1063</v>
      </c>
      <c r="K1324" s="7" t="s">
        <v>8743</v>
      </c>
      <c r="L1324" s="12">
        <v>1</v>
      </c>
      <c r="M1324" s="7" t="s">
        <v>4518</v>
      </c>
    </row>
    <row r="1325" spans="2:13" ht="37.5" customHeight="1" x14ac:dyDescent="0.35">
      <c r="B1325" s="11">
        <v>63</v>
      </c>
      <c r="C1325" s="5" t="s">
        <v>8719</v>
      </c>
      <c r="D1325" s="11">
        <v>8</v>
      </c>
      <c r="E1325" s="5" t="s">
        <v>8746</v>
      </c>
      <c r="F1325" s="5" t="s">
        <v>8747</v>
      </c>
      <c r="G1325" s="5" t="s">
        <v>27</v>
      </c>
      <c r="H1325" s="5" t="s">
        <v>8727</v>
      </c>
      <c r="I1325" s="5" t="s">
        <v>8728</v>
      </c>
      <c r="J1325" s="5" t="s">
        <v>8729</v>
      </c>
      <c r="K1325" s="5" t="s">
        <v>8730</v>
      </c>
      <c r="L1325" s="11">
        <v>2</v>
      </c>
      <c r="M1325" s="5" t="s">
        <v>4518</v>
      </c>
    </row>
    <row r="1326" spans="2:13" ht="21.75" customHeight="1" x14ac:dyDescent="0.35">
      <c r="B1326" s="12">
        <v>63</v>
      </c>
      <c r="C1326" s="7" t="s">
        <v>8719</v>
      </c>
      <c r="D1326" s="12">
        <v>9</v>
      </c>
      <c r="E1326" s="7" t="s">
        <v>8748</v>
      </c>
      <c r="F1326" s="7" t="s">
        <v>8749</v>
      </c>
      <c r="G1326" s="7" t="s">
        <v>198</v>
      </c>
      <c r="H1326" s="7" t="s">
        <v>43</v>
      </c>
      <c r="I1326" s="7" t="s">
        <v>8742</v>
      </c>
      <c r="J1326" s="7" t="s">
        <v>1063</v>
      </c>
      <c r="K1326" s="7" t="s">
        <v>8743</v>
      </c>
      <c r="L1326" s="12">
        <v>1</v>
      </c>
      <c r="M1326" s="7" t="s">
        <v>4518</v>
      </c>
    </row>
    <row r="1327" spans="2:13" ht="37.5" customHeight="1" x14ac:dyDescent="0.35">
      <c r="B1327" s="11">
        <v>63</v>
      </c>
      <c r="C1327" s="5" t="s">
        <v>8719</v>
      </c>
      <c r="D1327" s="11">
        <v>10</v>
      </c>
      <c r="E1327" s="5" t="s">
        <v>8750</v>
      </c>
      <c r="F1327" s="5" t="s">
        <v>8751</v>
      </c>
      <c r="G1327" s="5" t="s">
        <v>635</v>
      </c>
      <c r="H1327" s="5" t="s">
        <v>41</v>
      </c>
      <c r="I1327" s="5" t="s">
        <v>7875</v>
      </c>
      <c r="J1327" s="5" t="s">
        <v>1063</v>
      </c>
      <c r="K1327" s="5" t="s">
        <v>8752</v>
      </c>
      <c r="L1327" s="11">
        <v>1</v>
      </c>
      <c r="M1327" s="5" t="s">
        <v>4518</v>
      </c>
    </row>
    <row r="1328" spans="2:13" ht="37.5" customHeight="1" x14ac:dyDescent="0.35">
      <c r="B1328" s="12">
        <v>63</v>
      </c>
      <c r="C1328" s="7" t="s">
        <v>8719</v>
      </c>
      <c r="D1328" s="12">
        <v>11</v>
      </c>
      <c r="E1328" s="7" t="s">
        <v>8753</v>
      </c>
      <c r="F1328" s="7" t="s">
        <v>8754</v>
      </c>
      <c r="G1328" s="7" t="s">
        <v>1680</v>
      </c>
      <c r="H1328" s="7" t="s">
        <v>41</v>
      </c>
      <c r="I1328" s="7" t="s">
        <v>7875</v>
      </c>
      <c r="J1328" s="7" t="s">
        <v>1063</v>
      </c>
      <c r="K1328" s="7" t="s">
        <v>8752</v>
      </c>
      <c r="L1328" s="12">
        <v>1</v>
      </c>
      <c r="M1328" s="7" t="s">
        <v>4518</v>
      </c>
    </row>
    <row r="1329" spans="2:13" ht="21.75" customHeight="1" x14ac:dyDescent="0.35">
      <c r="B1329" s="11">
        <v>63</v>
      </c>
      <c r="C1329" s="5" t="s">
        <v>8719</v>
      </c>
      <c r="D1329" s="11">
        <v>12</v>
      </c>
      <c r="E1329" s="5" t="s">
        <v>8755</v>
      </c>
      <c r="F1329" s="5" t="s">
        <v>8756</v>
      </c>
      <c r="G1329" s="5" t="s">
        <v>402</v>
      </c>
      <c r="H1329" s="5" t="s">
        <v>37</v>
      </c>
      <c r="I1329" s="5" t="s">
        <v>193</v>
      </c>
      <c r="J1329" s="5" t="s">
        <v>1579</v>
      </c>
      <c r="K1329" s="5" t="s">
        <v>8757</v>
      </c>
      <c r="L1329" s="11">
        <v>1</v>
      </c>
      <c r="M1329" s="5" t="s">
        <v>4518</v>
      </c>
    </row>
    <row r="1330" spans="2:13" ht="37.5" customHeight="1" x14ac:dyDescent="0.35">
      <c r="B1330" s="12">
        <v>63</v>
      </c>
      <c r="C1330" s="7" t="s">
        <v>8719</v>
      </c>
      <c r="D1330" s="12">
        <v>13</v>
      </c>
      <c r="E1330" s="7" t="s">
        <v>8758</v>
      </c>
      <c r="F1330" s="7" t="s">
        <v>8759</v>
      </c>
      <c r="G1330" s="7" t="s">
        <v>249</v>
      </c>
      <c r="H1330" s="7" t="s">
        <v>37</v>
      </c>
      <c r="I1330" s="7" t="s">
        <v>8760</v>
      </c>
      <c r="J1330" s="7" t="s">
        <v>8761</v>
      </c>
      <c r="K1330" s="7" t="s">
        <v>8762</v>
      </c>
      <c r="L1330" s="12">
        <v>2</v>
      </c>
      <c r="M1330" s="7" t="s">
        <v>4518</v>
      </c>
    </row>
    <row r="1331" spans="2:13" ht="37.5" customHeight="1" x14ac:dyDescent="0.35">
      <c r="B1331" s="11">
        <v>63</v>
      </c>
      <c r="C1331" s="5" t="s">
        <v>8719</v>
      </c>
      <c r="D1331" s="11">
        <v>14</v>
      </c>
      <c r="E1331" s="5" t="s">
        <v>8763</v>
      </c>
      <c r="F1331" s="5" t="s">
        <v>8764</v>
      </c>
      <c r="G1331" s="5" t="s">
        <v>733</v>
      </c>
      <c r="H1331" s="5" t="s">
        <v>37</v>
      </c>
      <c r="I1331" s="5" t="s">
        <v>193</v>
      </c>
      <c r="J1331" s="5" t="s">
        <v>1579</v>
      </c>
      <c r="K1331" s="5" t="s">
        <v>8757</v>
      </c>
      <c r="L1331" s="11">
        <v>1</v>
      </c>
      <c r="M1331" s="5" t="s">
        <v>4518</v>
      </c>
    </row>
    <row r="1332" spans="2:13" ht="37.5" customHeight="1" x14ac:dyDescent="0.35">
      <c r="B1332" s="12">
        <v>63</v>
      </c>
      <c r="C1332" s="7" t="s">
        <v>8719</v>
      </c>
      <c r="D1332" s="12">
        <v>15</v>
      </c>
      <c r="E1332" s="7" t="s">
        <v>8765</v>
      </c>
      <c r="F1332" s="7" t="s">
        <v>8766</v>
      </c>
      <c r="G1332" s="7" t="s">
        <v>1076</v>
      </c>
      <c r="H1332" s="7" t="s">
        <v>42</v>
      </c>
      <c r="I1332" s="7" t="s">
        <v>5433</v>
      </c>
      <c r="J1332" s="7" t="s">
        <v>8767</v>
      </c>
      <c r="K1332" s="7" t="s">
        <v>8768</v>
      </c>
      <c r="L1332" s="12">
        <v>1</v>
      </c>
      <c r="M1332" s="7" t="s">
        <v>4518</v>
      </c>
    </row>
    <row r="1333" spans="2:13" ht="37.5" customHeight="1" x14ac:dyDescent="0.35">
      <c r="B1333" s="11">
        <v>63</v>
      </c>
      <c r="C1333" s="5" t="s">
        <v>8719</v>
      </c>
      <c r="D1333" s="11">
        <v>16</v>
      </c>
      <c r="E1333" s="5" t="s">
        <v>8769</v>
      </c>
      <c r="F1333" s="5" t="s">
        <v>8770</v>
      </c>
      <c r="G1333" s="5" t="s">
        <v>625</v>
      </c>
      <c r="H1333" s="5" t="s">
        <v>5017</v>
      </c>
      <c r="I1333" s="5" t="s">
        <v>8771</v>
      </c>
      <c r="J1333" s="5" t="s">
        <v>8772</v>
      </c>
      <c r="K1333" s="5" t="s">
        <v>8773</v>
      </c>
      <c r="L1333" s="11">
        <v>2</v>
      </c>
      <c r="M1333" s="5" t="s">
        <v>4518</v>
      </c>
    </row>
    <row r="1334" spans="2:13" ht="37.5" customHeight="1" x14ac:dyDescent="0.35">
      <c r="B1334" s="12">
        <v>63</v>
      </c>
      <c r="C1334" s="7" t="s">
        <v>8719</v>
      </c>
      <c r="D1334" s="12">
        <v>17</v>
      </c>
      <c r="E1334" s="7" t="s">
        <v>8774</v>
      </c>
      <c r="F1334" s="7" t="s">
        <v>8775</v>
      </c>
      <c r="G1334" s="7" t="s">
        <v>24</v>
      </c>
      <c r="H1334" s="7" t="s">
        <v>8776</v>
      </c>
      <c r="I1334" s="7" t="s">
        <v>8777</v>
      </c>
      <c r="J1334" s="7" t="s">
        <v>8778</v>
      </c>
      <c r="K1334" s="7" t="s">
        <v>8779</v>
      </c>
      <c r="L1334" s="12">
        <v>2</v>
      </c>
      <c r="M1334" s="7" t="s">
        <v>4518</v>
      </c>
    </row>
    <row r="1335" spans="2:13" ht="21.75" customHeight="1" x14ac:dyDescent="0.35">
      <c r="B1335" s="11">
        <v>63</v>
      </c>
      <c r="C1335" s="5" t="s">
        <v>8719</v>
      </c>
      <c r="D1335" s="11">
        <v>18</v>
      </c>
      <c r="E1335" s="5" t="s">
        <v>8780</v>
      </c>
      <c r="F1335" s="5" t="s">
        <v>8781</v>
      </c>
      <c r="G1335" s="5" t="s">
        <v>670</v>
      </c>
      <c r="H1335" s="5" t="s">
        <v>42</v>
      </c>
      <c r="I1335" s="5" t="s">
        <v>49</v>
      </c>
      <c r="J1335" s="5" t="s">
        <v>663</v>
      </c>
      <c r="K1335" s="5" t="s">
        <v>8782</v>
      </c>
      <c r="L1335" s="11">
        <v>1</v>
      </c>
      <c r="M1335" s="5" t="s">
        <v>4518</v>
      </c>
    </row>
    <row r="1336" spans="2:13" ht="21.75" customHeight="1" x14ac:dyDescent="0.35">
      <c r="B1336" s="12">
        <v>63</v>
      </c>
      <c r="C1336" s="7" t="s">
        <v>8719</v>
      </c>
      <c r="D1336" s="12">
        <v>19</v>
      </c>
      <c r="E1336" s="7" t="s">
        <v>8783</v>
      </c>
      <c r="F1336" s="7" t="s">
        <v>8784</v>
      </c>
      <c r="G1336" s="7" t="s">
        <v>608</v>
      </c>
      <c r="H1336" s="7" t="s">
        <v>44</v>
      </c>
      <c r="I1336" s="7" t="s">
        <v>8785</v>
      </c>
      <c r="J1336" s="7" t="s">
        <v>1063</v>
      </c>
      <c r="K1336" s="7" t="s">
        <v>8786</v>
      </c>
      <c r="L1336" s="12">
        <v>1</v>
      </c>
      <c r="M1336" s="7" t="s">
        <v>4518</v>
      </c>
    </row>
    <row r="1337" spans="2:13" ht="37.5" customHeight="1" x14ac:dyDescent="0.35">
      <c r="B1337" s="11">
        <v>63</v>
      </c>
      <c r="C1337" s="5" t="s">
        <v>8719</v>
      </c>
      <c r="D1337" s="11">
        <v>20</v>
      </c>
      <c r="E1337" s="5" t="s">
        <v>8787</v>
      </c>
      <c r="F1337" s="5" t="s">
        <v>8788</v>
      </c>
      <c r="G1337" s="5" t="s">
        <v>33</v>
      </c>
      <c r="H1337" s="5" t="s">
        <v>43</v>
      </c>
      <c r="I1337" s="5" t="s">
        <v>8742</v>
      </c>
      <c r="J1337" s="5" t="s">
        <v>1063</v>
      </c>
      <c r="K1337" s="5" t="s">
        <v>8743</v>
      </c>
      <c r="L1337" s="11">
        <v>1</v>
      </c>
      <c r="M1337" s="5" t="s">
        <v>4518</v>
      </c>
    </row>
    <row r="1338" spans="2:13" ht="37.5" customHeight="1" x14ac:dyDescent="0.35">
      <c r="B1338" s="12">
        <v>63</v>
      </c>
      <c r="C1338" s="7" t="s">
        <v>8719</v>
      </c>
      <c r="D1338" s="12">
        <v>21</v>
      </c>
      <c r="E1338" s="7" t="s">
        <v>8789</v>
      </c>
      <c r="F1338" s="7" t="s">
        <v>8790</v>
      </c>
      <c r="G1338" s="7" t="s">
        <v>282</v>
      </c>
      <c r="H1338" s="7" t="s">
        <v>43</v>
      </c>
      <c r="I1338" s="7" t="s">
        <v>8742</v>
      </c>
      <c r="J1338" s="7" t="s">
        <v>1063</v>
      </c>
      <c r="K1338" s="7" t="s">
        <v>8743</v>
      </c>
      <c r="L1338" s="12">
        <v>1</v>
      </c>
      <c r="M1338" s="7" t="s">
        <v>4518</v>
      </c>
    </row>
    <row r="1339" spans="2:13" ht="21.75" customHeight="1" x14ac:dyDescent="0.35">
      <c r="B1339" s="11">
        <v>63</v>
      </c>
      <c r="C1339" s="5" t="s">
        <v>8719</v>
      </c>
      <c r="D1339" s="11">
        <v>22</v>
      </c>
      <c r="E1339" s="5" t="s">
        <v>8791</v>
      </c>
      <c r="F1339" s="5" t="s">
        <v>8792</v>
      </c>
      <c r="G1339" s="5" t="s">
        <v>1290</v>
      </c>
      <c r="H1339" s="5" t="s">
        <v>44</v>
      </c>
      <c r="I1339" s="5" t="s">
        <v>8785</v>
      </c>
      <c r="J1339" s="5" t="s">
        <v>1063</v>
      </c>
      <c r="K1339" s="5" t="s">
        <v>8786</v>
      </c>
      <c r="L1339" s="11">
        <v>1</v>
      </c>
      <c r="M1339" s="5" t="s">
        <v>4518</v>
      </c>
    </row>
    <row r="1340" spans="2:13" ht="52.5" customHeight="1" x14ac:dyDescent="0.35">
      <c r="B1340" s="12">
        <v>63</v>
      </c>
      <c r="C1340" s="7" t="s">
        <v>8719</v>
      </c>
      <c r="D1340" s="12">
        <v>23</v>
      </c>
      <c r="E1340" s="7" t="s">
        <v>8793</v>
      </c>
      <c r="F1340" s="7" t="s">
        <v>8794</v>
      </c>
      <c r="G1340" s="7" t="s">
        <v>752</v>
      </c>
      <c r="H1340" s="7" t="s">
        <v>8795</v>
      </c>
      <c r="I1340" s="7" t="s">
        <v>8796</v>
      </c>
      <c r="J1340" s="7" t="s">
        <v>1063</v>
      </c>
      <c r="K1340" s="7" t="s">
        <v>8797</v>
      </c>
      <c r="L1340" s="12">
        <v>2</v>
      </c>
      <c r="M1340" s="7" t="s">
        <v>4518</v>
      </c>
    </row>
    <row r="1341" spans="2:13" ht="37.5" customHeight="1" x14ac:dyDescent="0.35">
      <c r="B1341" s="11">
        <v>63</v>
      </c>
      <c r="C1341" s="5" t="s">
        <v>8719</v>
      </c>
      <c r="D1341" s="11">
        <v>24</v>
      </c>
      <c r="E1341" s="5" t="s">
        <v>8798</v>
      </c>
      <c r="F1341" s="5" t="s">
        <v>8799</v>
      </c>
      <c r="G1341" s="5" t="s">
        <v>825</v>
      </c>
      <c r="H1341" s="5" t="s">
        <v>37</v>
      </c>
      <c r="I1341" s="5" t="s">
        <v>193</v>
      </c>
      <c r="J1341" s="5" t="s">
        <v>1579</v>
      </c>
      <c r="K1341" s="5" t="s">
        <v>8757</v>
      </c>
      <c r="L1341" s="11">
        <v>1</v>
      </c>
      <c r="M1341" s="5" t="s">
        <v>4518</v>
      </c>
    </row>
    <row r="1342" spans="2:13" ht="67.5" customHeight="1" x14ac:dyDescent="0.35">
      <c r="B1342" s="12">
        <v>63</v>
      </c>
      <c r="C1342" s="7" t="s">
        <v>8719</v>
      </c>
      <c r="D1342" s="12">
        <v>25</v>
      </c>
      <c r="E1342" s="7" t="s">
        <v>8800</v>
      </c>
      <c r="F1342" s="7" t="s">
        <v>8801</v>
      </c>
      <c r="G1342" s="7" t="s">
        <v>25</v>
      </c>
      <c r="H1342" s="7" t="s">
        <v>8802</v>
      </c>
      <c r="I1342" s="7" t="s">
        <v>8803</v>
      </c>
      <c r="J1342" s="7" t="s">
        <v>4166</v>
      </c>
      <c r="K1342" s="7" t="s">
        <v>8804</v>
      </c>
      <c r="L1342" s="12">
        <v>3</v>
      </c>
      <c r="M1342" s="7" t="s">
        <v>4518</v>
      </c>
    </row>
    <row r="1343" spans="2:13" ht="37.5" customHeight="1" x14ac:dyDescent="0.35">
      <c r="B1343" s="11">
        <v>63</v>
      </c>
      <c r="C1343" s="5" t="s">
        <v>8719</v>
      </c>
      <c r="D1343" s="11">
        <v>26</v>
      </c>
      <c r="E1343" s="5" t="s">
        <v>8805</v>
      </c>
      <c r="F1343" s="5" t="s">
        <v>8806</v>
      </c>
      <c r="G1343" s="5" t="s">
        <v>31</v>
      </c>
      <c r="H1343" s="5" t="s">
        <v>39</v>
      </c>
      <c r="I1343" s="5" t="s">
        <v>57</v>
      </c>
      <c r="J1343" s="5" t="s">
        <v>1192</v>
      </c>
      <c r="K1343" s="5" t="s">
        <v>8807</v>
      </c>
      <c r="L1343" s="11">
        <v>1</v>
      </c>
      <c r="M1343" s="5" t="s">
        <v>4518</v>
      </c>
    </row>
    <row r="1344" spans="2:13" ht="37.5" customHeight="1" x14ac:dyDescent="0.35">
      <c r="B1344" s="12">
        <v>63</v>
      </c>
      <c r="C1344" s="7" t="s">
        <v>8719</v>
      </c>
      <c r="D1344" s="12">
        <v>27</v>
      </c>
      <c r="E1344" s="7" t="s">
        <v>8808</v>
      </c>
      <c r="F1344" s="7" t="s">
        <v>8809</v>
      </c>
      <c r="G1344" s="7" t="s">
        <v>1196</v>
      </c>
      <c r="H1344" s="7" t="s">
        <v>8736</v>
      </c>
      <c r="I1344" s="7" t="s">
        <v>8810</v>
      </c>
      <c r="J1344" s="7" t="s">
        <v>4166</v>
      </c>
      <c r="K1344" s="7" t="s">
        <v>8811</v>
      </c>
      <c r="L1344" s="12">
        <v>2</v>
      </c>
      <c r="M1344" s="7" t="s">
        <v>4518</v>
      </c>
    </row>
    <row r="1345" spans="2:13" ht="21.75" customHeight="1" x14ac:dyDescent="0.35">
      <c r="B1345" s="11">
        <v>63</v>
      </c>
      <c r="C1345" s="5" t="s">
        <v>8719</v>
      </c>
      <c r="D1345" s="11">
        <v>28</v>
      </c>
      <c r="E1345" s="5" t="s">
        <v>8812</v>
      </c>
      <c r="F1345" s="5" t="s">
        <v>8813</v>
      </c>
      <c r="G1345" s="5" t="s">
        <v>788</v>
      </c>
      <c r="H1345" s="5" t="s">
        <v>39</v>
      </c>
      <c r="I1345" s="5" t="s">
        <v>57</v>
      </c>
      <c r="J1345" s="5" t="s">
        <v>5588</v>
      </c>
      <c r="K1345" s="5" t="s">
        <v>8814</v>
      </c>
      <c r="L1345" s="11">
        <v>1</v>
      </c>
      <c r="M1345" s="5" t="s">
        <v>4518</v>
      </c>
    </row>
    <row r="1346" spans="2:13" ht="37.5" customHeight="1" x14ac:dyDescent="0.35">
      <c r="B1346" s="12">
        <v>63</v>
      </c>
      <c r="C1346" s="7" t="s">
        <v>8719</v>
      </c>
      <c r="D1346" s="12">
        <v>29</v>
      </c>
      <c r="E1346" s="7" t="s">
        <v>8815</v>
      </c>
      <c r="F1346" s="7" t="s">
        <v>8816</v>
      </c>
      <c r="G1346" s="7" t="s">
        <v>742</v>
      </c>
      <c r="H1346" s="7" t="s">
        <v>42</v>
      </c>
      <c r="I1346" s="7" t="s">
        <v>8043</v>
      </c>
      <c r="J1346" s="7" t="s">
        <v>4308</v>
      </c>
      <c r="K1346" s="7" t="s">
        <v>8817</v>
      </c>
      <c r="L1346" s="12">
        <v>1</v>
      </c>
      <c r="M1346" s="7" t="s">
        <v>4518</v>
      </c>
    </row>
    <row r="1347" spans="2:13" ht="37.5" customHeight="1" x14ac:dyDescent="0.35">
      <c r="B1347" s="11">
        <v>63</v>
      </c>
      <c r="C1347" s="5" t="s">
        <v>8719</v>
      </c>
      <c r="D1347" s="11">
        <v>30</v>
      </c>
      <c r="E1347" s="5" t="s">
        <v>8818</v>
      </c>
      <c r="F1347" s="5" t="s">
        <v>8819</v>
      </c>
      <c r="G1347" s="5" t="s">
        <v>560</v>
      </c>
      <c r="H1347" s="5" t="s">
        <v>41</v>
      </c>
      <c r="I1347" s="5" t="s">
        <v>49</v>
      </c>
      <c r="J1347" s="5" t="s">
        <v>1063</v>
      </c>
      <c r="K1347" s="5" t="s">
        <v>6492</v>
      </c>
      <c r="L1347" s="11">
        <v>1</v>
      </c>
      <c r="M1347" s="5" t="s">
        <v>4518</v>
      </c>
    </row>
    <row r="1348" spans="2:13" ht="21.75" customHeight="1" x14ac:dyDescent="0.35">
      <c r="B1348" s="12">
        <v>63</v>
      </c>
      <c r="C1348" s="7" t="s">
        <v>8719</v>
      </c>
      <c r="D1348" s="12">
        <v>31</v>
      </c>
      <c r="E1348" s="7" t="s">
        <v>8820</v>
      </c>
      <c r="F1348" s="7" t="s">
        <v>8821</v>
      </c>
      <c r="G1348" s="7" t="s">
        <v>686</v>
      </c>
      <c r="H1348" s="7" t="s">
        <v>39</v>
      </c>
      <c r="I1348" s="7" t="s">
        <v>57</v>
      </c>
      <c r="J1348" s="7" t="s">
        <v>5588</v>
      </c>
      <c r="K1348" s="7" t="s">
        <v>8814</v>
      </c>
      <c r="L1348" s="12">
        <v>1</v>
      </c>
      <c r="M1348" s="7" t="s">
        <v>4518</v>
      </c>
    </row>
    <row r="1349" spans="2:13" ht="37.5" customHeight="1" x14ac:dyDescent="0.35">
      <c r="B1349" s="11">
        <v>63</v>
      </c>
      <c r="C1349" s="5" t="s">
        <v>8719</v>
      </c>
      <c r="D1349" s="11">
        <v>32</v>
      </c>
      <c r="E1349" s="5" t="s">
        <v>8822</v>
      </c>
      <c r="F1349" s="5" t="s">
        <v>8823</v>
      </c>
      <c r="G1349" s="5" t="s">
        <v>1513</v>
      </c>
      <c r="H1349" s="5" t="s">
        <v>8824</v>
      </c>
      <c r="I1349" s="5" t="s">
        <v>8825</v>
      </c>
      <c r="J1349" s="5" t="s">
        <v>5645</v>
      </c>
      <c r="K1349" s="5" t="s">
        <v>8826</v>
      </c>
      <c r="L1349" s="11">
        <v>2</v>
      </c>
      <c r="M1349" s="5" t="s">
        <v>4518</v>
      </c>
    </row>
    <row r="1350" spans="2:13" ht="37.5" customHeight="1" x14ac:dyDescent="0.35">
      <c r="B1350" s="12">
        <v>63</v>
      </c>
      <c r="C1350" s="7" t="s">
        <v>8719</v>
      </c>
      <c r="D1350" s="12">
        <v>33</v>
      </c>
      <c r="E1350" s="7" t="s">
        <v>8827</v>
      </c>
      <c r="F1350" s="7" t="s">
        <v>8828</v>
      </c>
      <c r="G1350" s="7" t="s">
        <v>395</v>
      </c>
      <c r="H1350" s="7" t="s">
        <v>42</v>
      </c>
      <c r="I1350" s="7" t="s">
        <v>8829</v>
      </c>
      <c r="J1350" s="7" t="s">
        <v>4308</v>
      </c>
      <c r="K1350" s="7" t="s">
        <v>8830</v>
      </c>
      <c r="L1350" s="12">
        <v>1</v>
      </c>
      <c r="M1350" s="7" t="s">
        <v>4518</v>
      </c>
    </row>
    <row r="1351" spans="2:13" ht="21.75" customHeight="1" x14ac:dyDescent="0.35">
      <c r="B1351" s="11">
        <v>63</v>
      </c>
      <c r="C1351" s="5" t="s">
        <v>8719</v>
      </c>
      <c r="D1351" s="11">
        <v>34</v>
      </c>
      <c r="E1351" s="5" t="s">
        <v>8831</v>
      </c>
      <c r="F1351" s="5" t="s">
        <v>8832</v>
      </c>
      <c r="G1351" s="5" t="s">
        <v>778</v>
      </c>
      <c r="H1351" s="5" t="s">
        <v>39</v>
      </c>
      <c r="I1351" s="5" t="s">
        <v>57</v>
      </c>
      <c r="J1351" s="5" t="s">
        <v>5588</v>
      </c>
      <c r="K1351" s="5" t="s">
        <v>8814</v>
      </c>
      <c r="L1351" s="11">
        <v>1</v>
      </c>
      <c r="M1351" s="5" t="s">
        <v>4518</v>
      </c>
    </row>
    <row r="1352" spans="2:13" ht="21.75" customHeight="1" x14ac:dyDescent="0.35">
      <c r="B1352" s="12">
        <v>63</v>
      </c>
      <c r="C1352" s="7" t="s">
        <v>8719</v>
      </c>
      <c r="D1352" s="12">
        <v>35</v>
      </c>
      <c r="E1352" s="7" t="s">
        <v>8833</v>
      </c>
      <c r="F1352" s="7" t="s">
        <v>8834</v>
      </c>
      <c r="G1352" s="7" t="s">
        <v>927</v>
      </c>
      <c r="H1352" s="7" t="s">
        <v>42</v>
      </c>
      <c r="I1352" s="7" t="s">
        <v>5023</v>
      </c>
      <c r="J1352" s="7" t="s">
        <v>1579</v>
      </c>
      <c r="K1352" s="7" t="s">
        <v>8835</v>
      </c>
      <c r="L1352" s="12">
        <v>1</v>
      </c>
      <c r="M1352" s="7" t="s">
        <v>4518</v>
      </c>
    </row>
    <row r="1353" spans="2:13" ht="21.75" customHeight="1" x14ac:dyDescent="0.35">
      <c r="B1353" s="11">
        <v>63</v>
      </c>
      <c r="C1353" s="5" t="s">
        <v>8719</v>
      </c>
      <c r="D1353" s="11">
        <v>36</v>
      </c>
      <c r="E1353" s="5" t="s">
        <v>8836</v>
      </c>
      <c r="F1353" s="5" t="s">
        <v>8837</v>
      </c>
      <c r="G1353" s="5" t="s">
        <v>3703</v>
      </c>
      <c r="H1353" s="5" t="s">
        <v>37</v>
      </c>
      <c r="I1353" s="5" t="s">
        <v>170</v>
      </c>
      <c r="J1353" s="5" t="s">
        <v>1579</v>
      </c>
      <c r="K1353" s="5" t="s">
        <v>5045</v>
      </c>
      <c r="L1353" s="11">
        <v>1</v>
      </c>
      <c r="M1353" s="5" t="s">
        <v>4518</v>
      </c>
    </row>
    <row r="1354" spans="2:13" ht="37.5" customHeight="1" x14ac:dyDescent="0.35">
      <c r="B1354" s="12">
        <v>63</v>
      </c>
      <c r="C1354" s="7" t="s">
        <v>8719</v>
      </c>
      <c r="D1354" s="12">
        <v>37</v>
      </c>
      <c r="E1354" s="7" t="s">
        <v>8838</v>
      </c>
      <c r="F1354" s="7" t="s">
        <v>8839</v>
      </c>
      <c r="G1354" s="7" t="s">
        <v>212</v>
      </c>
      <c r="H1354" s="7" t="s">
        <v>8840</v>
      </c>
      <c r="I1354" s="7" t="s">
        <v>8841</v>
      </c>
      <c r="J1354" s="7" t="s">
        <v>8729</v>
      </c>
      <c r="K1354" s="7" t="s">
        <v>8842</v>
      </c>
      <c r="L1354" s="12">
        <v>2</v>
      </c>
      <c r="M1354" s="7" t="s">
        <v>4518</v>
      </c>
    </row>
    <row r="1355" spans="2:13" ht="21.75" customHeight="1" x14ac:dyDescent="0.35">
      <c r="B1355" s="11">
        <v>63</v>
      </c>
      <c r="C1355" s="5" t="s">
        <v>8719</v>
      </c>
      <c r="D1355" s="11">
        <v>38</v>
      </c>
      <c r="E1355" s="5" t="s">
        <v>8843</v>
      </c>
      <c r="F1355" s="5" t="s">
        <v>8844</v>
      </c>
      <c r="G1355" s="5" t="s">
        <v>32</v>
      </c>
      <c r="H1355" s="5" t="s">
        <v>39</v>
      </c>
      <c r="I1355" s="5" t="s">
        <v>57</v>
      </c>
      <c r="J1355" s="5" t="s">
        <v>5588</v>
      </c>
      <c r="K1355" s="5" t="s">
        <v>8814</v>
      </c>
      <c r="L1355" s="11">
        <v>1</v>
      </c>
      <c r="M1355" s="5" t="s">
        <v>4518</v>
      </c>
    </row>
    <row r="1356" spans="2:13" ht="21.75" customHeight="1" x14ac:dyDescent="0.35">
      <c r="B1356" s="12">
        <v>63</v>
      </c>
      <c r="C1356" s="7" t="s">
        <v>8719</v>
      </c>
      <c r="D1356" s="12">
        <v>39</v>
      </c>
      <c r="E1356" s="7" t="s">
        <v>8845</v>
      </c>
      <c r="F1356" s="7" t="s">
        <v>8846</v>
      </c>
      <c r="G1356" s="7" t="s">
        <v>1661</v>
      </c>
      <c r="H1356" s="7" t="s">
        <v>39</v>
      </c>
      <c r="I1356" s="7" t="s">
        <v>57</v>
      </c>
      <c r="J1356" s="7" t="s">
        <v>5588</v>
      </c>
      <c r="K1356" s="7" t="s">
        <v>8814</v>
      </c>
      <c r="L1356" s="12">
        <v>1</v>
      </c>
      <c r="M1356" s="7" t="s">
        <v>4518</v>
      </c>
    </row>
    <row r="1357" spans="2:13" ht="37.5" customHeight="1" x14ac:dyDescent="0.35">
      <c r="B1357" s="11">
        <v>63</v>
      </c>
      <c r="C1357" s="5" t="s">
        <v>8719</v>
      </c>
      <c r="D1357" s="11">
        <v>40</v>
      </c>
      <c r="E1357" s="5" t="s">
        <v>8847</v>
      </c>
      <c r="F1357" s="5" t="s">
        <v>8848</v>
      </c>
      <c r="G1357" s="5" t="s">
        <v>865</v>
      </c>
      <c r="H1357" s="5" t="s">
        <v>39</v>
      </c>
      <c r="I1357" s="5" t="s">
        <v>57</v>
      </c>
      <c r="J1357" s="5" t="s">
        <v>5588</v>
      </c>
      <c r="K1357" s="5" t="s">
        <v>8814</v>
      </c>
      <c r="L1357" s="11">
        <v>1</v>
      </c>
      <c r="M1357" s="5" t="s">
        <v>4518</v>
      </c>
    </row>
    <row r="1358" spans="2:13" ht="21.75" customHeight="1" x14ac:dyDescent="0.35">
      <c r="B1358" s="12">
        <v>63</v>
      </c>
      <c r="C1358" s="7" t="s">
        <v>8719</v>
      </c>
      <c r="D1358" s="12">
        <v>41</v>
      </c>
      <c r="E1358" s="7" t="s">
        <v>8849</v>
      </c>
      <c r="F1358" s="7" t="s">
        <v>8850</v>
      </c>
      <c r="G1358" s="7" t="s">
        <v>365</v>
      </c>
      <c r="H1358" s="7" t="s">
        <v>39</v>
      </c>
      <c r="I1358" s="7" t="s">
        <v>57</v>
      </c>
      <c r="J1358" s="7" t="s">
        <v>5588</v>
      </c>
      <c r="K1358" s="7" t="s">
        <v>8814</v>
      </c>
      <c r="L1358" s="12">
        <v>1</v>
      </c>
      <c r="M1358" s="7" t="s">
        <v>4518</v>
      </c>
    </row>
    <row r="1359" spans="2:13" ht="37.5" customHeight="1" x14ac:dyDescent="0.35">
      <c r="B1359" s="11">
        <v>63</v>
      </c>
      <c r="C1359" s="5" t="s">
        <v>8719</v>
      </c>
      <c r="D1359" s="11">
        <v>42</v>
      </c>
      <c r="E1359" s="5" t="s">
        <v>8851</v>
      </c>
      <c r="F1359" s="5" t="s">
        <v>8852</v>
      </c>
      <c r="G1359" s="5" t="s">
        <v>648</v>
      </c>
      <c r="H1359" s="5" t="s">
        <v>39</v>
      </c>
      <c r="I1359" s="5" t="s">
        <v>57</v>
      </c>
      <c r="J1359" s="5" t="s">
        <v>5588</v>
      </c>
      <c r="K1359" s="5" t="s">
        <v>8814</v>
      </c>
      <c r="L1359" s="11">
        <v>1</v>
      </c>
      <c r="M1359" s="5" t="s">
        <v>4518</v>
      </c>
    </row>
    <row r="1360" spans="2:13" ht="37.5" customHeight="1" x14ac:dyDescent="0.35">
      <c r="B1360" s="12">
        <v>63</v>
      </c>
      <c r="C1360" s="7" t="s">
        <v>8719</v>
      </c>
      <c r="D1360" s="12">
        <v>43</v>
      </c>
      <c r="E1360" s="7" t="s">
        <v>8853</v>
      </c>
      <c r="F1360" s="7" t="s">
        <v>8854</v>
      </c>
      <c r="G1360" s="7" t="s">
        <v>3135</v>
      </c>
      <c r="H1360" s="7" t="s">
        <v>41</v>
      </c>
      <c r="I1360" s="7" t="s">
        <v>7875</v>
      </c>
      <c r="J1360" s="7" t="s">
        <v>1063</v>
      </c>
      <c r="K1360" s="7" t="s">
        <v>8752</v>
      </c>
      <c r="L1360" s="12">
        <v>1</v>
      </c>
      <c r="M1360" s="7" t="s">
        <v>4518</v>
      </c>
    </row>
    <row r="1361" spans="2:13" ht="37.5" customHeight="1" x14ac:dyDescent="0.35">
      <c r="B1361" s="11">
        <v>63</v>
      </c>
      <c r="C1361" s="5" t="s">
        <v>8719</v>
      </c>
      <c r="D1361" s="11">
        <v>44</v>
      </c>
      <c r="E1361" s="5" t="s">
        <v>8855</v>
      </c>
      <c r="F1361" s="5" t="s">
        <v>8856</v>
      </c>
      <c r="G1361" s="5" t="s">
        <v>7534</v>
      </c>
      <c r="H1361" s="5" t="s">
        <v>41</v>
      </c>
      <c r="I1361" s="5" t="s">
        <v>7875</v>
      </c>
      <c r="J1361" s="5" t="s">
        <v>1063</v>
      </c>
      <c r="K1361" s="5" t="s">
        <v>8752</v>
      </c>
      <c r="L1361" s="11">
        <v>1</v>
      </c>
      <c r="M1361" s="5" t="s">
        <v>4518</v>
      </c>
    </row>
    <row r="1362" spans="2:13" ht="52.5" customHeight="1" x14ac:dyDescent="0.35">
      <c r="B1362" s="12">
        <v>63</v>
      </c>
      <c r="C1362" s="7" t="s">
        <v>8719</v>
      </c>
      <c r="D1362" s="12">
        <v>45</v>
      </c>
      <c r="E1362" s="7" t="s">
        <v>8857</v>
      </c>
      <c r="F1362" s="7" t="s">
        <v>8858</v>
      </c>
      <c r="G1362" s="7" t="s">
        <v>953</v>
      </c>
      <c r="H1362" s="7" t="s">
        <v>8859</v>
      </c>
      <c r="I1362" s="7" t="s">
        <v>8860</v>
      </c>
      <c r="J1362" s="7" t="s">
        <v>8729</v>
      </c>
      <c r="K1362" s="7" t="s">
        <v>8861</v>
      </c>
      <c r="L1362" s="12">
        <v>2</v>
      </c>
      <c r="M1362" s="7" t="s">
        <v>4518</v>
      </c>
    </row>
    <row r="1363" spans="2:13" ht="21.75" customHeight="1" x14ac:dyDescent="0.35">
      <c r="B1363" s="11">
        <v>63</v>
      </c>
      <c r="C1363" s="5" t="s">
        <v>8719</v>
      </c>
      <c r="D1363" s="11">
        <v>46</v>
      </c>
      <c r="E1363" s="5" t="s">
        <v>8862</v>
      </c>
      <c r="F1363" s="5" t="s">
        <v>8863</v>
      </c>
      <c r="G1363" s="5" t="s">
        <v>973</v>
      </c>
      <c r="H1363" s="5" t="s">
        <v>41</v>
      </c>
      <c r="I1363" s="5" t="s">
        <v>49</v>
      </c>
      <c r="J1363" s="5" t="s">
        <v>1063</v>
      </c>
      <c r="K1363" s="5" t="s">
        <v>6492</v>
      </c>
      <c r="L1363" s="11">
        <v>1</v>
      </c>
      <c r="M1363" s="5" t="s">
        <v>4518</v>
      </c>
    </row>
    <row r="1364" spans="2:13" ht="37.5" customHeight="1" x14ac:dyDescent="0.35">
      <c r="B1364" s="12">
        <v>63</v>
      </c>
      <c r="C1364" s="7" t="s">
        <v>8719</v>
      </c>
      <c r="D1364" s="12">
        <v>47</v>
      </c>
      <c r="E1364" s="7" t="s">
        <v>8864</v>
      </c>
      <c r="F1364" s="7" t="s">
        <v>8865</v>
      </c>
      <c r="G1364" s="7" t="s">
        <v>8558</v>
      </c>
      <c r="H1364" s="7" t="s">
        <v>8593</v>
      </c>
      <c r="I1364" s="7" t="s">
        <v>8785</v>
      </c>
      <c r="J1364" s="7" t="s">
        <v>1063</v>
      </c>
      <c r="K1364" s="7" t="s">
        <v>8866</v>
      </c>
      <c r="L1364" s="12">
        <v>1</v>
      </c>
      <c r="M1364" s="7" t="s">
        <v>4518</v>
      </c>
    </row>
    <row r="1365" spans="2:13" ht="37.5" customHeight="1" x14ac:dyDescent="0.35">
      <c r="B1365" s="11">
        <v>63</v>
      </c>
      <c r="C1365" s="5" t="s">
        <v>8719</v>
      </c>
      <c r="D1365" s="11">
        <v>48</v>
      </c>
      <c r="E1365" s="5" t="s">
        <v>8867</v>
      </c>
      <c r="F1365" s="5" t="s">
        <v>8868</v>
      </c>
      <c r="G1365" s="5" t="s">
        <v>1560</v>
      </c>
      <c r="H1365" s="5" t="s">
        <v>8593</v>
      </c>
      <c r="I1365" s="5" t="s">
        <v>8785</v>
      </c>
      <c r="J1365" s="5" t="s">
        <v>1063</v>
      </c>
      <c r="K1365" s="5" t="s">
        <v>8866</v>
      </c>
      <c r="L1365" s="11">
        <v>1</v>
      </c>
      <c r="M1365" s="5" t="s">
        <v>4518</v>
      </c>
    </row>
    <row r="1366" spans="2:13" ht="37.5" customHeight="1" x14ac:dyDescent="0.35">
      <c r="B1366" s="12">
        <v>63</v>
      </c>
      <c r="C1366" s="7" t="s">
        <v>8719</v>
      </c>
      <c r="D1366" s="12">
        <v>49</v>
      </c>
      <c r="E1366" s="7" t="s">
        <v>8869</v>
      </c>
      <c r="F1366" s="7" t="s">
        <v>8870</v>
      </c>
      <c r="G1366" s="7" t="s">
        <v>662</v>
      </c>
      <c r="H1366" s="7" t="s">
        <v>8593</v>
      </c>
      <c r="I1366" s="7" t="s">
        <v>8785</v>
      </c>
      <c r="J1366" s="7" t="s">
        <v>1063</v>
      </c>
      <c r="K1366" s="7" t="s">
        <v>8866</v>
      </c>
      <c r="L1366" s="12">
        <v>1</v>
      </c>
      <c r="M1366" s="7" t="s">
        <v>4518</v>
      </c>
    </row>
    <row r="1367" spans="2:13" ht="37.5" customHeight="1" x14ac:dyDescent="0.35">
      <c r="B1367" s="11">
        <v>63</v>
      </c>
      <c r="C1367" s="5" t="s">
        <v>8719</v>
      </c>
      <c r="D1367" s="11">
        <v>50</v>
      </c>
      <c r="E1367" s="5" t="s">
        <v>8871</v>
      </c>
      <c r="F1367" s="5" t="s">
        <v>8872</v>
      </c>
      <c r="G1367" s="5" t="s">
        <v>566</v>
      </c>
      <c r="H1367" s="5" t="s">
        <v>8873</v>
      </c>
      <c r="I1367" s="5" t="s">
        <v>8737</v>
      </c>
      <c r="J1367" s="5" t="s">
        <v>4166</v>
      </c>
      <c r="K1367" s="5" t="s">
        <v>8874</v>
      </c>
      <c r="L1367" s="11">
        <v>2</v>
      </c>
      <c r="M1367" s="5" t="s">
        <v>4518</v>
      </c>
    </row>
    <row r="1368" spans="2:13" ht="21.75" customHeight="1" x14ac:dyDescent="0.35">
      <c r="B1368" s="12">
        <v>63</v>
      </c>
      <c r="C1368" s="7" t="s">
        <v>8719</v>
      </c>
      <c r="D1368" s="12">
        <v>51</v>
      </c>
      <c r="E1368" s="7" t="s">
        <v>8875</v>
      </c>
      <c r="F1368" s="7" t="s">
        <v>8876</v>
      </c>
      <c r="G1368" s="7" t="s">
        <v>810</v>
      </c>
      <c r="H1368" s="7" t="s">
        <v>39</v>
      </c>
      <c r="I1368" s="7" t="s">
        <v>57</v>
      </c>
      <c r="J1368" s="7" t="s">
        <v>5588</v>
      </c>
      <c r="K1368" s="7" t="s">
        <v>8814</v>
      </c>
      <c r="L1368" s="12">
        <v>1</v>
      </c>
      <c r="M1368" s="7" t="s">
        <v>4518</v>
      </c>
    </row>
    <row r="1369" spans="2:13" ht="37.5" customHeight="1" x14ac:dyDescent="0.35">
      <c r="B1369" s="11">
        <v>63</v>
      </c>
      <c r="C1369" s="5" t="s">
        <v>8719</v>
      </c>
      <c r="D1369" s="11">
        <v>52</v>
      </c>
      <c r="E1369" s="5" t="s">
        <v>8877</v>
      </c>
      <c r="F1369" s="5" t="s">
        <v>8878</v>
      </c>
      <c r="G1369" s="5" t="s">
        <v>800</v>
      </c>
      <c r="H1369" s="5" t="s">
        <v>359</v>
      </c>
      <c r="I1369" s="5" t="s">
        <v>8737</v>
      </c>
      <c r="J1369" s="5" t="s">
        <v>8879</v>
      </c>
      <c r="K1369" s="5" t="s">
        <v>8880</v>
      </c>
      <c r="L1369" s="11">
        <v>2</v>
      </c>
      <c r="M1369" s="5" t="s">
        <v>4518</v>
      </c>
    </row>
    <row r="1370" spans="2:13" ht="37.5" customHeight="1" x14ac:dyDescent="0.35">
      <c r="B1370" s="12">
        <v>63</v>
      </c>
      <c r="C1370" s="7" t="s">
        <v>8719</v>
      </c>
      <c r="D1370" s="12">
        <v>53</v>
      </c>
      <c r="E1370" s="7" t="s">
        <v>8881</v>
      </c>
      <c r="F1370" s="7" t="s">
        <v>8882</v>
      </c>
      <c r="G1370" s="7" t="s">
        <v>837</v>
      </c>
      <c r="H1370" s="7" t="s">
        <v>39</v>
      </c>
      <c r="I1370" s="7" t="s">
        <v>57</v>
      </c>
      <c r="J1370" s="7" t="s">
        <v>5588</v>
      </c>
      <c r="K1370" s="7" t="s">
        <v>8814</v>
      </c>
      <c r="L1370" s="12">
        <v>1</v>
      </c>
      <c r="M1370" s="7" t="s">
        <v>4518</v>
      </c>
    </row>
    <row r="1371" spans="2:13" ht="37.5" customHeight="1" x14ac:dyDescent="0.35">
      <c r="B1371" s="11">
        <v>63</v>
      </c>
      <c r="C1371" s="5" t="s">
        <v>8719</v>
      </c>
      <c r="D1371" s="11">
        <v>54</v>
      </c>
      <c r="E1371" s="5" t="s">
        <v>8883</v>
      </c>
      <c r="F1371" s="5" t="s">
        <v>8884</v>
      </c>
      <c r="G1371" s="5" t="s">
        <v>678</v>
      </c>
      <c r="H1371" s="5" t="s">
        <v>39</v>
      </c>
      <c r="I1371" s="5" t="s">
        <v>8885</v>
      </c>
      <c r="J1371" s="5" t="s">
        <v>5588</v>
      </c>
      <c r="K1371" s="5" t="s">
        <v>8886</v>
      </c>
      <c r="L1371" s="11">
        <v>1</v>
      </c>
      <c r="M1371" s="5" t="s">
        <v>4518</v>
      </c>
    </row>
    <row r="1372" spans="2:13" ht="67.5" customHeight="1" x14ac:dyDescent="0.35">
      <c r="B1372" s="12">
        <v>63</v>
      </c>
      <c r="C1372" s="7" t="s">
        <v>8719</v>
      </c>
      <c r="D1372" s="12">
        <v>55</v>
      </c>
      <c r="E1372" s="7" t="s">
        <v>8887</v>
      </c>
      <c r="F1372" s="7" t="s">
        <v>8888</v>
      </c>
      <c r="G1372" s="7" t="s">
        <v>25</v>
      </c>
      <c r="H1372" s="7" t="s">
        <v>8889</v>
      </c>
      <c r="I1372" s="7" t="s">
        <v>8890</v>
      </c>
      <c r="J1372" s="7" t="s">
        <v>4166</v>
      </c>
      <c r="K1372" s="7" t="s">
        <v>8891</v>
      </c>
      <c r="L1372" s="12">
        <v>3</v>
      </c>
      <c r="M1372" s="7" t="s">
        <v>4518</v>
      </c>
    </row>
    <row r="1373" spans="2:13" ht="21.75" customHeight="1" x14ac:dyDescent="0.35">
      <c r="B1373" s="11">
        <v>63</v>
      </c>
      <c r="C1373" s="5" t="s">
        <v>8719</v>
      </c>
      <c r="D1373" s="11">
        <v>56</v>
      </c>
      <c r="E1373" s="5" t="s">
        <v>8892</v>
      </c>
      <c r="F1373" s="5" t="s">
        <v>8893</v>
      </c>
      <c r="G1373" s="5" t="s">
        <v>26</v>
      </c>
      <c r="H1373" s="5" t="s">
        <v>43</v>
      </c>
      <c r="I1373" s="5" t="s">
        <v>8742</v>
      </c>
      <c r="J1373" s="5" t="s">
        <v>1063</v>
      </c>
      <c r="K1373" s="5" t="s">
        <v>8743</v>
      </c>
      <c r="L1373" s="11">
        <v>1</v>
      </c>
      <c r="M1373" s="5" t="s">
        <v>4518</v>
      </c>
    </row>
    <row r="1374" spans="2:13" ht="21.75" customHeight="1" x14ac:dyDescent="0.35">
      <c r="B1374" s="12">
        <v>63</v>
      </c>
      <c r="C1374" s="7" t="s">
        <v>8719</v>
      </c>
      <c r="D1374" s="12">
        <v>57</v>
      </c>
      <c r="E1374" s="7" t="s">
        <v>8894</v>
      </c>
      <c r="F1374" s="7" t="s">
        <v>8895</v>
      </c>
      <c r="G1374" s="7" t="s">
        <v>1692</v>
      </c>
      <c r="H1374" s="7" t="s">
        <v>39</v>
      </c>
      <c r="I1374" s="7" t="s">
        <v>57</v>
      </c>
      <c r="J1374" s="7" t="s">
        <v>5588</v>
      </c>
      <c r="K1374" s="7" t="s">
        <v>8814</v>
      </c>
      <c r="L1374" s="12">
        <v>1</v>
      </c>
      <c r="M1374" s="7" t="s">
        <v>4518</v>
      </c>
    </row>
    <row r="1375" spans="2:13" ht="21.75" customHeight="1" x14ac:dyDescent="0.35">
      <c r="B1375" s="11">
        <v>63</v>
      </c>
      <c r="C1375" s="5" t="s">
        <v>8719</v>
      </c>
      <c r="D1375" s="11">
        <v>58</v>
      </c>
      <c r="E1375" s="5" t="s">
        <v>8896</v>
      </c>
      <c r="F1375" s="5" t="s">
        <v>8897</v>
      </c>
      <c r="G1375" s="5" t="s">
        <v>862</v>
      </c>
      <c r="H1375" s="5" t="s">
        <v>39</v>
      </c>
      <c r="I1375" s="5" t="s">
        <v>57</v>
      </c>
      <c r="J1375" s="5" t="s">
        <v>5588</v>
      </c>
      <c r="K1375" s="5" t="s">
        <v>8814</v>
      </c>
      <c r="L1375" s="11">
        <v>1</v>
      </c>
      <c r="M1375" s="5" t="s">
        <v>4518</v>
      </c>
    </row>
    <row r="1376" spans="2:13" ht="21.75" customHeight="1" x14ac:dyDescent="0.35">
      <c r="B1376" s="12">
        <v>63</v>
      </c>
      <c r="C1376" s="7" t="s">
        <v>8719</v>
      </c>
      <c r="D1376" s="12">
        <v>59</v>
      </c>
      <c r="E1376" s="7" t="s">
        <v>8898</v>
      </c>
      <c r="F1376" s="7" t="s">
        <v>8899</v>
      </c>
      <c r="G1376" s="7" t="s">
        <v>970</v>
      </c>
      <c r="H1376" s="7" t="s">
        <v>39</v>
      </c>
      <c r="I1376" s="7" t="s">
        <v>57</v>
      </c>
      <c r="J1376" s="7" t="s">
        <v>5588</v>
      </c>
      <c r="K1376" s="7" t="s">
        <v>8814</v>
      </c>
      <c r="L1376" s="12">
        <v>1</v>
      </c>
      <c r="M1376" s="7" t="s">
        <v>4518</v>
      </c>
    </row>
    <row r="1377" spans="2:13" ht="37.5" customHeight="1" x14ac:dyDescent="0.35">
      <c r="B1377" s="11">
        <v>63</v>
      </c>
      <c r="C1377" s="5" t="s">
        <v>8719</v>
      </c>
      <c r="D1377" s="11">
        <v>60</v>
      </c>
      <c r="E1377" s="5" t="s">
        <v>8900</v>
      </c>
      <c r="F1377" s="5" t="s">
        <v>8901</v>
      </c>
      <c r="G1377" s="5" t="s">
        <v>8902</v>
      </c>
      <c r="H1377" s="5" t="s">
        <v>44</v>
      </c>
      <c r="I1377" s="5" t="s">
        <v>8785</v>
      </c>
      <c r="J1377" s="5" t="s">
        <v>1063</v>
      </c>
      <c r="K1377" s="5" t="s">
        <v>8786</v>
      </c>
      <c r="L1377" s="11">
        <v>1</v>
      </c>
      <c r="M1377" s="5" t="s">
        <v>4518</v>
      </c>
    </row>
    <row r="1378" spans="2:13" ht="37.5" customHeight="1" x14ac:dyDescent="0.35">
      <c r="B1378" s="12">
        <v>63</v>
      </c>
      <c r="C1378" s="7" t="s">
        <v>8719</v>
      </c>
      <c r="D1378" s="12">
        <v>61</v>
      </c>
      <c r="E1378" s="7" t="s">
        <v>8903</v>
      </c>
      <c r="F1378" s="7" t="s">
        <v>8904</v>
      </c>
      <c r="G1378" s="7" t="s">
        <v>831</v>
      </c>
      <c r="H1378" s="7" t="s">
        <v>37</v>
      </c>
      <c r="I1378" s="7" t="s">
        <v>193</v>
      </c>
      <c r="J1378" s="7" t="s">
        <v>1579</v>
      </c>
      <c r="K1378" s="7" t="s">
        <v>8757</v>
      </c>
      <c r="L1378" s="12">
        <v>1</v>
      </c>
      <c r="M1378" s="7" t="s">
        <v>4518</v>
      </c>
    </row>
    <row r="1379" spans="2:13" ht="37.5" customHeight="1" x14ac:dyDescent="0.35">
      <c r="B1379" s="11">
        <v>63</v>
      </c>
      <c r="C1379" s="5" t="s">
        <v>8719</v>
      </c>
      <c r="D1379" s="11">
        <v>62</v>
      </c>
      <c r="E1379" s="5" t="s">
        <v>8905</v>
      </c>
      <c r="F1379" s="5" t="s">
        <v>8906</v>
      </c>
      <c r="G1379" s="5" t="s">
        <v>445</v>
      </c>
      <c r="H1379" s="5" t="s">
        <v>301</v>
      </c>
      <c r="I1379" s="5" t="s">
        <v>8907</v>
      </c>
      <c r="J1379" s="5" t="s">
        <v>8908</v>
      </c>
      <c r="K1379" s="5" t="s">
        <v>8909</v>
      </c>
      <c r="L1379" s="11">
        <v>2</v>
      </c>
      <c r="M1379" s="5" t="s">
        <v>4518</v>
      </c>
    </row>
    <row r="1380" spans="2:13" ht="21.75" customHeight="1" x14ac:dyDescent="0.35">
      <c r="B1380" s="12">
        <v>63</v>
      </c>
      <c r="C1380" s="7" t="s">
        <v>8719</v>
      </c>
      <c r="D1380" s="12">
        <v>63</v>
      </c>
      <c r="E1380" s="7" t="s">
        <v>8910</v>
      </c>
      <c r="F1380" s="7" t="s">
        <v>8911</v>
      </c>
      <c r="G1380" s="7" t="s">
        <v>457</v>
      </c>
      <c r="H1380" s="7" t="s">
        <v>37</v>
      </c>
      <c r="I1380" s="7" t="s">
        <v>193</v>
      </c>
      <c r="J1380" s="7" t="s">
        <v>1579</v>
      </c>
      <c r="K1380" s="7" t="s">
        <v>8757</v>
      </c>
      <c r="L1380" s="12">
        <v>1</v>
      </c>
      <c r="M1380" s="7" t="s">
        <v>4518</v>
      </c>
    </row>
    <row r="1381" spans="2:13" ht="21.75" customHeight="1" x14ac:dyDescent="0.35">
      <c r="B1381" s="11">
        <v>63</v>
      </c>
      <c r="C1381" s="5" t="s">
        <v>8719</v>
      </c>
      <c r="D1381" s="11">
        <v>64</v>
      </c>
      <c r="E1381" s="5" t="s">
        <v>8912</v>
      </c>
      <c r="F1381" s="5" t="s">
        <v>8913</v>
      </c>
      <c r="G1381" s="5" t="s">
        <v>727</v>
      </c>
      <c r="H1381" s="5" t="s">
        <v>37</v>
      </c>
      <c r="I1381" s="5" t="s">
        <v>193</v>
      </c>
      <c r="J1381" s="5" t="s">
        <v>1579</v>
      </c>
      <c r="K1381" s="5" t="s">
        <v>8757</v>
      </c>
      <c r="L1381" s="11">
        <v>1</v>
      </c>
      <c r="M1381" s="5" t="s">
        <v>4518</v>
      </c>
    </row>
    <row r="1382" spans="2:13" ht="37.5" customHeight="1" x14ac:dyDescent="0.35">
      <c r="B1382" s="12">
        <v>63</v>
      </c>
      <c r="C1382" s="7" t="s">
        <v>8719</v>
      </c>
      <c r="D1382" s="12">
        <v>65</v>
      </c>
      <c r="E1382" s="7" t="s">
        <v>8914</v>
      </c>
      <c r="F1382" s="7" t="s">
        <v>8915</v>
      </c>
      <c r="G1382" s="7" t="s">
        <v>552</v>
      </c>
      <c r="H1382" s="7" t="s">
        <v>43</v>
      </c>
      <c r="I1382" s="7" t="s">
        <v>8742</v>
      </c>
      <c r="J1382" s="7" t="s">
        <v>1063</v>
      </c>
      <c r="K1382" s="7" t="s">
        <v>8743</v>
      </c>
      <c r="L1382" s="12">
        <v>1</v>
      </c>
      <c r="M1382" s="7" t="s">
        <v>4518</v>
      </c>
    </row>
    <row r="1383" spans="2:13" ht="37.5" customHeight="1" x14ac:dyDescent="0.35">
      <c r="B1383" s="11">
        <v>63</v>
      </c>
      <c r="C1383" s="5" t="s">
        <v>8719</v>
      </c>
      <c r="D1383" s="11">
        <v>66</v>
      </c>
      <c r="E1383" s="5" t="s">
        <v>8916</v>
      </c>
      <c r="F1383" s="5" t="s">
        <v>8917</v>
      </c>
      <c r="G1383" s="5" t="s">
        <v>585</v>
      </c>
      <c r="H1383" s="5" t="s">
        <v>43</v>
      </c>
      <c r="I1383" s="5" t="s">
        <v>8742</v>
      </c>
      <c r="J1383" s="5" t="s">
        <v>1063</v>
      </c>
      <c r="K1383" s="5" t="s">
        <v>8743</v>
      </c>
      <c r="L1383" s="11">
        <v>1</v>
      </c>
      <c r="M1383" s="5" t="s">
        <v>4518</v>
      </c>
    </row>
    <row r="1384" spans="2:13" ht="37.5" customHeight="1" x14ac:dyDescent="0.35">
      <c r="B1384" s="12">
        <v>63</v>
      </c>
      <c r="C1384" s="7" t="s">
        <v>8719</v>
      </c>
      <c r="D1384" s="12">
        <v>67</v>
      </c>
      <c r="E1384" s="7" t="s">
        <v>8918</v>
      </c>
      <c r="F1384" s="7" t="s">
        <v>8919</v>
      </c>
      <c r="G1384" s="7" t="s">
        <v>805</v>
      </c>
      <c r="H1384" s="7" t="s">
        <v>43</v>
      </c>
      <c r="I1384" s="7" t="s">
        <v>8742</v>
      </c>
      <c r="J1384" s="7" t="s">
        <v>1063</v>
      </c>
      <c r="K1384" s="7" t="s">
        <v>8743</v>
      </c>
      <c r="L1384" s="12">
        <v>1</v>
      </c>
      <c r="M1384" s="7" t="s">
        <v>4518</v>
      </c>
    </row>
    <row r="1385" spans="2:13" ht="21.75" customHeight="1" x14ac:dyDescent="0.35">
      <c r="B1385" s="11">
        <v>63</v>
      </c>
      <c r="C1385" s="5" t="s">
        <v>8719</v>
      </c>
      <c r="D1385" s="11">
        <v>68</v>
      </c>
      <c r="E1385" s="5" t="s">
        <v>8920</v>
      </c>
      <c r="F1385" s="5" t="s">
        <v>8921</v>
      </c>
      <c r="G1385" s="5" t="s">
        <v>1164</v>
      </c>
      <c r="H1385" s="5" t="s">
        <v>43</v>
      </c>
      <c r="I1385" s="5" t="s">
        <v>8742</v>
      </c>
      <c r="J1385" s="5" t="s">
        <v>1063</v>
      </c>
      <c r="K1385" s="5" t="s">
        <v>8743</v>
      </c>
      <c r="L1385" s="11">
        <v>1</v>
      </c>
      <c r="M1385" s="5" t="s">
        <v>4518</v>
      </c>
    </row>
    <row r="1386" spans="2:13" ht="21.75" customHeight="1" x14ac:dyDescent="0.35">
      <c r="B1386" s="12">
        <v>63</v>
      </c>
      <c r="C1386" s="7" t="s">
        <v>8719</v>
      </c>
      <c r="D1386" s="12">
        <v>69</v>
      </c>
      <c r="E1386" s="7" t="s">
        <v>8922</v>
      </c>
      <c r="F1386" s="7" t="s">
        <v>8923</v>
      </c>
      <c r="G1386" s="7" t="s">
        <v>445</v>
      </c>
      <c r="H1386" s="7" t="s">
        <v>39</v>
      </c>
      <c r="I1386" s="7" t="s">
        <v>57</v>
      </c>
      <c r="J1386" s="7" t="s">
        <v>8924</v>
      </c>
      <c r="K1386" s="7" t="s">
        <v>8925</v>
      </c>
      <c r="L1386" s="12">
        <v>1</v>
      </c>
      <c r="M1386" s="7" t="s">
        <v>4518</v>
      </c>
    </row>
    <row r="1387" spans="2:13" ht="21.75" customHeight="1" x14ac:dyDescent="0.35">
      <c r="B1387" s="11">
        <v>63</v>
      </c>
      <c r="C1387" s="5" t="s">
        <v>8719</v>
      </c>
      <c r="D1387" s="11">
        <v>70</v>
      </c>
      <c r="E1387" s="5" t="s">
        <v>8926</v>
      </c>
      <c r="F1387" s="5" t="s">
        <v>8927</v>
      </c>
      <c r="G1387" s="5" t="s">
        <v>794</v>
      </c>
      <c r="H1387" s="5" t="s">
        <v>39</v>
      </c>
      <c r="I1387" s="5" t="s">
        <v>57</v>
      </c>
      <c r="J1387" s="5" t="s">
        <v>5588</v>
      </c>
      <c r="K1387" s="5" t="s">
        <v>8814</v>
      </c>
      <c r="L1387" s="11">
        <v>1</v>
      </c>
      <c r="M1387" s="5" t="s">
        <v>4518</v>
      </c>
    </row>
    <row r="1388" spans="2:13" ht="52.5" customHeight="1" x14ac:dyDescent="0.35">
      <c r="B1388" s="12">
        <v>63</v>
      </c>
      <c r="C1388" s="7" t="s">
        <v>8719</v>
      </c>
      <c r="D1388" s="12">
        <v>71</v>
      </c>
      <c r="E1388" s="7" t="s">
        <v>8928</v>
      </c>
      <c r="F1388" s="7" t="s">
        <v>8929</v>
      </c>
      <c r="G1388" s="7" t="s">
        <v>198</v>
      </c>
      <c r="H1388" s="7" t="s">
        <v>8930</v>
      </c>
      <c r="I1388" s="7" t="s">
        <v>8931</v>
      </c>
      <c r="J1388" s="7" t="s">
        <v>8932</v>
      </c>
      <c r="K1388" s="7" t="s">
        <v>8933</v>
      </c>
      <c r="L1388" s="12">
        <v>3</v>
      </c>
      <c r="M1388" s="7" t="s">
        <v>4518</v>
      </c>
    </row>
    <row r="1389" spans="2:13" ht="37.5" customHeight="1" x14ac:dyDescent="0.35">
      <c r="B1389" s="11">
        <v>63</v>
      </c>
      <c r="C1389" s="5" t="s">
        <v>8719</v>
      </c>
      <c r="D1389" s="11">
        <v>72</v>
      </c>
      <c r="E1389" s="5" t="s">
        <v>8934</v>
      </c>
      <c r="F1389" s="5" t="s">
        <v>8935</v>
      </c>
      <c r="G1389" s="5" t="s">
        <v>249</v>
      </c>
      <c r="H1389" s="5" t="s">
        <v>359</v>
      </c>
      <c r="I1389" s="5" t="s">
        <v>8936</v>
      </c>
      <c r="J1389" s="5" t="s">
        <v>8937</v>
      </c>
      <c r="K1389" s="5" t="s">
        <v>8938</v>
      </c>
      <c r="L1389" s="11">
        <v>2</v>
      </c>
      <c r="M1389" s="5" t="s">
        <v>4518</v>
      </c>
    </row>
    <row r="1390" spans="2:13" ht="52.5" customHeight="1" x14ac:dyDescent="0.35">
      <c r="B1390" s="12">
        <v>63</v>
      </c>
      <c r="C1390" s="7" t="s">
        <v>8719</v>
      </c>
      <c r="D1390" s="12">
        <v>73</v>
      </c>
      <c r="E1390" s="7" t="s">
        <v>8939</v>
      </c>
      <c r="F1390" s="7" t="s">
        <v>8940</v>
      </c>
      <c r="G1390" s="7" t="s">
        <v>1214</v>
      </c>
      <c r="H1390" s="7" t="s">
        <v>8941</v>
      </c>
      <c r="I1390" s="7" t="s">
        <v>8936</v>
      </c>
      <c r="J1390" s="7" t="s">
        <v>8942</v>
      </c>
      <c r="K1390" s="7" t="s">
        <v>8943</v>
      </c>
      <c r="L1390" s="12">
        <v>3</v>
      </c>
      <c r="M1390" s="7" t="s">
        <v>4518</v>
      </c>
    </row>
    <row r="1391" spans="2:13" ht="37.5" customHeight="1" x14ac:dyDescent="0.35">
      <c r="B1391" s="11">
        <v>63</v>
      </c>
      <c r="C1391" s="5" t="s">
        <v>8719</v>
      </c>
      <c r="D1391" s="11">
        <v>74</v>
      </c>
      <c r="E1391" s="5" t="s">
        <v>8944</v>
      </c>
      <c r="F1391" s="5" t="s">
        <v>8945</v>
      </c>
      <c r="G1391" s="5" t="s">
        <v>576</v>
      </c>
      <c r="H1391" s="5" t="s">
        <v>41</v>
      </c>
      <c r="I1391" s="5" t="s">
        <v>49</v>
      </c>
      <c r="J1391" s="5" t="s">
        <v>1063</v>
      </c>
      <c r="K1391" s="5" t="s">
        <v>6492</v>
      </c>
      <c r="L1391" s="11">
        <v>1</v>
      </c>
      <c r="M1391" s="5" t="s">
        <v>4518</v>
      </c>
    </row>
    <row r="1392" spans="2:13" ht="21.75" customHeight="1" x14ac:dyDescent="0.35">
      <c r="B1392" s="12">
        <v>63</v>
      </c>
      <c r="C1392" s="7" t="s">
        <v>8719</v>
      </c>
      <c r="D1392" s="12">
        <v>75</v>
      </c>
      <c r="E1392" s="7" t="s">
        <v>8946</v>
      </c>
      <c r="F1392" s="7" t="s">
        <v>8947</v>
      </c>
      <c r="G1392" s="7" t="s">
        <v>888</v>
      </c>
      <c r="H1392" s="7" t="s">
        <v>41</v>
      </c>
      <c r="I1392" s="7" t="s">
        <v>49</v>
      </c>
      <c r="J1392" s="7" t="s">
        <v>1063</v>
      </c>
      <c r="K1392" s="7" t="s">
        <v>6492</v>
      </c>
      <c r="L1392" s="12">
        <v>1</v>
      </c>
      <c r="M1392" s="7" t="s">
        <v>4518</v>
      </c>
    </row>
    <row r="1393" spans="2:13" ht="37.5" customHeight="1" x14ac:dyDescent="0.35">
      <c r="B1393" s="11">
        <v>63</v>
      </c>
      <c r="C1393" s="5" t="s">
        <v>8719</v>
      </c>
      <c r="D1393" s="11">
        <v>76</v>
      </c>
      <c r="E1393" s="5" t="s">
        <v>8948</v>
      </c>
      <c r="F1393" s="5" t="s">
        <v>8949</v>
      </c>
      <c r="G1393" s="5" t="s">
        <v>6244</v>
      </c>
      <c r="H1393" s="5" t="s">
        <v>4676</v>
      </c>
      <c r="I1393" s="5" t="s">
        <v>49</v>
      </c>
      <c r="J1393" s="5" t="s">
        <v>1063</v>
      </c>
      <c r="K1393" s="5" t="s">
        <v>8950</v>
      </c>
      <c r="L1393" s="11">
        <v>1</v>
      </c>
      <c r="M1393" s="5" t="s">
        <v>4518</v>
      </c>
    </row>
    <row r="1394" spans="2:13" ht="21.75" customHeight="1" x14ac:dyDescent="0.35">
      <c r="B1394" s="12">
        <v>63</v>
      </c>
      <c r="C1394" s="7" t="s">
        <v>8719</v>
      </c>
      <c r="D1394" s="12">
        <v>77</v>
      </c>
      <c r="E1394" s="7" t="s">
        <v>8951</v>
      </c>
      <c r="F1394" s="7" t="s">
        <v>8952</v>
      </c>
      <c r="G1394" s="7" t="s">
        <v>900</v>
      </c>
      <c r="H1394" s="7" t="s">
        <v>36</v>
      </c>
      <c r="I1394" s="7" t="s">
        <v>48</v>
      </c>
      <c r="J1394" s="7" t="s">
        <v>8953</v>
      </c>
      <c r="K1394" s="7" t="s">
        <v>8954</v>
      </c>
      <c r="L1394" s="12">
        <v>1</v>
      </c>
      <c r="M1394" s="7" t="s">
        <v>4518</v>
      </c>
    </row>
    <row r="1395" spans="2:13" ht="37.5" customHeight="1" x14ac:dyDescent="0.35">
      <c r="B1395" s="11">
        <v>63</v>
      </c>
      <c r="C1395" s="5" t="s">
        <v>8719</v>
      </c>
      <c r="D1395" s="11">
        <v>78</v>
      </c>
      <c r="E1395" s="5" t="s">
        <v>8955</v>
      </c>
      <c r="F1395" s="5" t="s">
        <v>8956</v>
      </c>
      <c r="G1395" s="5" t="s">
        <v>2837</v>
      </c>
      <c r="H1395" s="5" t="s">
        <v>359</v>
      </c>
      <c r="I1395" s="5" t="s">
        <v>8737</v>
      </c>
      <c r="J1395" s="5" t="s">
        <v>8879</v>
      </c>
      <c r="K1395" s="5" t="s">
        <v>8880</v>
      </c>
      <c r="L1395" s="11">
        <v>2</v>
      </c>
      <c r="M1395" s="5" t="s">
        <v>4518</v>
      </c>
    </row>
    <row r="1396" spans="2:13" ht="21.75" customHeight="1" x14ac:dyDescent="0.35">
      <c r="B1396" s="12">
        <v>63</v>
      </c>
      <c r="C1396" s="7" t="s">
        <v>8719</v>
      </c>
      <c r="D1396" s="12">
        <v>79</v>
      </c>
      <c r="E1396" s="7" t="s">
        <v>8957</v>
      </c>
      <c r="F1396" s="7" t="s">
        <v>8958</v>
      </c>
      <c r="G1396" s="7" t="s">
        <v>897</v>
      </c>
      <c r="H1396" s="7" t="s">
        <v>39</v>
      </c>
      <c r="I1396" s="7" t="s">
        <v>57</v>
      </c>
      <c r="J1396" s="7" t="s">
        <v>5588</v>
      </c>
      <c r="K1396" s="7" t="s">
        <v>8814</v>
      </c>
      <c r="L1396" s="12">
        <v>1</v>
      </c>
      <c r="M1396" s="7" t="s">
        <v>4518</v>
      </c>
    </row>
    <row r="1397" spans="2:13" ht="21.75" customHeight="1" x14ac:dyDescent="0.35">
      <c r="B1397" s="11">
        <v>63</v>
      </c>
      <c r="C1397" s="5" t="s">
        <v>8719</v>
      </c>
      <c r="D1397" s="11">
        <v>80</v>
      </c>
      <c r="E1397" s="5" t="s">
        <v>8959</v>
      </c>
      <c r="F1397" s="5" t="s">
        <v>8960</v>
      </c>
      <c r="G1397" s="5" t="s">
        <v>891</v>
      </c>
      <c r="H1397" s="5" t="s">
        <v>39</v>
      </c>
      <c r="I1397" s="5" t="s">
        <v>57</v>
      </c>
      <c r="J1397" s="5" t="s">
        <v>5588</v>
      </c>
      <c r="K1397" s="5" t="s">
        <v>8814</v>
      </c>
      <c r="L1397" s="11">
        <v>1</v>
      </c>
      <c r="M1397" s="5" t="s">
        <v>4518</v>
      </c>
    </row>
    <row r="1398" spans="2:13" ht="21.75" customHeight="1" x14ac:dyDescent="0.35">
      <c r="B1398" s="12">
        <v>63</v>
      </c>
      <c r="C1398" s="7" t="s">
        <v>8719</v>
      </c>
      <c r="D1398" s="12">
        <v>81</v>
      </c>
      <c r="E1398" s="7" t="s">
        <v>8961</v>
      </c>
      <c r="F1398" s="7" t="s">
        <v>8962</v>
      </c>
      <c r="G1398" s="7" t="s">
        <v>749</v>
      </c>
      <c r="H1398" s="7" t="s">
        <v>39</v>
      </c>
      <c r="I1398" s="7" t="s">
        <v>57</v>
      </c>
      <c r="J1398" s="7" t="s">
        <v>5588</v>
      </c>
      <c r="K1398" s="7" t="s">
        <v>8814</v>
      </c>
      <c r="L1398" s="12">
        <v>1</v>
      </c>
      <c r="M1398" s="7" t="s">
        <v>4518</v>
      </c>
    </row>
    <row r="1399" spans="2:13" ht="37.5" customHeight="1" x14ac:dyDescent="0.35">
      <c r="B1399" s="11">
        <v>63</v>
      </c>
      <c r="C1399" s="5" t="s">
        <v>8719</v>
      </c>
      <c r="D1399" s="11">
        <v>82</v>
      </c>
      <c r="E1399" s="5" t="s">
        <v>8963</v>
      </c>
      <c r="F1399" s="5" t="s">
        <v>8964</v>
      </c>
      <c r="G1399" s="5" t="s">
        <v>244</v>
      </c>
      <c r="H1399" s="5" t="s">
        <v>39</v>
      </c>
      <c r="I1399" s="5" t="s">
        <v>57</v>
      </c>
      <c r="J1399" s="5" t="s">
        <v>5588</v>
      </c>
      <c r="K1399" s="5" t="s">
        <v>8814</v>
      </c>
      <c r="L1399" s="11">
        <v>1</v>
      </c>
      <c r="M1399" s="5" t="s">
        <v>4518</v>
      </c>
    </row>
    <row r="1400" spans="2:13" ht="37.5" customHeight="1" x14ac:dyDescent="0.35">
      <c r="B1400" s="12">
        <v>63</v>
      </c>
      <c r="C1400" s="7" t="s">
        <v>8719</v>
      </c>
      <c r="D1400" s="12">
        <v>83</v>
      </c>
      <c r="E1400" s="7" t="s">
        <v>8965</v>
      </c>
      <c r="F1400" s="7" t="s">
        <v>8966</v>
      </c>
      <c r="G1400" s="7" t="s">
        <v>871</v>
      </c>
      <c r="H1400" s="7" t="s">
        <v>39</v>
      </c>
      <c r="I1400" s="7" t="s">
        <v>57</v>
      </c>
      <c r="J1400" s="7" t="s">
        <v>5588</v>
      </c>
      <c r="K1400" s="7" t="s">
        <v>8814</v>
      </c>
      <c r="L1400" s="12">
        <v>1</v>
      </c>
      <c r="M1400" s="7" t="s">
        <v>4518</v>
      </c>
    </row>
    <row r="1401" spans="2:13" ht="37.5" customHeight="1" x14ac:dyDescent="0.35">
      <c r="B1401" s="11">
        <v>63</v>
      </c>
      <c r="C1401" s="5" t="s">
        <v>8719</v>
      </c>
      <c r="D1401" s="11">
        <v>84</v>
      </c>
      <c r="E1401" s="5" t="s">
        <v>8967</v>
      </c>
      <c r="F1401" s="5" t="s">
        <v>8968</v>
      </c>
      <c r="G1401" s="5" t="s">
        <v>736</v>
      </c>
      <c r="H1401" s="5" t="s">
        <v>39</v>
      </c>
      <c r="I1401" s="5" t="s">
        <v>57</v>
      </c>
      <c r="J1401" s="5" t="s">
        <v>5588</v>
      </c>
      <c r="K1401" s="5" t="s">
        <v>8814</v>
      </c>
      <c r="L1401" s="11">
        <v>1</v>
      </c>
      <c r="M1401" s="5" t="s">
        <v>4518</v>
      </c>
    </row>
    <row r="1402" spans="2:13" ht="37.5" customHeight="1" x14ac:dyDescent="0.35">
      <c r="B1402" s="12">
        <v>63</v>
      </c>
      <c r="C1402" s="7" t="s">
        <v>8719</v>
      </c>
      <c r="D1402" s="12">
        <v>85</v>
      </c>
      <c r="E1402" s="7" t="s">
        <v>8969</v>
      </c>
      <c r="F1402" s="7" t="s">
        <v>8970</v>
      </c>
      <c r="G1402" s="7" t="s">
        <v>4654</v>
      </c>
      <c r="H1402" s="7" t="s">
        <v>39</v>
      </c>
      <c r="I1402" s="7" t="s">
        <v>57</v>
      </c>
      <c r="J1402" s="7" t="s">
        <v>5588</v>
      </c>
      <c r="K1402" s="7" t="s">
        <v>8814</v>
      </c>
      <c r="L1402" s="12">
        <v>1</v>
      </c>
      <c r="M1402" s="7" t="s">
        <v>4518</v>
      </c>
    </row>
    <row r="1403" spans="2:13" ht="37.5" customHeight="1" x14ac:dyDescent="0.35">
      <c r="B1403" s="11">
        <v>63</v>
      </c>
      <c r="C1403" s="5" t="s">
        <v>8719</v>
      </c>
      <c r="D1403" s="11">
        <v>86</v>
      </c>
      <c r="E1403" s="5" t="s">
        <v>8971</v>
      </c>
      <c r="F1403" s="5" t="s">
        <v>8972</v>
      </c>
      <c r="G1403" s="5" t="s">
        <v>1294</v>
      </c>
      <c r="H1403" s="5" t="s">
        <v>39</v>
      </c>
      <c r="I1403" s="5" t="s">
        <v>57</v>
      </c>
      <c r="J1403" s="5" t="s">
        <v>5588</v>
      </c>
      <c r="K1403" s="5" t="s">
        <v>8814</v>
      </c>
      <c r="L1403" s="11">
        <v>1</v>
      </c>
      <c r="M1403" s="5" t="s">
        <v>4518</v>
      </c>
    </row>
    <row r="1404" spans="2:13" ht="21.75" customHeight="1" x14ac:dyDescent="0.35">
      <c r="B1404" s="12">
        <v>63</v>
      </c>
      <c r="C1404" s="7" t="s">
        <v>8719</v>
      </c>
      <c r="D1404" s="12">
        <v>87</v>
      </c>
      <c r="E1404" s="7" t="s">
        <v>8973</v>
      </c>
      <c r="F1404" s="7" t="s">
        <v>8974</v>
      </c>
      <c r="G1404" s="7" t="s">
        <v>224</v>
      </c>
      <c r="H1404" s="7" t="s">
        <v>37</v>
      </c>
      <c r="I1404" s="7" t="s">
        <v>193</v>
      </c>
      <c r="J1404" s="7" t="s">
        <v>1579</v>
      </c>
      <c r="K1404" s="7" t="s">
        <v>8757</v>
      </c>
      <c r="L1404" s="12">
        <v>1</v>
      </c>
      <c r="M1404" s="7" t="s">
        <v>4518</v>
      </c>
    </row>
    <row r="1405" spans="2:13" ht="21.75" customHeight="1" x14ac:dyDescent="0.35">
      <c r="B1405" s="11">
        <v>63</v>
      </c>
      <c r="C1405" s="5" t="s">
        <v>8719</v>
      </c>
      <c r="D1405" s="11">
        <v>88</v>
      </c>
      <c r="E1405" s="5" t="s">
        <v>8975</v>
      </c>
      <c r="F1405" s="5" t="s">
        <v>8976</v>
      </c>
      <c r="G1405" s="5" t="s">
        <v>6211</v>
      </c>
      <c r="H1405" s="5" t="s">
        <v>37</v>
      </c>
      <c r="I1405" s="5" t="s">
        <v>193</v>
      </c>
      <c r="J1405" s="5" t="s">
        <v>1579</v>
      </c>
      <c r="K1405" s="5" t="s">
        <v>8757</v>
      </c>
      <c r="L1405" s="11">
        <v>1</v>
      </c>
      <c r="M1405" s="5" t="s">
        <v>4518</v>
      </c>
    </row>
    <row r="1406" spans="2:13" ht="37.5" customHeight="1" x14ac:dyDescent="0.35">
      <c r="B1406" s="12">
        <v>63</v>
      </c>
      <c r="C1406" s="7" t="s">
        <v>8719</v>
      </c>
      <c r="D1406" s="12">
        <v>89</v>
      </c>
      <c r="E1406" s="7" t="s">
        <v>8977</v>
      </c>
      <c r="F1406" s="7" t="s">
        <v>8978</v>
      </c>
      <c r="G1406" s="7" t="s">
        <v>2603</v>
      </c>
      <c r="H1406" s="7" t="s">
        <v>41</v>
      </c>
      <c r="I1406" s="7" t="s">
        <v>6460</v>
      </c>
      <c r="J1406" s="7" t="s">
        <v>269</v>
      </c>
      <c r="K1406" s="7" t="s">
        <v>8979</v>
      </c>
      <c r="L1406" s="12">
        <v>1</v>
      </c>
      <c r="M1406" s="7" t="s">
        <v>4518</v>
      </c>
    </row>
    <row r="1407" spans="2:13" ht="37.5" customHeight="1" x14ac:dyDescent="0.35">
      <c r="B1407" s="11">
        <v>63</v>
      </c>
      <c r="C1407" s="5" t="s">
        <v>8719</v>
      </c>
      <c r="D1407" s="11">
        <v>90</v>
      </c>
      <c r="E1407" s="5" t="s">
        <v>8980</v>
      </c>
      <c r="F1407" s="5" t="s">
        <v>8981</v>
      </c>
      <c r="G1407" s="5" t="s">
        <v>698</v>
      </c>
      <c r="H1407" s="5" t="s">
        <v>8982</v>
      </c>
      <c r="I1407" s="5" t="s">
        <v>5225</v>
      </c>
      <c r="J1407" s="5" t="s">
        <v>1357</v>
      </c>
      <c r="K1407" s="5" t="s">
        <v>8983</v>
      </c>
      <c r="L1407" s="11">
        <v>2</v>
      </c>
      <c r="M1407" s="5" t="s">
        <v>4518</v>
      </c>
    </row>
    <row r="1408" spans="2:13" ht="37.5" customHeight="1" x14ac:dyDescent="0.35">
      <c r="B1408" s="12">
        <v>63</v>
      </c>
      <c r="C1408" s="7" t="s">
        <v>8719</v>
      </c>
      <c r="D1408" s="12">
        <v>91</v>
      </c>
      <c r="E1408" s="7" t="s">
        <v>8984</v>
      </c>
      <c r="F1408" s="7" t="s">
        <v>8985</v>
      </c>
      <c r="G1408" s="7" t="s">
        <v>8986</v>
      </c>
      <c r="H1408" s="7" t="s">
        <v>36</v>
      </c>
      <c r="I1408" s="7" t="s">
        <v>48</v>
      </c>
      <c r="J1408" s="7" t="s">
        <v>663</v>
      </c>
      <c r="K1408" s="7" t="s">
        <v>5284</v>
      </c>
      <c r="L1408" s="12">
        <v>1</v>
      </c>
      <c r="M1408" s="7" t="s">
        <v>4518</v>
      </c>
    </row>
    <row r="1409" spans="2:13" ht="37.5" customHeight="1" x14ac:dyDescent="0.35">
      <c r="B1409" s="11">
        <v>63</v>
      </c>
      <c r="C1409" s="5" t="s">
        <v>8719</v>
      </c>
      <c r="D1409" s="11">
        <v>92</v>
      </c>
      <c r="E1409" s="5" t="s">
        <v>8987</v>
      </c>
      <c r="F1409" s="5" t="s">
        <v>8988</v>
      </c>
      <c r="G1409" s="5" t="s">
        <v>8989</v>
      </c>
      <c r="H1409" s="5" t="s">
        <v>4662</v>
      </c>
      <c r="I1409" s="5" t="s">
        <v>5152</v>
      </c>
      <c r="J1409" s="5" t="s">
        <v>8990</v>
      </c>
      <c r="K1409" s="5" t="s">
        <v>8991</v>
      </c>
      <c r="L1409" s="11">
        <v>2</v>
      </c>
      <c r="M1409" s="5" t="s">
        <v>4518</v>
      </c>
    </row>
    <row r="1410" spans="2:13" ht="37.5" customHeight="1" x14ac:dyDescent="0.35">
      <c r="B1410" s="12">
        <v>63</v>
      </c>
      <c r="C1410" s="7" t="s">
        <v>8719</v>
      </c>
      <c r="D1410" s="12">
        <v>93</v>
      </c>
      <c r="E1410" s="7" t="s">
        <v>8992</v>
      </c>
      <c r="F1410" s="7" t="s">
        <v>8993</v>
      </c>
      <c r="G1410" s="7" t="s">
        <v>638</v>
      </c>
      <c r="H1410" s="7" t="s">
        <v>5123</v>
      </c>
      <c r="I1410" s="7" t="s">
        <v>8994</v>
      </c>
      <c r="J1410" s="7" t="s">
        <v>8995</v>
      </c>
      <c r="K1410" s="7" t="s">
        <v>8996</v>
      </c>
      <c r="L1410" s="12">
        <v>2</v>
      </c>
      <c r="M1410" s="7" t="s">
        <v>4518</v>
      </c>
    </row>
    <row r="1411" spans="2:13" ht="21.75" customHeight="1" x14ac:dyDescent="0.35">
      <c r="B1411" s="11">
        <v>63</v>
      </c>
      <c r="C1411" s="5" t="s">
        <v>8719</v>
      </c>
      <c r="D1411" s="11">
        <v>94</v>
      </c>
      <c r="E1411" s="5" t="s">
        <v>8997</v>
      </c>
      <c r="F1411" s="5" t="s">
        <v>8998</v>
      </c>
      <c r="G1411" s="5" t="s">
        <v>791</v>
      </c>
      <c r="H1411" s="5" t="s">
        <v>37</v>
      </c>
      <c r="I1411" s="5" t="s">
        <v>193</v>
      </c>
      <c r="J1411" s="5" t="s">
        <v>1579</v>
      </c>
      <c r="K1411" s="5" t="s">
        <v>8757</v>
      </c>
      <c r="L1411" s="11">
        <v>1</v>
      </c>
      <c r="M1411" s="5" t="s">
        <v>4518</v>
      </c>
    </row>
    <row r="1412" spans="2:13" ht="37.5" customHeight="1" x14ac:dyDescent="0.35">
      <c r="B1412" s="12">
        <v>63</v>
      </c>
      <c r="C1412" s="7" t="s">
        <v>8719</v>
      </c>
      <c r="D1412" s="12">
        <v>95</v>
      </c>
      <c r="E1412" s="7" t="s">
        <v>8999</v>
      </c>
      <c r="F1412" s="7" t="s">
        <v>9000</v>
      </c>
      <c r="G1412" s="7" t="s">
        <v>880</v>
      </c>
      <c r="H1412" s="7" t="s">
        <v>37</v>
      </c>
      <c r="I1412" s="7" t="s">
        <v>193</v>
      </c>
      <c r="J1412" s="7" t="s">
        <v>1579</v>
      </c>
      <c r="K1412" s="7" t="s">
        <v>8757</v>
      </c>
      <c r="L1412" s="12">
        <v>1</v>
      </c>
      <c r="M1412" s="7" t="s">
        <v>4518</v>
      </c>
    </row>
    <row r="1413" spans="2:13" ht="37.5" customHeight="1" x14ac:dyDescent="0.35">
      <c r="B1413" s="11">
        <v>63</v>
      </c>
      <c r="C1413" s="5" t="s">
        <v>8719</v>
      </c>
      <c r="D1413" s="11">
        <v>96</v>
      </c>
      <c r="E1413" s="5" t="s">
        <v>9001</v>
      </c>
      <c r="F1413" s="5" t="s">
        <v>9002</v>
      </c>
      <c r="G1413" s="5" t="s">
        <v>30</v>
      </c>
      <c r="H1413" s="5" t="s">
        <v>41</v>
      </c>
      <c r="I1413" s="5" t="s">
        <v>49</v>
      </c>
      <c r="J1413" s="5" t="s">
        <v>1063</v>
      </c>
      <c r="K1413" s="5" t="s">
        <v>6492</v>
      </c>
      <c r="L1413" s="11">
        <v>1</v>
      </c>
      <c r="M1413" s="5" t="s">
        <v>4518</v>
      </c>
    </row>
    <row r="1414" spans="2:13" ht="21.75" customHeight="1" x14ac:dyDescent="0.35">
      <c r="B1414" s="12">
        <v>63</v>
      </c>
      <c r="C1414" s="7" t="s">
        <v>8719</v>
      </c>
      <c r="D1414" s="12">
        <v>97</v>
      </c>
      <c r="E1414" s="7" t="s">
        <v>9003</v>
      </c>
      <c r="F1414" s="7" t="s">
        <v>9004</v>
      </c>
      <c r="G1414" s="7" t="s">
        <v>8413</v>
      </c>
      <c r="H1414" s="7" t="s">
        <v>4676</v>
      </c>
      <c r="I1414" s="7" t="s">
        <v>49</v>
      </c>
      <c r="J1414" s="7" t="s">
        <v>1063</v>
      </c>
      <c r="K1414" s="7" t="s">
        <v>8950</v>
      </c>
      <c r="L1414" s="12">
        <v>1</v>
      </c>
      <c r="M1414" s="7" t="s">
        <v>4518</v>
      </c>
    </row>
    <row r="1415" spans="2:13" ht="21.75" customHeight="1" x14ac:dyDescent="0.35">
      <c r="B1415" s="11">
        <v>63</v>
      </c>
      <c r="C1415" s="5" t="s">
        <v>8719</v>
      </c>
      <c r="D1415" s="11">
        <v>98</v>
      </c>
      <c r="E1415" s="5" t="s">
        <v>9005</v>
      </c>
      <c r="F1415" s="5" t="s">
        <v>9006</v>
      </c>
      <c r="G1415" s="5" t="s">
        <v>905</v>
      </c>
      <c r="H1415" s="5" t="s">
        <v>36</v>
      </c>
      <c r="I1415" s="5" t="s">
        <v>48</v>
      </c>
      <c r="J1415" s="5" t="s">
        <v>663</v>
      </c>
      <c r="K1415" s="5" t="s">
        <v>5284</v>
      </c>
      <c r="L1415" s="11">
        <v>1</v>
      </c>
      <c r="M1415" s="5" t="s">
        <v>4518</v>
      </c>
    </row>
    <row r="1416" spans="2:13" ht="37.5" customHeight="1" x14ac:dyDescent="0.35">
      <c r="B1416" s="12">
        <v>63</v>
      </c>
      <c r="C1416" s="7" t="s">
        <v>8719</v>
      </c>
      <c r="D1416" s="12">
        <v>99</v>
      </c>
      <c r="E1416" s="7" t="s">
        <v>9007</v>
      </c>
      <c r="F1416" s="7" t="s">
        <v>9008</v>
      </c>
      <c r="G1416" s="7" t="s">
        <v>1513</v>
      </c>
      <c r="H1416" s="7" t="s">
        <v>43</v>
      </c>
      <c r="I1416" s="7" t="s">
        <v>8742</v>
      </c>
      <c r="J1416" s="7" t="s">
        <v>1063</v>
      </c>
      <c r="K1416" s="7" t="s">
        <v>8743</v>
      </c>
      <c r="L1416" s="12">
        <v>1</v>
      </c>
      <c r="M1416" s="7" t="s">
        <v>4518</v>
      </c>
    </row>
    <row r="1417" spans="2:13" ht="21.75" customHeight="1" x14ac:dyDescent="0.35">
      <c r="B1417" s="11">
        <v>63</v>
      </c>
      <c r="C1417" s="5" t="s">
        <v>8719</v>
      </c>
      <c r="D1417" s="11">
        <v>100</v>
      </c>
      <c r="E1417" s="5" t="s">
        <v>9009</v>
      </c>
      <c r="F1417" s="5" t="s">
        <v>9010</v>
      </c>
      <c r="G1417" s="5" t="s">
        <v>7296</v>
      </c>
      <c r="H1417" s="5" t="s">
        <v>36</v>
      </c>
      <c r="I1417" s="5" t="s">
        <v>48</v>
      </c>
      <c r="J1417" s="5" t="s">
        <v>9011</v>
      </c>
      <c r="K1417" s="5" t="s">
        <v>9012</v>
      </c>
      <c r="L1417" s="11">
        <v>1</v>
      </c>
      <c r="M1417" s="5" t="s">
        <v>4518</v>
      </c>
    </row>
    <row r="1418" spans="2:13" ht="21.75" customHeight="1" x14ac:dyDescent="0.35">
      <c r="B1418" s="12">
        <v>63</v>
      </c>
      <c r="C1418" s="7" t="s">
        <v>8719</v>
      </c>
      <c r="D1418" s="12">
        <v>101</v>
      </c>
      <c r="E1418" s="7" t="s">
        <v>9013</v>
      </c>
      <c r="F1418" s="7" t="s">
        <v>9014</v>
      </c>
      <c r="G1418" s="7" t="s">
        <v>4703</v>
      </c>
      <c r="H1418" s="7" t="s">
        <v>36</v>
      </c>
      <c r="I1418" s="7" t="s">
        <v>48</v>
      </c>
      <c r="J1418" s="7" t="s">
        <v>1579</v>
      </c>
      <c r="K1418" s="7" t="s">
        <v>9015</v>
      </c>
      <c r="L1418" s="12">
        <v>1</v>
      </c>
      <c r="M1418" s="7" t="s">
        <v>4518</v>
      </c>
    </row>
    <row r="1419" spans="2:13" ht="37.5" customHeight="1" x14ac:dyDescent="0.35">
      <c r="B1419" s="11">
        <v>63</v>
      </c>
      <c r="C1419" s="5" t="s">
        <v>8719</v>
      </c>
      <c r="D1419" s="11">
        <v>102</v>
      </c>
      <c r="E1419" s="5" t="s">
        <v>9016</v>
      </c>
      <c r="F1419" s="5" t="s">
        <v>9017</v>
      </c>
      <c r="G1419" s="5" t="s">
        <v>1790</v>
      </c>
      <c r="H1419" s="5" t="s">
        <v>1521</v>
      </c>
      <c r="I1419" s="5" t="s">
        <v>9018</v>
      </c>
      <c r="J1419" s="5" t="s">
        <v>1968</v>
      </c>
      <c r="K1419" s="5" t="s">
        <v>9019</v>
      </c>
      <c r="L1419" s="11">
        <v>2</v>
      </c>
      <c r="M1419" s="5" t="s">
        <v>4518</v>
      </c>
    </row>
    <row r="1420" spans="2:13" ht="21.75" customHeight="1" x14ac:dyDescent="0.35">
      <c r="B1420" s="12">
        <v>63</v>
      </c>
      <c r="C1420" s="7" t="s">
        <v>8719</v>
      </c>
      <c r="D1420" s="12">
        <v>103</v>
      </c>
      <c r="E1420" s="7" t="s">
        <v>9020</v>
      </c>
      <c r="F1420" s="7" t="s">
        <v>9021</v>
      </c>
      <c r="G1420" s="7" t="s">
        <v>856</v>
      </c>
      <c r="H1420" s="7" t="s">
        <v>37</v>
      </c>
      <c r="I1420" s="7" t="s">
        <v>49</v>
      </c>
      <c r="J1420" s="7" t="s">
        <v>1579</v>
      </c>
      <c r="K1420" s="7" t="s">
        <v>4957</v>
      </c>
      <c r="L1420" s="12">
        <v>1</v>
      </c>
      <c r="M1420" s="7" t="s">
        <v>4518</v>
      </c>
    </row>
    <row r="1421" spans="2:13" ht="21.75" customHeight="1" x14ac:dyDescent="0.35">
      <c r="B1421" s="11">
        <v>63</v>
      </c>
      <c r="C1421" s="5" t="s">
        <v>8719</v>
      </c>
      <c r="D1421" s="11">
        <v>104</v>
      </c>
      <c r="E1421" s="5" t="s">
        <v>9022</v>
      </c>
      <c r="F1421" s="5" t="s">
        <v>9023</v>
      </c>
      <c r="G1421" s="5" t="s">
        <v>788</v>
      </c>
      <c r="H1421" s="5" t="s">
        <v>39</v>
      </c>
      <c r="I1421" s="5" t="s">
        <v>57</v>
      </c>
      <c r="J1421" s="5" t="s">
        <v>1192</v>
      </c>
      <c r="K1421" s="5" t="s">
        <v>8807</v>
      </c>
      <c r="L1421" s="11">
        <v>1</v>
      </c>
      <c r="M1421" s="5" t="s">
        <v>4518</v>
      </c>
    </row>
    <row r="1422" spans="2:13" ht="37.5" customHeight="1" x14ac:dyDescent="0.35">
      <c r="B1422" s="12">
        <v>63</v>
      </c>
      <c r="C1422" s="7" t="s">
        <v>8719</v>
      </c>
      <c r="D1422" s="12">
        <v>105</v>
      </c>
      <c r="E1422" s="7" t="s">
        <v>9024</v>
      </c>
      <c r="F1422" s="7" t="s">
        <v>9025</v>
      </c>
      <c r="G1422" s="7" t="s">
        <v>249</v>
      </c>
      <c r="H1422" s="7" t="s">
        <v>4752</v>
      </c>
      <c r="I1422" s="7" t="s">
        <v>5583</v>
      </c>
      <c r="J1422" s="7" t="s">
        <v>9026</v>
      </c>
      <c r="K1422" s="7" t="s">
        <v>9027</v>
      </c>
      <c r="L1422" s="12">
        <v>2</v>
      </c>
      <c r="M1422" s="7" t="s">
        <v>4518</v>
      </c>
    </row>
    <row r="1423" spans="2:13" ht="21.75" customHeight="1" x14ac:dyDescent="0.35">
      <c r="B1423" s="11">
        <v>63</v>
      </c>
      <c r="C1423" s="5" t="s">
        <v>8719</v>
      </c>
      <c r="D1423" s="11">
        <v>106</v>
      </c>
      <c r="E1423" s="5" t="s">
        <v>9028</v>
      </c>
      <c r="F1423" s="5" t="s">
        <v>9029</v>
      </c>
      <c r="G1423" s="5" t="s">
        <v>26</v>
      </c>
      <c r="H1423" s="5" t="s">
        <v>36</v>
      </c>
      <c r="I1423" s="5" t="s">
        <v>48</v>
      </c>
      <c r="J1423" s="5" t="s">
        <v>9030</v>
      </c>
      <c r="K1423" s="5" t="s">
        <v>9031</v>
      </c>
      <c r="L1423" s="11">
        <v>1</v>
      </c>
      <c r="M1423" s="5" t="s">
        <v>4518</v>
      </c>
    </row>
    <row r="1424" spans="2:13" ht="21.75" customHeight="1" x14ac:dyDescent="0.35">
      <c r="B1424" s="12">
        <v>63</v>
      </c>
      <c r="C1424" s="7" t="s">
        <v>8719</v>
      </c>
      <c r="D1424" s="12">
        <v>107</v>
      </c>
      <c r="E1424" s="7" t="s">
        <v>9032</v>
      </c>
      <c r="F1424" s="7" t="s">
        <v>9033</v>
      </c>
      <c r="G1424" s="7" t="s">
        <v>713</v>
      </c>
      <c r="H1424" s="7" t="s">
        <v>36</v>
      </c>
      <c r="I1424" s="7" t="s">
        <v>48</v>
      </c>
      <c r="J1424" s="7" t="s">
        <v>9030</v>
      </c>
      <c r="K1424" s="7" t="s">
        <v>9031</v>
      </c>
      <c r="L1424" s="12">
        <v>1</v>
      </c>
      <c r="M1424" s="7" t="s">
        <v>4518</v>
      </c>
    </row>
    <row r="1425" spans="2:13" ht="21.75" customHeight="1" x14ac:dyDescent="0.35">
      <c r="B1425" s="11">
        <v>63</v>
      </c>
      <c r="C1425" s="5" t="s">
        <v>8719</v>
      </c>
      <c r="D1425" s="11">
        <v>108</v>
      </c>
      <c r="E1425" s="5" t="s">
        <v>9034</v>
      </c>
      <c r="F1425" s="5" t="s">
        <v>9035</v>
      </c>
      <c r="G1425" s="5" t="s">
        <v>645</v>
      </c>
      <c r="H1425" s="5" t="s">
        <v>36</v>
      </c>
      <c r="I1425" s="5" t="s">
        <v>48</v>
      </c>
      <c r="J1425" s="5" t="s">
        <v>663</v>
      </c>
      <c r="K1425" s="5" t="s">
        <v>5284</v>
      </c>
      <c r="L1425" s="11">
        <v>1</v>
      </c>
      <c r="M1425" s="5" t="s">
        <v>4518</v>
      </c>
    </row>
    <row r="1426" spans="2:13" ht="37.5" customHeight="1" x14ac:dyDescent="0.35">
      <c r="B1426" s="12">
        <v>63</v>
      </c>
      <c r="C1426" s="7" t="s">
        <v>8719</v>
      </c>
      <c r="D1426" s="12">
        <v>109</v>
      </c>
      <c r="E1426" s="7" t="s">
        <v>9036</v>
      </c>
      <c r="F1426" s="7" t="s">
        <v>9037</v>
      </c>
      <c r="G1426" s="7" t="s">
        <v>842</v>
      </c>
      <c r="H1426" s="7" t="s">
        <v>41</v>
      </c>
      <c r="I1426" s="7" t="s">
        <v>49</v>
      </c>
      <c r="J1426" s="7" t="s">
        <v>1063</v>
      </c>
      <c r="K1426" s="7" t="s">
        <v>6492</v>
      </c>
      <c r="L1426" s="12">
        <v>1</v>
      </c>
      <c r="M1426" s="7" t="s">
        <v>4518</v>
      </c>
    </row>
    <row r="1427" spans="2:13" ht="21.75" customHeight="1" x14ac:dyDescent="0.35">
      <c r="B1427" s="11">
        <v>63</v>
      </c>
      <c r="C1427" s="5" t="s">
        <v>8719</v>
      </c>
      <c r="D1427" s="11">
        <v>110</v>
      </c>
      <c r="E1427" s="5" t="s">
        <v>9038</v>
      </c>
      <c r="F1427" s="5" t="s">
        <v>9039</v>
      </c>
      <c r="G1427" s="5" t="s">
        <v>1252</v>
      </c>
      <c r="H1427" s="5" t="s">
        <v>43</v>
      </c>
      <c r="I1427" s="5" t="s">
        <v>8742</v>
      </c>
      <c r="J1427" s="5" t="s">
        <v>1063</v>
      </c>
      <c r="K1427" s="5" t="s">
        <v>8743</v>
      </c>
      <c r="L1427" s="11">
        <v>1</v>
      </c>
      <c r="M1427" s="5" t="s">
        <v>4518</v>
      </c>
    </row>
    <row r="1428" spans="2:13" ht="21.75" customHeight="1" x14ac:dyDescent="0.35">
      <c r="B1428" s="12">
        <v>63</v>
      </c>
      <c r="C1428" s="7" t="s">
        <v>8719</v>
      </c>
      <c r="D1428" s="12">
        <v>111</v>
      </c>
      <c r="E1428" s="7" t="s">
        <v>9040</v>
      </c>
      <c r="F1428" s="7" t="s">
        <v>9041</v>
      </c>
      <c r="G1428" s="7" t="s">
        <v>4311</v>
      </c>
      <c r="H1428" s="7" t="s">
        <v>44</v>
      </c>
      <c r="I1428" s="7" t="s">
        <v>49</v>
      </c>
      <c r="J1428" s="7" t="s">
        <v>1063</v>
      </c>
      <c r="K1428" s="7" t="s">
        <v>5291</v>
      </c>
      <c r="L1428" s="12">
        <v>1</v>
      </c>
      <c r="M1428" s="7" t="s">
        <v>4518</v>
      </c>
    </row>
    <row r="1429" spans="2:13" ht="21.75" customHeight="1" x14ac:dyDescent="0.35">
      <c r="B1429" s="11">
        <v>63</v>
      </c>
      <c r="C1429" s="5" t="s">
        <v>8719</v>
      </c>
      <c r="D1429" s="11">
        <v>112</v>
      </c>
      <c r="E1429" s="5" t="s">
        <v>9042</v>
      </c>
      <c r="F1429" s="5" t="s">
        <v>9043</v>
      </c>
      <c r="G1429" s="5" t="s">
        <v>2229</v>
      </c>
      <c r="H1429" s="5" t="s">
        <v>44</v>
      </c>
      <c r="I1429" s="5" t="s">
        <v>49</v>
      </c>
      <c r="J1429" s="5" t="s">
        <v>1063</v>
      </c>
      <c r="K1429" s="5" t="s">
        <v>5291</v>
      </c>
      <c r="L1429" s="11">
        <v>1</v>
      </c>
      <c r="M1429" s="5" t="s">
        <v>4518</v>
      </c>
    </row>
    <row r="1430" spans="2:13" ht="21.75" customHeight="1" x14ac:dyDescent="0.35">
      <c r="B1430" s="12">
        <v>63</v>
      </c>
      <c r="C1430" s="7" t="s">
        <v>8719</v>
      </c>
      <c r="D1430" s="12">
        <v>113</v>
      </c>
      <c r="E1430" s="7" t="s">
        <v>9044</v>
      </c>
      <c r="F1430" s="7" t="s">
        <v>9045</v>
      </c>
      <c r="G1430" s="7" t="s">
        <v>26</v>
      </c>
      <c r="H1430" s="7" t="s">
        <v>42</v>
      </c>
      <c r="I1430" s="7" t="s">
        <v>5433</v>
      </c>
      <c r="J1430" s="7" t="s">
        <v>9046</v>
      </c>
      <c r="K1430" s="7" t="s">
        <v>9047</v>
      </c>
      <c r="L1430" s="12">
        <v>1</v>
      </c>
      <c r="M1430" s="7" t="s">
        <v>4518</v>
      </c>
    </row>
    <row r="1431" spans="2:13" ht="37.5" customHeight="1" x14ac:dyDescent="0.35">
      <c r="B1431" s="11">
        <v>63</v>
      </c>
      <c r="C1431" s="5" t="s">
        <v>8719</v>
      </c>
      <c r="D1431" s="11">
        <v>114</v>
      </c>
      <c r="E1431" s="5" t="s">
        <v>9048</v>
      </c>
      <c r="F1431" s="5" t="s">
        <v>9049</v>
      </c>
      <c r="G1431" s="5" t="s">
        <v>358</v>
      </c>
      <c r="H1431" s="5" t="s">
        <v>36</v>
      </c>
      <c r="I1431" s="5" t="s">
        <v>48</v>
      </c>
      <c r="J1431" s="5" t="s">
        <v>9030</v>
      </c>
      <c r="K1431" s="5" t="s">
        <v>9031</v>
      </c>
      <c r="L1431" s="11">
        <v>1</v>
      </c>
      <c r="M1431" s="5" t="s">
        <v>4518</v>
      </c>
    </row>
    <row r="1432" spans="2:13" ht="37.5" customHeight="1" x14ac:dyDescent="0.35">
      <c r="B1432" s="12">
        <v>63</v>
      </c>
      <c r="C1432" s="7" t="s">
        <v>8719</v>
      </c>
      <c r="D1432" s="12">
        <v>115</v>
      </c>
      <c r="E1432" s="7" t="s">
        <v>9050</v>
      </c>
      <c r="F1432" s="7" t="s">
        <v>9051</v>
      </c>
      <c r="G1432" s="7" t="s">
        <v>1180</v>
      </c>
      <c r="H1432" s="7" t="s">
        <v>4662</v>
      </c>
      <c r="I1432" s="7" t="s">
        <v>5152</v>
      </c>
      <c r="J1432" s="7" t="s">
        <v>9052</v>
      </c>
      <c r="K1432" s="7" t="s">
        <v>9053</v>
      </c>
      <c r="L1432" s="12">
        <v>2</v>
      </c>
      <c r="M1432" s="7" t="s">
        <v>4518</v>
      </c>
    </row>
    <row r="1433" spans="2:13" ht="37.5" customHeight="1" x14ac:dyDescent="0.35">
      <c r="B1433" s="11">
        <v>63</v>
      </c>
      <c r="C1433" s="5" t="s">
        <v>8719</v>
      </c>
      <c r="D1433" s="11">
        <v>116</v>
      </c>
      <c r="E1433" s="5" t="s">
        <v>9054</v>
      </c>
      <c r="F1433" s="5" t="s">
        <v>9055</v>
      </c>
      <c r="G1433" s="5" t="s">
        <v>185</v>
      </c>
      <c r="H1433" s="5" t="s">
        <v>8736</v>
      </c>
      <c r="I1433" s="5" t="s">
        <v>8737</v>
      </c>
      <c r="J1433" s="5" t="s">
        <v>5226</v>
      </c>
      <c r="K1433" s="5" t="s">
        <v>9056</v>
      </c>
      <c r="L1433" s="11">
        <v>2</v>
      </c>
      <c r="M1433" s="5" t="s">
        <v>4518</v>
      </c>
    </row>
    <row r="1434" spans="2:13" ht="37.5" customHeight="1" x14ac:dyDescent="0.35">
      <c r="B1434" s="12">
        <v>63</v>
      </c>
      <c r="C1434" s="7" t="s">
        <v>8719</v>
      </c>
      <c r="D1434" s="12">
        <v>117</v>
      </c>
      <c r="E1434" s="7" t="s">
        <v>9057</v>
      </c>
      <c r="F1434" s="7" t="s">
        <v>9058</v>
      </c>
      <c r="G1434" s="7" t="s">
        <v>345</v>
      </c>
      <c r="H1434" s="7" t="s">
        <v>301</v>
      </c>
      <c r="I1434" s="7" t="s">
        <v>8907</v>
      </c>
      <c r="J1434" s="7" t="s">
        <v>4067</v>
      </c>
      <c r="K1434" s="7" t="s">
        <v>9059</v>
      </c>
      <c r="L1434" s="12">
        <v>2</v>
      </c>
      <c r="M1434" s="7" t="s">
        <v>4518</v>
      </c>
    </row>
    <row r="1435" spans="2:13" ht="21.75" customHeight="1" x14ac:dyDescent="0.35">
      <c r="B1435" s="11">
        <v>63</v>
      </c>
      <c r="C1435" s="5" t="s">
        <v>8719</v>
      </c>
      <c r="D1435" s="11">
        <v>118</v>
      </c>
      <c r="E1435" s="5" t="s">
        <v>9060</v>
      </c>
      <c r="F1435" s="5" t="s">
        <v>9061</v>
      </c>
      <c r="G1435" s="5" t="s">
        <v>9062</v>
      </c>
      <c r="H1435" s="5" t="s">
        <v>37</v>
      </c>
      <c r="I1435" s="5" t="s">
        <v>193</v>
      </c>
      <c r="J1435" s="5" t="s">
        <v>1579</v>
      </c>
      <c r="K1435" s="5" t="s">
        <v>8757</v>
      </c>
      <c r="L1435" s="11">
        <v>1</v>
      </c>
      <c r="M1435" s="5" t="s">
        <v>4518</v>
      </c>
    </row>
    <row r="1436" spans="2:13" ht="37.5" customHeight="1" x14ac:dyDescent="0.35">
      <c r="B1436" s="12">
        <v>63</v>
      </c>
      <c r="C1436" s="7" t="s">
        <v>8719</v>
      </c>
      <c r="D1436" s="12">
        <v>119</v>
      </c>
      <c r="E1436" s="7" t="s">
        <v>9063</v>
      </c>
      <c r="F1436" s="7" t="s">
        <v>9064</v>
      </c>
      <c r="G1436" s="7" t="s">
        <v>3270</v>
      </c>
      <c r="H1436" s="7" t="s">
        <v>301</v>
      </c>
      <c r="I1436" s="7" t="s">
        <v>8907</v>
      </c>
      <c r="J1436" s="7" t="s">
        <v>4067</v>
      </c>
      <c r="K1436" s="7" t="s">
        <v>9059</v>
      </c>
      <c r="L1436" s="12">
        <v>2</v>
      </c>
      <c r="M1436" s="7" t="s">
        <v>4518</v>
      </c>
    </row>
    <row r="1437" spans="2:13" ht="37.5" customHeight="1" x14ac:dyDescent="0.35">
      <c r="B1437" s="11">
        <v>63</v>
      </c>
      <c r="C1437" s="5" t="s">
        <v>8719</v>
      </c>
      <c r="D1437" s="11">
        <v>120</v>
      </c>
      <c r="E1437" s="5" t="s">
        <v>9065</v>
      </c>
      <c r="F1437" s="5" t="s">
        <v>9066</v>
      </c>
      <c r="G1437" s="5" t="s">
        <v>573</v>
      </c>
      <c r="H1437" s="5" t="s">
        <v>39</v>
      </c>
      <c r="I1437" s="5" t="s">
        <v>57</v>
      </c>
      <c r="J1437" s="5" t="s">
        <v>1192</v>
      </c>
      <c r="K1437" s="5" t="s">
        <v>8807</v>
      </c>
      <c r="L1437" s="11">
        <v>1</v>
      </c>
      <c r="M1437" s="5" t="s">
        <v>4518</v>
      </c>
    </row>
    <row r="1438" spans="2:13" ht="37.5" customHeight="1" x14ac:dyDescent="0.35">
      <c r="B1438" s="12">
        <v>63</v>
      </c>
      <c r="C1438" s="7" t="s">
        <v>8719</v>
      </c>
      <c r="D1438" s="12">
        <v>121</v>
      </c>
      <c r="E1438" s="7" t="s">
        <v>9067</v>
      </c>
      <c r="F1438" s="7" t="s">
        <v>9068</v>
      </c>
      <c r="G1438" s="7" t="s">
        <v>2768</v>
      </c>
      <c r="H1438" s="7" t="s">
        <v>301</v>
      </c>
      <c r="I1438" s="7" t="s">
        <v>8907</v>
      </c>
      <c r="J1438" s="7" t="s">
        <v>4067</v>
      </c>
      <c r="K1438" s="7" t="s">
        <v>9059</v>
      </c>
      <c r="L1438" s="12">
        <v>2</v>
      </c>
      <c r="M1438" s="7" t="s">
        <v>4518</v>
      </c>
    </row>
    <row r="1439" spans="2:13" ht="37.5" customHeight="1" x14ac:dyDescent="0.35">
      <c r="B1439" s="11">
        <v>63</v>
      </c>
      <c r="C1439" s="5" t="s">
        <v>8719</v>
      </c>
      <c r="D1439" s="11">
        <v>122</v>
      </c>
      <c r="E1439" s="5" t="s">
        <v>9069</v>
      </c>
      <c r="F1439" s="5" t="s">
        <v>9070</v>
      </c>
      <c r="G1439" s="5" t="s">
        <v>9071</v>
      </c>
      <c r="H1439" s="5" t="s">
        <v>37</v>
      </c>
      <c r="I1439" s="5" t="s">
        <v>51</v>
      </c>
      <c r="J1439" s="5" t="s">
        <v>1579</v>
      </c>
      <c r="K1439" s="5" t="s">
        <v>5270</v>
      </c>
      <c r="L1439" s="11">
        <v>1</v>
      </c>
      <c r="M1439" s="5" t="s">
        <v>4518</v>
      </c>
    </row>
    <row r="1440" spans="2:13" ht="21.75" customHeight="1" x14ac:dyDescent="0.35">
      <c r="B1440" s="12">
        <v>63</v>
      </c>
      <c r="C1440" s="7" t="s">
        <v>8719</v>
      </c>
      <c r="D1440" s="12">
        <v>123</v>
      </c>
      <c r="E1440" s="7" t="s">
        <v>9072</v>
      </c>
      <c r="F1440" s="7" t="s">
        <v>9073</v>
      </c>
      <c r="G1440" s="7" t="s">
        <v>1781</v>
      </c>
      <c r="H1440" s="7" t="s">
        <v>39</v>
      </c>
      <c r="I1440" s="7" t="s">
        <v>8371</v>
      </c>
      <c r="J1440" s="7" t="s">
        <v>9074</v>
      </c>
      <c r="K1440" s="7" t="s">
        <v>9075</v>
      </c>
      <c r="L1440" s="12">
        <v>1</v>
      </c>
      <c r="M1440" s="7" t="s">
        <v>4518</v>
      </c>
    </row>
    <row r="1441" spans="2:13" ht="37.5" customHeight="1" x14ac:dyDescent="0.35">
      <c r="B1441" s="11">
        <v>63</v>
      </c>
      <c r="C1441" s="5" t="s">
        <v>8719</v>
      </c>
      <c r="D1441" s="11">
        <v>124</v>
      </c>
      <c r="E1441" s="5" t="s">
        <v>9076</v>
      </c>
      <c r="F1441" s="5" t="s">
        <v>9077</v>
      </c>
      <c r="G1441" s="5" t="s">
        <v>4260</v>
      </c>
      <c r="H1441" s="5" t="s">
        <v>8736</v>
      </c>
      <c r="I1441" s="5" t="s">
        <v>9078</v>
      </c>
      <c r="J1441" s="5" t="s">
        <v>9079</v>
      </c>
      <c r="K1441" s="5" t="s">
        <v>9080</v>
      </c>
      <c r="L1441" s="11">
        <v>2</v>
      </c>
      <c r="M1441" s="5" t="s">
        <v>4518</v>
      </c>
    </row>
    <row r="1442" spans="2:13" ht="37.5" customHeight="1" x14ac:dyDescent="0.35">
      <c r="B1442" s="12">
        <v>63</v>
      </c>
      <c r="C1442" s="7" t="s">
        <v>8719</v>
      </c>
      <c r="D1442" s="12">
        <v>125</v>
      </c>
      <c r="E1442" s="7" t="s">
        <v>9081</v>
      </c>
      <c r="F1442" s="7" t="s">
        <v>9082</v>
      </c>
      <c r="G1442" s="7" t="s">
        <v>2261</v>
      </c>
      <c r="H1442" s="7" t="s">
        <v>8736</v>
      </c>
      <c r="I1442" s="7" t="s">
        <v>9078</v>
      </c>
      <c r="J1442" s="7" t="s">
        <v>9083</v>
      </c>
      <c r="K1442" s="7" t="s">
        <v>9084</v>
      </c>
      <c r="L1442" s="12">
        <v>2</v>
      </c>
      <c r="M1442" s="7" t="s">
        <v>4518</v>
      </c>
    </row>
    <row r="1443" spans="2:13" ht="37.5" customHeight="1" x14ac:dyDescent="0.35">
      <c r="B1443" s="11">
        <v>63</v>
      </c>
      <c r="C1443" s="5" t="s">
        <v>8719</v>
      </c>
      <c r="D1443" s="11">
        <v>126</v>
      </c>
      <c r="E1443" s="5" t="s">
        <v>9085</v>
      </c>
      <c r="F1443" s="5" t="s">
        <v>9086</v>
      </c>
      <c r="G1443" s="5" t="s">
        <v>202</v>
      </c>
      <c r="H1443" s="5" t="s">
        <v>37</v>
      </c>
      <c r="I1443" s="5" t="s">
        <v>49</v>
      </c>
      <c r="J1443" s="5" t="s">
        <v>5056</v>
      </c>
      <c r="K1443" s="5" t="s">
        <v>5063</v>
      </c>
      <c r="L1443" s="11">
        <v>1</v>
      </c>
      <c r="M1443" s="5" t="s">
        <v>4518</v>
      </c>
    </row>
    <row r="1444" spans="2:13" ht="37.5" customHeight="1" x14ac:dyDescent="0.35">
      <c r="B1444" s="12">
        <v>63</v>
      </c>
      <c r="C1444" s="7" t="s">
        <v>8719</v>
      </c>
      <c r="D1444" s="12">
        <v>127</v>
      </c>
      <c r="E1444" s="7" t="s">
        <v>9087</v>
      </c>
      <c r="F1444" s="7" t="s">
        <v>9088</v>
      </c>
      <c r="G1444" s="7" t="s">
        <v>8607</v>
      </c>
      <c r="H1444" s="7" t="s">
        <v>44</v>
      </c>
      <c r="I1444" s="7" t="s">
        <v>49</v>
      </c>
      <c r="J1444" s="7" t="s">
        <v>1063</v>
      </c>
      <c r="K1444" s="7" t="s">
        <v>5291</v>
      </c>
      <c r="L1444" s="12">
        <v>1</v>
      </c>
      <c r="M1444" s="7" t="s">
        <v>4518</v>
      </c>
    </row>
    <row r="1445" spans="2:13" ht="21.75" customHeight="1" x14ac:dyDescent="0.35">
      <c r="B1445" s="11">
        <v>63</v>
      </c>
      <c r="C1445" s="5" t="s">
        <v>8719</v>
      </c>
      <c r="D1445" s="11">
        <v>128</v>
      </c>
      <c r="E1445" s="5" t="s">
        <v>9089</v>
      </c>
      <c r="F1445" s="5" t="s">
        <v>9090</v>
      </c>
      <c r="G1445" s="5" t="s">
        <v>4855</v>
      </c>
      <c r="H1445" s="5" t="s">
        <v>44</v>
      </c>
      <c r="I1445" s="5" t="s">
        <v>49</v>
      </c>
      <c r="J1445" s="5" t="s">
        <v>1063</v>
      </c>
      <c r="K1445" s="5" t="s">
        <v>5291</v>
      </c>
      <c r="L1445" s="11">
        <v>1</v>
      </c>
      <c r="M1445" s="5" t="s">
        <v>4518</v>
      </c>
    </row>
    <row r="1446" spans="2:13" ht="21.75" customHeight="1" x14ac:dyDescent="0.35">
      <c r="B1446" s="12">
        <v>63</v>
      </c>
      <c r="C1446" s="7" t="s">
        <v>8719</v>
      </c>
      <c r="D1446" s="12">
        <v>129</v>
      </c>
      <c r="E1446" s="7" t="s">
        <v>9091</v>
      </c>
      <c r="F1446" s="7" t="s">
        <v>9092</v>
      </c>
      <c r="G1446" s="7" t="s">
        <v>1203</v>
      </c>
      <c r="H1446" s="7" t="s">
        <v>44</v>
      </c>
      <c r="I1446" s="7" t="s">
        <v>49</v>
      </c>
      <c r="J1446" s="7" t="s">
        <v>1004</v>
      </c>
      <c r="K1446" s="7" t="s">
        <v>5350</v>
      </c>
      <c r="L1446" s="12">
        <v>1</v>
      </c>
      <c r="M1446" s="7" t="s">
        <v>4518</v>
      </c>
    </row>
    <row r="1447" spans="2:13" ht="21.75" customHeight="1" x14ac:dyDescent="0.35">
      <c r="B1447" s="11">
        <v>63</v>
      </c>
      <c r="C1447" s="5" t="s">
        <v>8719</v>
      </c>
      <c r="D1447" s="11">
        <v>130</v>
      </c>
      <c r="E1447" s="5" t="s">
        <v>9093</v>
      </c>
      <c r="F1447" s="5" t="s">
        <v>9094</v>
      </c>
      <c r="G1447" s="5" t="s">
        <v>4799</v>
      </c>
      <c r="H1447" s="5" t="s">
        <v>36</v>
      </c>
      <c r="I1447" s="5" t="s">
        <v>48</v>
      </c>
      <c r="J1447" s="5" t="s">
        <v>4408</v>
      </c>
      <c r="K1447" s="5" t="s">
        <v>7692</v>
      </c>
      <c r="L1447" s="11">
        <v>1</v>
      </c>
      <c r="M1447" s="5" t="s">
        <v>4518</v>
      </c>
    </row>
    <row r="1448" spans="2:13" ht="37.5" customHeight="1" x14ac:dyDescent="0.35">
      <c r="B1448" s="12">
        <v>63</v>
      </c>
      <c r="C1448" s="7" t="s">
        <v>8719</v>
      </c>
      <c r="D1448" s="12">
        <v>131</v>
      </c>
      <c r="E1448" s="7" t="s">
        <v>9095</v>
      </c>
      <c r="F1448" s="7" t="s">
        <v>9096</v>
      </c>
      <c r="G1448" s="7" t="s">
        <v>616</v>
      </c>
      <c r="H1448" s="7" t="s">
        <v>36</v>
      </c>
      <c r="I1448" s="7" t="s">
        <v>48</v>
      </c>
      <c r="J1448" s="7" t="s">
        <v>4408</v>
      </c>
      <c r="K1448" s="7" t="s">
        <v>7692</v>
      </c>
      <c r="L1448" s="12">
        <v>1</v>
      </c>
      <c r="M1448" s="7" t="s">
        <v>4518</v>
      </c>
    </row>
    <row r="1449" spans="2:13" ht="37.5" customHeight="1" x14ac:dyDescent="0.35">
      <c r="B1449" s="11">
        <v>63</v>
      </c>
      <c r="C1449" s="5" t="s">
        <v>8719</v>
      </c>
      <c r="D1449" s="11">
        <v>132</v>
      </c>
      <c r="E1449" s="5" t="s">
        <v>9097</v>
      </c>
      <c r="F1449" s="5" t="s">
        <v>9098</v>
      </c>
      <c r="G1449" s="5" t="s">
        <v>962</v>
      </c>
      <c r="H1449" s="5" t="s">
        <v>37</v>
      </c>
      <c r="I1449" s="5" t="s">
        <v>193</v>
      </c>
      <c r="J1449" s="5" t="s">
        <v>1579</v>
      </c>
      <c r="K1449" s="5" t="s">
        <v>8757</v>
      </c>
      <c r="L1449" s="11">
        <v>1</v>
      </c>
      <c r="M1449" s="5" t="s">
        <v>4518</v>
      </c>
    </row>
    <row r="1450" spans="2:13" ht="37.5" customHeight="1" x14ac:dyDescent="0.35">
      <c r="B1450" s="12">
        <v>63</v>
      </c>
      <c r="C1450" s="7" t="s">
        <v>8719</v>
      </c>
      <c r="D1450" s="12">
        <v>133</v>
      </c>
      <c r="E1450" s="7" t="s">
        <v>9099</v>
      </c>
      <c r="F1450" s="7" t="s">
        <v>9100</v>
      </c>
      <c r="G1450" s="7" t="s">
        <v>285</v>
      </c>
      <c r="H1450" s="7" t="s">
        <v>4996</v>
      </c>
      <c r="I1450" s="7" t="s">
        <v>8760</v>
      </c>
      <c r="J1450" s="7" t="s">
        <v>4166</v>
      </c>
      <c r="K1450" s="7" t="s">
        <v>9101</v>
      </c>
      <c r="L1450" s="12">
        <v>2</v>
      </c>
      <c r="M1450" s="7" t="s">
        <v>4518</v>
      </c>
    </row>
    <row r="1451" spans="2:13" ht="21.75" customHeight="1" x14ac:dyDescent="0.35">
      <c r="B1451" s="11">
        <v>63</v>
      </c>
      <c r="C1451" s="5" t="s">
        <v>8719</v>
      </c>
      <c r="D1451" s="11">
        <v>134</v>
      </c>
      <c r="E1451" s="5" t="s">
        <v>9102</v>
      </c>
      <c r="F1451" s="5" t="s">
        <v>9103</v>
      </c>
      <c r="G1451" s="5" t="s">
        <v>5964</v>
      </c>
      <c r="H1451" s="5" t="s">
        <v>41</v>
      </c>
      <c r="I1451" s="5" t="s">
        <v>49</v>
      </c>
      <c r="J1451" s="5" t="s">
        <v>1063</v>
      </c>
      <c r="K1451" s="5" t="s">
        <v>6492</v>
      </c>
      <c r="L1451" s="11">
        <v>1</v>
      </c>
      <c r="M1451" s="5" t="s">
        <v>4518</v>
      </c>
    </row>
    <row r="1452" spans="2:13" ht="21.75" customHeight="1" x14ac:dyDescent="0.35">
      <c r="B1452" s="12">
        <v>63</v>
      </c>
      <c r="C1452" s="7" t="s">
        <v>8719</v>
      </c>
      <c r="D1452" s="12">
        <v>135</v>
      </c>
      <c r="E1452" s="7" t="s">
        <v>9104</v>
      </c>
      <c r="F1452" s="7" t="s">
        <v>9105</v>
      </c>
      <c r="G1452" s="7" t="s">
        <v>950</v>
      </c>
      <c r="H1452" s="7" t="s">
        <v>41</v>
      </c>
      <c r="I1452" s="7" t="s">
        <v>49</v>
      </c>
      <c r="J1452" s="7" t="s">
        <v>1004</v>
      </c>
      <c r="K1452" s="7" t="s">
        <v>5073</v>
      </c>
      <c r="L1452" s="12">
        <v>1</v>
      </c>
      <c r="M1452" s="7" t="s">
        <v>4518</v>
      </c>
    </row>
    <row r="1453" spans="2:13" ht="21.75" customHeight="1" x14ac:dyDescent="0.35">
      <c r="B1453" s="11">
        <v>63</v>
      </c>
      <c r="C1453" s="5" t="s">
        <v>8719</v>
      </c>
      <c r="D1453" s="11">
        <v>136</v>
      </c>
      <c r="E1453" s="5" t="s">
        <v>9106</v>
      </c>
      <c r="F1453" s="5" t="s">
        <v>9107</v>
      </c>
      <c r="G1453" s="5" t="s">
        <v>973</v>
      </c>
      <c r="H1453" s="5" t="s">
        <v>36</v>
      </c>
      <c r="I1453" s="5" t="s">
        <v>48</v>
      </c>
      <c r="J1453" s="5" t="s">
        <v>663</v>
      </c>
      <c r="K1453" s="5" t="s">
        <v>5284</v>
      </c>
      <c r="L1453" s="11">
        <v>1</v>
      </c>
      <c r="M1453" s="5" t="s">
        <v>4518</v>
      </c>
    </row>
    <row r="1454" spans="2:13" ht="21.75" customHeight="1" x14ac:dyDescent="0.35">
      <c r="B1454" s="12">
        <v>63</v>
      </c>
      <c r="C1454" s="7" t="s">
        <v>8719</v>
      </c>
      <c r="D1454" s="12">
        <v>137</v>
      </c>
      <c r="E1454" s="7" t="s">
        <v>9108</v>
      </c>
      <c r="F1454" s="7" t="s">
        <v>9109</v>
      </c>
      <c r="G1454" s="7" t="s">
        <v>8619</v>
      </c>
      <c r="H1454" s="7" t="s">
        <v>36</v>
      </c>
      <c r="I1454" s="7" t="s">
        <v>48</v>
      </c>
      <c r="J1454" s="7" t="s">
        <v>663</v>
      </c>
      <c r="K1454" s="7" t="s">
        <v>5284</v>
      </c>
      <c r="L1454" s="12">
        <v>1</v>
      </c>
      <c r="M1454" s="7" t="s">
        <v>4518</v>
      </c>
    </row>
    <row r="1455" spans="2:13" ht="21.75" customHeight="1" x14ac:dyDescent="0.35">
      <c r="B1455" s="11">
        <v>63</v>
      </c>
      <c r="C1455" s="5" t="s">
        <v>8719</v>
      </c>
      <c r="D1455" s="11">
        <v>138</v>
      </c>
      <c r="E1455" s="5" t="s">
        <v>9110</v>
      </c>
      <c r="F1455" s="5" t="s">
        <v>9111</v>
      </c>
      <c r="G1455" s="5" t="s">
        <v>5381</v>
      </c>
      <c r="H1455" s="5" t="s">
        <v>36</v>
      </c>
      <c r="I1455" s="5" t="s">
        <v>48</v>
      </c>
      <c r="J1455" s="5" t="s">
        <v>663</v>
      </c>
      <c r="K1455" s="5" t="s">
        <v>5284</v>
      </c>
      <c r="L1455" s="11">
        <v>1</v>
      </c>
      <c r="M1455" s="5" t="s">
        <v>4518</v>
      </c>
    </row>
    <row r="1456" spans="2:13" ht="37.5" customHeight="1" x14ac:dyDescent="0.35">
      <c r="B1456" s="12">
        <v>63</v>
      </c>
      <c r="C1456" s="7" t="s">
        <v>8719</v>
      </c>
      <c r="D1456" s="12">
        <v>139</v>
      </c>
      <c r="E1456" s="7" t="s">
        <v>9112</v>
      </c>
      <c r="F1456" s="7" t="s">
        <v>9113</v>
      </c>
      <c r="G1456" s="7" t="s">
        <v>237</v>
      </c>
      <c r="H1456" s="7" t="s">
        <v>36</v>
      </c>
      <c r="I1456" s="7" t="s">
        <v>48</v>
      </c>
      <c r="J1456" s="7" t="s">
        <v>663</v>
      </c>
      <c r="K1456" s="7" t="s">
        <v>5284</v>
      </c>
      <c r="L1456" s="12">
        <v>1</v>
      </c>
      <c r="M1456" s="7" t="s">
        <v>4518</v>
      </c>
    </row>
    <row r="1457" spans="2:13" ht="21.75" customHeight="1" x14ac:dyDescent="0.35">
      <c r="B1457" s="11">
        <v>63</v>
      </c>
      <c r="C1457" s="5" t="s">
        <v>8719</v>
      </c>
      <c r="D1457" s="11">
        <v>140</v>
      </c>
      <c r="E1457" s="5" t="s">
        <v>9114</v>
      </c>
      <c r="F1457" s="5" t="s">
        <v>9115</v>
      </c>
      <c r="G1457" s="5" t="s">
        <v>2529</v>
      </c>
      <c r="H1457" s="5" t="s">
        <v>39</v>
      </c>
      <c r="I1457" s="5" t="s">
        <v>57</v>
      </c>
      <c r="J1457" s="5" t="s">
        <v>1579</v>
      </c>
      <c r="K1457" s="5" t="s">
        <v>9116</v>
      </c>
      <c r="L1457" s="11">
        <v>1</v>
      </c>
      <c r="M1457" s="5" t="s">
        <v>4518</v>
      </c>
    </row>
    <row r="1458" spans="2:13" ht="37.5" customHeight="1" x14ac:dyDescent="0.35">
      <c r="B1458" s="12">
        <v>63</v>
      </c>
      <c r="C1458" s="7" t="s">
        <v>8719</v>
      </c>
      <c r="D1458" s="12">
        <v>141</v>
      </c>
      <c r="E1458" s="7" t="s">
        <v>9117</v>
      </c>
      <c r="F1458" s="7" t="s">
        <v>9118</v>
      </c>
      <c r="G1458" s="7" t="s">
        <v>9119</v>
      </c>
      <c r="H1458" s="7" t="s">
        <v>6286</v>
      </c>
      <c r="I1458" s="7" t="s">
        <v>9120</v>
      </c>
      <c r="J1458" s="7" t="s">
        <v>9121</v>
      </c>
      <c r="K1458" s="7" t="s">
        <v>9122</v>
      </c>
      <c r="L1458" s="12">
        <v>2</v>
      </c>
      <c r="M1458" s="7" t="s">
        <v>4518</v>
      </c>
    </row>
    <row r="1459" spans="2:13" ht="37.5" customHeight="1" x14ac:dyDescent="0.35">
      <c r="B1459" s="11">
        <v>63</v>
      </c>
      <c r="C1459" s="5" t="s">
        <v>8719</v>
      </c>
      <c r="D1459" s="11">
        <v>142</v>
      </c>
      <c r="E1459" s="5" t="s">
        <v>9123</v>
      </c>
      <c r="F1459" s="5" t="s">
        <v>9124</v>
      </c>
      <c r="G1459" s="5" t="s">
        <v>924</v>
      </c>
      <c r="H1459" s="5" t="s">
        <v>4662</v>
      </c>
      <c r="I1459" s="5" t="s">
        <v>5152</v>
      </c>
      <c r="J1459" s="5" t="s">
        <v>9125</v>
      </c>
      <c r="K1459" s="5" t="s">
        <v>9126</v>
      </c>
      <c r="L1459" s="11">
        <v>2</v>
      </c>
      <c r="M1459" s="5" t="s">
        <v>4518</v>
      </c>
    </row>
    <row r="1460" spans="2:13" ht="37.5" customHeight="1" x14ac:dyDescent="0.35">
      <c r="B1460" s="12">
        <v>63</v>
      </c>
      <c r="C1460" s="7" t="s">
        <v>8719</v>
      </c>
      <c r="D1460" s="12">
        <v>143</v>
      </c>
      <c r="E1460" s="7" t="s">
        <v>9127</v>
      </c>
      <c r="F1460" s="7" t="s">
        <v>9128</v>
      </c>
      <c r="G1460" s="7" t="s">
        <v>1235</v>
      </c>
      <c r="H1460" s="7" t="s">
        <v>39</v>
      </c>
      <c r="I1460" s="7" t="s">
        <v>57</v>
      </c>
      <c r="J1460" s="7" t="s">
        <v>3742</v>
      </c>
      <c r="K1460" s="7" t="s">
        <v>9129</v>
      </c>
      <c r="L1460" s="12">
        <v>1</v>
      </c>
      <c r="M1460" s="7" t="s">
        <v>4518</v>
      </c>
    </row>
    <row r="1461" spans="2:13" ht="37.5" customHeight="1" x14ac:dyDescent="0.35">
      <c r="B1461" s="11">
        <v>63</v>
      </c>
      <c r="C1461" s="5" t="s">
        <v>8719</v>
      </c>
      <c r="D1461" s="11">
        <v>144</v>
      </c>
      <c r="E1461" s="5" t="s">
        <v>9130</v>
      </c>
      <c r="F1461" s="5" t="s">
        <v>9131</v>
      </c>
      <c r="G1461" s="5" t="s">
        <v>2405</v>
      </c>
      <c r="H1461" s="5" t="s">
        <v>39</v>
      </c>
      <c r="I1461" s="5" t="s">
        <v>57</v>
      </c>
      <c r="J1461" s="5" t="s">
        <v>3742</v>
      </c>
      <c r="K1461" s="5" t="s">
        <v>9129</v>
      </c>
      <c r="L1461" s="11">
        <v>1</v>
      </c>
      <c r="M1461" s="5" t="s">
        <v>4518</v>
      </c>
    </row>
    <row r="1462" spans="2:13" ht="21.75" customHeight="1" x14ac:dyDescent="0.35">
      <c r="B1462" s="12">
        <v>63</v>
      </c>
      <c r="C1462" s="7" t="s">
        <v>8719</v>
      </c>
      <c r="D1462" s="12">
        <v>145</v>
      </c>
      <c r="E1462" s="7" t="s">
        <v>9132</v>
      </c>
      <c r="F1462" s="7" t="s">
        <v>9133</v>
      </c>
      <c r="G1462" s="7" t="s">
        <v>3741</v>
      </c>
      <c r="H1462" s="7" t="s">
        <v>37</v>
      </c>
      <c r="I1462" s="7" t="s">
        <v>193</v>
      </c>
      <c r="J1462" s="7" t="s">
        <v>5410</v>
      </c>
      <c r="K1462" s="7" t="s">
        <v>9134</v>
      </c>
      <c r="L1462" s="12">
        <v>1</v>
      </c>
      <c r="M1462" s="7" t="s">
        <v>4518</v>
      </c>
    </row>
    <row r="1463" spans="2:13" ht="37.5" customHeight="1" x14ac:dyDescent="0.35">
      <c r="B1463" s="11">
        <v>63</v>
      </c>
      <c r="C1463" s="5" t="s">
        <v>8719</v>
      </c>
      <c r="D1463" s="11">
        <v>146</v>
      </c>
      <c r="E1463" s="5" t="s">
        <v>9135</v>
      </c>
      <c r="F1463" s="5" t="s">
        <v>9136</v>
      </c>
      <c r="G1463" s="5" t="s">
        <v>5408</v>
      </c>
      <c r="H1463" s="5" t="s">
        <v>36</v>
      </c>
      <c r="I1463" s="5" t="s">
        <v>48</v>
      </c>
      <c r="J1463" s="5" t="s">
        <v>5410</v>
      </c>
      <c r="K1463" s="5" t="s">
        <v>9137</v>
      </c>
      <c r="L1463" s="11">
        <v>1</v>
      </c>
      <c r="M1463" s="5" t="s">
        <v>4518</v>
      </c>
    </row>
    <row r="1464" spans="2:13" ht="37.5" customHeight="1" x14ac:dyDescent="0.35">
      <c r="B1464" s="12">
        <v>63</v>
      </c>
      <c r="C1464" s="7" t="s">
        <v>8719</v>
      </c>
      <c r="D1464" s="12">
        <v>147</v>
      </c>
      <c r="E1464" s="7" t="s">
        <v>9138</v>
      </c>
      <c r="F1464" s="7" t="s">
        <v>9139</v>
      </c>
      <c r="G1464" s="7" t="s">
        <v>9140</v>
      </c>
      <c r="H1464" s="7" t="s">
        <v>36</v>
      </c>
      <c r="I1464" s="7" t="s">
        <v>48</v>
      </c>
      <c r="J1464" s="7" t="s">
        <v>4408</v>
      </c>
      <c r="K1464" s="7" t="s">
        <v>7692</v>
      </c>
      <c r="L1464" s="12">
        <v>1</v>
      </c>
      <c r="M1464" s="7" t="s">
        <v>4518</v>
      </c>
    </row>
    <row r="1465" spans="2:13" ht="37.5" customHeight="1" x14ac:dyDescent="0.35">
      <c r="B1465" s="11">
        <v>64</v>
      </c>
      <c r="C1465" s="5" t="s">
        <v>9141</v>
      </c>
      <c r="D1465" s="11">
        <v>1</v>
      </c>
      <c r="E1465" s="5" t="s">
        <v>9142</v>
      </c>
      <c r="F1465" s="5" t="s">
        <v>9143</v>
      </c>
      <c r="G1465" s="5" t="s">
        <v>993</v>
      </c>
      <c r="H1465" s="5" t="s">
        <v>36</v>
      </c>
      <c r="I1465" s="5" t="s">
        <v>48</v>
      </c>
      <c r="J1465" s="5" t="s">
        <v>1579</v>
      </c>
      <c r="K1465" s="5" t="s">
        <v>9015</v>
      </c>
      <c r="L1465" s="11">
        <v>1</v>
      </c>
      <c r="M1465" s="5"/>
    </row>
    <row r="1466" spans="2:13" ht="37.5" customHeight="1" x14ac:dyDescent="0.35">
      <c r="B1466" s="12">
        <v>64</v>
      </c>
      <c r="C1466" s="7" t="s">
        <v>9141</v>
      </c>
      <c r="D1466" s="12">
        <v>2</v>
      </c>
      <c r="E1466" s="7" t="s">
        <v>9144</v>
      </c>
      <c r="F1466" s="7" t="s">
        <v>9145</v>
      </c>
      <c r="G1466" s="7" t="s">
        <v>701</v>
      </c>
      <c r="H1466" s="7" t="s">
        <v>37</v>
      </c>
      <c r="I1466" s="7" t="s">
        <v>51</v>
      </c>
      <c r="J1466" s="7" t="s">
        <v>5056</v>
      </c>
      <c r="K1466" s="7" t="s">
        <v>5299</v>
      </c>
      <c r="L1466" s="12">
        <v>1</v>
      </c>
      <c r="M1466" s="7"/>
    </row>
    <row r="1467" spans="2:13" ht="37.5" customHeight="1" x14ac:dyDescent="0.35">
      <c r="B1467" s="11">
        <v>65</v>
      </c>
      <c r="C1467" s="5" t="s">
        <v>9146</v>
      </c>
      <c r="D1467" s="11">
        <v>1</v>
      </c>
      <c r="E1467" s="5" t="s">
        <v>9147</v>
      </c>
      <c r="F1467" s="5" t="s">
        <v>9148</v>
      </c>
      <c r="G1467" s="5" t="s">
        <v>28</v>
      </c>
      <c r="H1467" s="5" t="s">
        <v>42</v>
      </c>
      <c r="I1467" s="5" t="s">
        <v>4657</v>
      </c>
      <c r="J1467" s="5" t="s">
        <v>4308</v>
      </c>
      <c r="K1467" s="5" t="s">
        <v>9149</v>
      </c>
      <c r="L1467" s="11">
        <v>1</v>
      </c>
      <c r="M1467" s="5" t="s">
        <v>4518</v>
      </c>
    </row>
    <row r="1468" spans="2:13" ht="37.5" customHeight="1" x14ac:dyDescent="0.35">
      <c r="B1468" s="12">
        <v>65</v>
      </c>
      <c r="C1468" s="7" t="s">
        <v>9146</v>
      </c>
      <c r="D1468" s="12">
        <v>2</v>
      </c>
      <c r="E1468" s="7" t="s">
        <v>9150</v>
      </c>
      <c r="F1468" s="7" t="s">
        <v>9151</v>
      </c>
      <c r="G1468" s="7" t="s">
        <v>778</v>
      </c>
      <c r="H1468" s="7" t="s">
        <v>9152</v>
      </c>
      <c r="I1468" s="7" t="s">
        <v>9153</v>
      </c>
      <c r="J1468" s="7" t="s">
        <v>5056</v>
      </c>
      <c r="K1468" s="7" t="s">
        <v>9154</v>
      </c>
      <c r="L1468" s="12">
        <v>2</v>
      </c>
      <c r="M1468" s="7" t="s">
        <v>4518</v>
      </c>
    </row>
    <row r="1469" spans="2:13" ht="37.5" customHeight="1" x14ac:dyDescent="0.35">
      <c r="B1469" s="11">
        <v>65</v>
      </c>
      <c r="C1469" s="5" t="s">
        <v>9146</v>
      </c>
      <c r="D1469" s="11">
        <v>3</v>
      </c>
      <c r="E1469" s="5" t="s">
        <v>9155</v>
      </c>
      <c r="F1469" s="5" t="s">
        <v>9156</v>
      </c>
      <c r="G1469" s="5" t="s">
        <v>442</v>
      </c>
      <c r="H1469" s="5" t="s">
        <v>42</v>
      </c>
      <c r="I1469" s="5" t="s">
        <v>4657</v>
      </c>
      <c r="J1469" s="5" t="s">
        <v>4308</v>
      </c>
      <c r="K1469" s="5" t="s">
        <v>9149</v>
      </c>
      <c r="L1469" s="11">
        <v>1</v>
      </c>
      <c r="M1469" s="5" t="s">
        <v>4518</v>
      </c>
    </row>
    <row r="1470" spans="2:13" ht="37.5" customHeight="1" x14ac:dyDescent="0.35">
      <c r="B1470" s="12">
        <v>65</v>
      </c>
      <c r="C1470" s="7" t="s">
        <v>9146</v>
      </c>
      <c r="D1470" s="12">
        <v>4</v>
      </c>
      <c r="E1470" s="7" t="s">
        <v>9157</v>
      </c>
      <c r="F1470" s="7" t="s">
        <v>9158</v>
      </c>
      <c r="G1470" s="7" t="s">
        <v>428</v>
      </c>
      <c r="H1470" s="7" t="s">
        <v>41</v>
      </c>
      <c r="I1470" s="7" t="s">
        <v>49</v>
      </c>
      <c r="J1470" s="7" t="s">
        <v>1004</v>
      </c>
      <c r="K1470" s="7" t="s">
        <v>5073</v>
      </c>
      <c r="L1470" s="12">
        <v>1</v>
      </c>
      <c r="M1470" s="7" t="s">
        <v>4518</v>
      </c>
    </row>
    <row r="1471" spans="2:13" ht="37.5" customHeight="1" x14ac:dyDescent="0.35">
      <c r="B1471" s="11">
        <v>65</v>
      </c>
      <c r="C1471" s="5" t="s">
        <v>9146</v>
      </c>
      <c r="D1471" s="11">
        <v>5</v>
      </c>
      <c r="E1471" s="5" t="s">
        <v>9159</v>
      </c>
      <c r="F1471" s="5" t="s">
        <v>9160</v>
      </c>
      <c r="G1471" s="5" t="s">
        <v>249</v>
      </c>
      <c r="H1471" s="5" t="s">
        <v>39</v>
      </c>
      <c r="I1471" s="5" t="s">
        <v>57</v>
      </c>
      <c r="J1471" s="5" t="s">
        <v>5056</v>
      </c>
      <c r="K1471" s="5" t="s">
        <v>9161</v>
      </c>
      <c r="L1471" s="11">
        <v>1</v>
      </c>
      <c r="M1471" s="5" t="s">
        <v>4518</v>
      </c>
    </row>
    <row r="1472" spans="2:13" ht="37.5" customHeight="1" x14ac:dyDescent="0.35">
      <c r="B1472" s="12">
        <v>65</v>
      </c>
      <c r="C1472" s="7" t="s">
        <v>9146</v>
      </c>
      <c r="D1472" s="12">
        <v>6</v>
      </c>
      <c r="E1472" s="7" t="s">
        <v>9162</v>
      </c>
      <c r="F1472" s="7" t="s">
        <v>9163</v>
      </c>
      <c r="G1472" s="7" t="s">
        <v>26</v>
      </c>
      <c r="H1472" s="7" t="s">
        <v>39</v>
      </c>
      <c r="I1472" s="7" t="s">
        <v>57</v>
      </c>
      <c r="J1472" s="7" t="s">
        <v>5056</v>
      </c>
      <c r="K1472" s="7" t="s">
        <v>9161</v>
      </c>
      <c r="L1472" s="12">
        <v>1</v>
      </c>
      <c r="M1472" s="7" t="s">
        <v>4518</v>
      </c>
    </row>
    <row r="1473" spans="2:13" ht="67.5" customHeight="1" x14ac:dyDescent="0.35">
      <c r="B1473" s="11">
        <v>65</v>
      </c>
      <c r="C1473" s="5" t="s">
        <v>9146</v>
      </c>
      <c r="D1473" s="11">
        <v>7</v>
      </c>
      <c r="E1473" s="5" t="s">
        <v>9164</v>
      </c>
      <c r="F1473" s="5" t="s">
        <v>9165</v>
      </c>
      <c r="G1473" s="5" t="s">
        <v>25</v>
      </c>
      <c r="H1473" s="5" t="s">
        <v>9166</v>
      </c>
      <c r="I1473" s="5" t="s">
        <v>9167</v>
      </c>
      <c r="J1473" s="5" t="s">
        <v>9168</v>
      </c>
      <c r="K1473" s="5" t="s">
        <v>9169</v>
      </c>
      <c r="L1473" s="11">
        <v>4</v>
      </c>
      <c r="M1473" s="5" t="s">
        <v>4518</v>
      </c>
    </row>
    <row r="1474" spans="2:13" ht="37.5" customHeight="1" x14ac:dyDescent="0.35">
      <c r="B1474" s="12">
        <v>65</v>
      </c>
      <c r="C1474" s="7" t="s">
        <v>9146</v>
      </c>
      <c r="D1474" s="12">
        <v>8</v>
      </c>
      <c r="E1474" s="7" t="s">
        <v>9170</v>
      </c>
      <c r="F1474" s="7" t="s">
        <v>9171</v>
      </c>
      <c r="G1474" s="7" t="s">
        <v>573</v>
      </c>
      <c r="H1474" s="7" t="s">
        <v>36</v>
      </c>
      <c r="I1474" s="7" t="s">
        <v>48</v>
      </c>
      <c r="J1474" s="7" t="s">
        <v>9172</v>
      </c>
      <c r="K1474" s="7" t="s">
        <v>9173</v>
      </c>
      <c r="L1474" s="12">
        <v>1</v>
      </c>
      <c r="M1474" s="7" t="s">
        <v>4518</v>
      </c>
    </row>
    <row r="1475" spans="2:13" ht="37.5" customHeight="1" x14ac:dyDescent="0.35">
      <c r="B1475" s="11">
        <v>65</v>
      </c>
      <c r="C1475" s="5" t="s">
        <v>9146</v>
      </c>
      <c r="D1475" s="11">
        <v>9</v>
      </c>
      <c r="E1475" s="5" t="s">
        <v>9174</v>
      </c>
      <c r="F1475" s="5" t="s">
        <v>9175</v>
      </c>
      <c r="G1475" s="5" t="s">
        <v>742</v>
      </c>
      <c r="H1475" s="5" t="s">
        <v>4996</v>
      </c>
      <c r="I1475" s="5" t="s">
        <v>8760</v>
      </c>
      <c r="J1475" s="5" t="s">
        <v>9176</v>
      </c>
      <c r="K1475" s="5" t="s">
        <v>9177</v>
      </c>
      <c r="L1475" s="11">
        <v>2</v>
      </c>
      <c r="M1475" s="5" t="s">
        <v>4518</v>
      </c>
    </row>
    <row r="1476" spans="2:13" ht="52.5" customHeight="1" x14ac:dyDescent="0.35">
      <c r="B1476" s="12">
        <v>65</v>
      </c>
      <c r="C1476" s="7" t="s">
        <v>9146</v>
      </c>
      <c r="D1476" s="12">
        <v>10</v>
      </c>
      <c r="E1476" s="7" t="s">
        <v>9178</v>
      </c>
      <c r="F1476" s="7" t="s">
        <v>9179</v>
      </c>
      <c r="G1476" s="7" t="s">
        <v>582</v>
      </c>
      <c r="H1476" s="7" t="s">
        <v>6558</v>
      </c>
      <c r="I1476" s="7" t="s">
        <v>9180</v>
      </c>
      <c r="J1476" s="7" t="s">
        <v>9181</v>
      </c>
      <c r="K1476" s="7" t="s">
        <v>9182</v>
      </c>
      <c r="L1476" s="12">
        <v>3</v>
      </c>
      <c r="M1476" s="7" t="s">
        <v>4518</v>
      </c>
    </row>
    <row r="1477" spans="2:13" ht="37.5" customHeight="1" x14ac:dyDescent="0.35">
      <c r="B1477" s="11">
        <v>65</v>
      </c>
      <c r="C1477" s="5" t="s">
        <v>9146</v>
      </c>
      <c r="D1477" s="11">
        <v>11</v>
      </c>
      <c r="E1477" s="5" t="s">
        <v>9183</v>
      </c>
      <c r="F1477" s="5" t="s">
        <v>9184</v>
      </c>
      <c r="G1477" s="5" t="s">
        <v>29</v>
      </c>
      <c r="H1477" s="5" t="s">
        <v>36</v>
      </c>
      <c r="I1477" s="5" t="s">
        <v>5409</v>
      </c>
      <c r="J1477" s="5" t="s">
        <v>5056</v>
      </c>
      <c r="K1477" s="5" t="s">
        <v>9185</v>
      </c>
      <c r="L1477" s="11">
        <v>1</v>
      </c>
      <c r="M1477" s="5" t="s">
        <v>4518</v>
      </c>
    </row>
    <row r="1478" spans="2:13" ht="37.5" customHeight="1" x14ac:dyDescent="0.35">
      <c r="B1478" s="12">
        <v>65</v>
      </c>
      <c r="C1478" s="7" t="s">
        <v>9146</v>
      </c>
      <c r="D1478" s="12">
        <v>12</v>
      </c>
      <c r="E1478" s="7" t="s">
        <v>9186</v>
      </c>
      <c r="F1478" s="7" t="s">
        <v>9187</v>
      </c>
      <c r="G1478" s="7" t="s">
        <v>1244</v>
      </c>
      <c r="H1478" s="7" t="s">
        <v>44</v>
      </c>
      <c r="I1478" s="7" t="s">
        <v>49</v>
      </c>
      <c r="J1478" s="7" t="s">
        <v>1004</v>
      </c>
      <c r="K1478" s="7" t="s">
        <v>5350</v>
      </c>
      <c r="L1478" s="12">
        <v>1</v>
      </c>
      <c r="M1478" s="7" t="s">
        <v>4518</v>
      </c>
    </row>
    <row r="1479" spans="2:13" ht="37.5" customHeight="1" x14ac:dyDescent="0.35">
      <c r="B1479" s="11">
        <v>65</v>
      </c>
      <c r="C1479" s="5" t="s">
        <v>9146</v>
      </c>
      <c r="D1479" s="11">
        <v>13</v>
      </c>
      <c r="E1479" s="5" t="s">
        <v>9188</v>
      </c>
      <c r="F1479" s="5" t="s">
        <v>9189</v>
      </c>
      <c r="G1479" s="5" t="s">
        <v>713</v>
      </c>
      <c r="H1479" s="5" t="s">
        <v>41</v>
      </c>
      <c r="I1479" s="5" t="s">
        <v>49</v>
      </c>
      <c r="J1479" s="5" t="s">
        <v>1004</v>
      </c>
      <c r="K1479" s="5" t="s">
        <v>5073</v>
      </c>
      <c r="L1479" s="11">
        <v>1</v>
      </c>
      <c r="M1479" s="5" t="s">
        <v>4518</v>
      </c>
    </row>
    <row r="1480" spans="2:13" ht="37.5" customHeight="1" x14ac:dyDescent="0.35">
      <c r="B1480" s="12">
        <v>65</v>
      </c>
      <c r="C1480" s="7" t="s">
        <v>9146</v>
      </c>
      <c r="D1480" s="12">
        <v>14</v>
      </c>
      <c r="E1480" s="7" t="s">
        <v>9190</v>
      </c>
      <c r="F1480" s="7" t="s">
        <v>9191</v>
      </c>
      <c r="G1480" s="7" t="s">
        <v>831</v>
      </c>
      <c r="H1480" s="7" t="s">
        <v>294</v>
      </c>
      <c r="I1480" s="7" t="s">
        <v>49</v>
      </c>
      <c r="J1480" s="7" t="s">
        <v>9192</v>
      </c>
      <c r="K1480" s="7" t="s">
        <v>9193</v>
      </c>
      <c r="L1480" s="12">
        <v>2</v>
      </c>
      <c r="M1480" s="7" t="s">
        <v>4518</v>
      </c>
    </row>
    <row r="1481" spans="2:13" ht="37.5" customHeight="1" x14ac:dyDescent="0.35">
      <c r="B1481" s="11">
        <v>65</v>
      </c>
      <c r="C1481" s="5" t="s">
        <v>9146</v>
      </c>
      <c r="D1481" s="11">
        <v>15</v>
      </c>
      <c r="E1481" s="5" t="s">
        <v>9194</v>
      </c>
      <c r="F1481" s="5" t="s">
        <v>9195</v>
      </c>
      <c r="G1481" s="5" t="s">
        <v>8413</v>
      </c>
      <c r="H1481" s="5" t="s">
        <v>37</v>
      </c>
      <c r="I1481" s="5" t="s">
        <v>193</v>
      </c>
      <c r="J1481" s="5" t="s">
        <v>9172</v>
      </c>
      <c r="K1481" s="5" t="s">
        <v>9196</v>
      </c>
      <c r="L1481" s="11">
        <v>1</v>
      </c>
      <c r="M1481" s="5" t="s">
        <v>4518</v>
      </c>
    </row>
    <row r="1482" spans="2:13" ht="37.5" customHeight="1" x14ac:dyDescent="0.35">
      <c r="B1482" s="12">
        <v>65</v>
      </c>
      <c r="C1482" s="7" t="s">
        <v>9146</v>
      </c>
      <c r="D1482" s="12">
        <v>16</v>
      </c>
      <c r="E1482" s="7" t="s">
        <v>9197</v>
      </c>
      <c r="F1482" s="7" t="s">
        <v>9198</v>
      </c>
      <c r="G1482" s="7" t="s">
        <v>566</v>
      </c>
      <c r="H1482" s="7" t="s">
        <v>37</v>
      </c>
      <c r="I1482" s="7" t="s">
        <v>193</v>
      </c>
      <c r="J1482" s="7" t="s">
        <v>5495</v>
      </c>
      <c r="K1482" s="7" t="s">
        <v>9199</v>
      </c>
      <c r="L1482" s="12">
        <v>1</v>
      </c>
      <c r="M1482" s="7" t="s">
        <v>4518</v>
      </c>
    </row>
    <row r="1483" spans="2:13" ht="37.5" customHeight="1" x14ac:dyDescent="0.35">
      <c r="B1483" s="11">
        <v>65</v>
      </c>
      <c r="C1483" s="5" t="s">
        <v>9146</v>
      </c>
      <c r="D1483" s="11">
        <v>17</v>
      </c>
      <c r="E1483" s="5" t="s">
        <v>9200</v>
      </c>
      <c r="F1483" s="5" t="s">
        <v>9201</v>
      </c>
      <c r="G1483" s="5" t="s">
        <v>30</v>
      </c>
      <c r="H1483" s="5" t="s">
        <v>41</v>
      </c>
      <c r="I1483" s="5" t="s">
        <v>49</v>
      </c>
      <c r="J1483" s="5" t="s">
        <v>1004</v>
      </c>
      <c r="K1483" s="5" t="s">
        <v>5073</v>
      </c>
      <c r="L1483" s="11">
        <v>1</v>
      </c>
      <c r="M1483" s="5" t="s">
        <v>4518</v>
      </c>
    </row>
    <row r="1484" spans="2:13" ht="37.5" customHeight="1" x14ac:dyDescent="0.35">
      <c r="B1484" s="12">
        <v>65</v>
      </c>
      <c r="C1484" s="7" t="s">
        <v>9146</v>
      </c>
      <c r="D1484" s="12">
        <v>18</v>
      </c>
      <c r="E1484" s="7" t="s">
        <v>9202</v>
      </c>
      <c r="F1484" s="7" t="s">
        <v>9203</v>
      </c>
      <c r="G1484" s="7" t="s">
        <v>395</v>
      </c>
      <c r="H1484" s="7" t="s">
        <v>37</v>
      </c>
      <c r="I1484" s="7" t="s">
        <v>51</v>
      </c>
      <c r="J1484" s="7" t="s">
        <v>9172</v>
      </c>
      <c r="K1484" s="7" t="s">
        <v>9204</v>
      </c>
      <c r="L1484" s="12">
        <v>1</v>
      </c>
      <c r="M1484" s="7" t="s">
        <v>4518</v>
      </c>
    </row>
    <row r="1485" spans="2:13" ht="52.5" customHeight="1" x14ac:dyDescent="0.35">
      <c r="B1485" s="11">
        <v>65</v>
      </c>
      <c r="C1485" s="5" t="s">
        <v>9146</v>
      </c>
      <c r="D1485" s="11">
        <v>19</v>
      </c>
      <c r="E1485" s="5" t="s">
        <v>9205</v>
      </c>
      <c r="F1485" s="5" t="s">
        <v>9206</v>
      </c>
      <c r="G1485" s="5" t="s">
        <v>1196</v>
      </c>
      <c r="H1485" s="5" t="s">
        <v>9207</v>
      </c>
      <c r="I1485" s="5" t="s">
        <v>9208</v>
      </c>
      <c r="J1485" s="5" t="s">
        <v>9209</v>
      </c>
      <c r="K1485" s="5" t="s">
        <v>9210</v>
      </c>
      <c r="L1485" s="11">
        <v>3</v>
      </c>
      <c r="M1485" s="5" t="s">
        <v>4518</v>
      </c>
    </row>
    <row r="1486" spans="2:13" ht="52.5" customHeight="1" x14ac:dyDescent="0.35">
      <c r="B1486" s="12">
        <v>65</v>
      </c>
      <c r="C1486" s="7" t="s">
        <v>9146</v>
      </c>
      <c r="D1486" s="12">
        <v>20</v>
      </c>
      <c r="E1486" s="7" t="s">
        <v>9211</v>
      </c>
      <c r="F1486" s="7" t="s">
        <v>9212</v>
      </c>
      <c r="G1486" s="7" t="s">
        <v>249</v>
      </c>
      <c r="H1486" s="7" t="s">
        <v>9207</v>
      </c>
      <c r="I1486" s="7" t="s">
        <v>9208</v>
      </c>
      <c r="J1486" s="7" t="s">
        <v>9209</v>
      </c>
      <c r="K1486" s="7" t="s">
        <v>9210</v>
      </c>
      <c r="L1486" s="12">
        <v>3</v>
      </c>
      <c r="M1486" s="7" t="s">
        <v>4518</v>
      </c>
    </row>
    <row r="1487" spans="2:13" ht="37.5" customHeight="1" x14ac:dyDescent="0.35">
      <c r="B1487" s="11">
        <v>65</v>
      </c>
      <c r="C1487" s="5" t="s">
        <v>9146</v>
      </c>
      <c r="D1487" s="11">
        <v>21</v>
      </c>
      <c r="E1487" s="5" t="s">
        <v>9213</v>
      </c>
      <c r="F1487" s="5" t="s">
        <v>9214</v>
      </c>
      <c r="G1487" s="5" t="s">
        <v>4260</v>
      </c>
      <c r="H1487" s="5" t="s">
        <v>4580</v>
      </c>
      <c r="I1487" s="5" t="s">
        <v>5143</v>
      </c>
      <c r="J1487" s="5" t="s">
        <v>9215</v>
      </c>
      <c r="K1487" s="5" t="s">
        <v>9216</v>
      </c>
      <c r="L1487" s="11">
        <v>2</v>
      </c>
      <c r="M1487" s="5" t="s">
        <v>4518</v>
      </c>
    </row>
    <row r="1488" spans="2:13" ht="37.5" customHeight="1" x14ac:dyDescent="0.35">
      <c r="B1488" s="12">
        <v>65</v>
      </c>
      <c r="C1488" s="7" t="s">
        <v>9146</v>
      </c>
      <c r="D1488" s="12">
        <v>22</v>
      </c>
      <c r="E1488" s="7" t="s">
        <v>9217</v>
      </c>
      <c r="F1488" s="7" t="s">
        <v>9218</v>
      </c>
      <c r="G1488" s="7" t="s">
        <v>1226</v>
      </c>
      <c r="H1488" s="7" t="s">
        <v>44</v>
      </c>
      <c r="I1488" s="7" t="s">
        <v>49</v>
      </c>
      <c r="J1488" s="7" t="s">
        <v>1004</v>
      </c>
      <c r="K1488" s="7" t="s">
        <v>5350</v>
      </c>
      <c r="L1488" s="12">
        <v>1</v>
      </c>
      <c r="M1488" s="7" t="s">
        <v>4518</v>
      </c>
    </row>
    <row r="1489" spans="2:13" ht="37.5" customHeight="1" x14ac:dyDescent="0.35">
      <c r="B1489" s="11">
        <v>65</v>
      </c>
      <c r="C1489" s="5" t="s">
        <v>9146</v>
      </c>
      <c r="D1489" s="11">
        <v>23</v>
      </c>
      <c r="E1489" s="5" t="s">
        <v>9219</v>
      </c>
      <c r="F1489" s="5" t="s">
        <v>9220</v>
      </c>
      <c r="G1489" s="5" t="s">
        <v>862</v>
      </c>
      <c r="H1489" s="5" t="s">
        <v>41</v>
      </c>
      <c r="I1489" s="5" t="s">
        <v>49</v>
      </c>
      <c r="J1489" s="5" t="s">
        <v>1004</v>
      </c>
      <c r="K1489" s="5" t="s">
        <v>5073</v>
      </c>
      <c r="L1489" s="11">
        <v>1</v>
      </c>
      <c r="M1489" s="5" t="s">
        <v>4518</v>
      </c>
    </row>
    <row r="1490" spans="2:13" ht="37.5" customHeight="1" x14ac:dyDescent="0.35">
      <c r="B1490" s="12">
        <v>65</v>
      </c>
      <c r="C1490" s="7" t="s">
        <v>9146</v>
      </c>
      <c r="D1490" s="12">
        <v>24</v>
      </c>
      <c r="E1490" s="7" t="s">
        <v>9221</v>
      </c>
      <c r="F1490" s="7" t="s">
        <v>9222</v>
      </c>
      <c r="G1490" s="7" t="s">
        <v>1214</v>
      </c>
      <c r="H1490" s="7" t="s">
        <v>359</v>
      </c>
      <c r="I1490" s="7" t="s">
        <v>9223</v>
      </c>
      <c r="J1490" s="7" t="s">
        <v>9224</v>
      </c>
      <c r="K1490" s="7" t="s">
        <v>9225</v>
      </c>
      <c r="L1490" s="12">
        <v>2</v>
      </c>
      <c r="M1490" s="7" t="s">
        <v>4518</v>
      </c>
    </row>
    <row r="1491" spans="2:13" ht="37.5" customHeight="1" x14ac:dyDescent="0.35">
      <c r="B1491" s="11">
        <v>65</v>
      </c>
      <c r="C1491" s="5" t="s">
        <v>9146</v>
      </c>
      <c r="D1491" s="11">
        <v>25</v>
      </c>
      <c r="E1491" s="5" t="s">
        <v>9226</v>
      </c>
      <c r="F1491" s="5" t="s">
        <v>9227</v>
      </c>
      <c r="G1491" s="5" t="s">
        <v>282</v>
      </c>
      <c r="H1491" s="5" t="s">
        <v>36</v>
      </c>
      <c r="I1491" s="5" t="s">
        <v>48</v>
      </c>
      <c r="J1491" s="5" t="s">
        <v>9228</v>
      </c>
      <c r="K1491" s="5" t="s">
        <v>9229</v>
      </c>
      <c r="L1491" s="11">
        <v>1</v>
      </c>
      <c r="M1491" s="5" t="s">
        <v>4518</v>
      </c>
    </row>
    <row r="1492" spans="2:13" ht="37.5" customHeight="1" x14ac:dyDescent="0.35">
      <c r="B1492" s="12">
        <v>65</v>
      </c>
      <c r="C1492" s="7" t="s">
        <v>9146</v>
      </c>
      <c r="D1492" s="12">
        <v>26</v>
      </c>
      <c r="E1492" s="7" t="s">
        <v>9230</v>
      </c>
      <c r="F1492" s="7" t="s">
        <v>9231</v>
      </c>
      <c r="G1492" s="7" t="s">
        <v>552</v>
      </c>
      <c r="H1492" s="7" t="s">
        <v>36</v>
      </c>
      <c r="I1492" s="7" t="s">
        <v>48</v>
      </c>
      <c r="J1492" s="7" t="s">
        <v>9228</v>
      </c>
      <c r="K1492" s="7" t="s">
        <v>9229</v>
      </c>
      <c r="L1492" s="12">
        <v>1</v>
      </c>
      <c r="M1492" s="7" t="s">
        <v>4518</v>
      </c>
    </row>
    <row r="1493" spans="2:13" ht="37.5" customHeight="1" x14ac:dyDescent="0.35">
      <c r="B1493" s="11">
        <v>65</v>
      </c>
      <c r="C1493" s="5" t="s">
        <v>9146</v>
      </c>
      <c r="D1493" s="11">
        <v>27</v>
      </c>
      <c r="E1493" s="5" t="s">
        <v>9232</v>
      </c>
      <c r="F1493" s="5" t="s">
        <v>9233</v>
      </c>
      <c r="G1493" s="5" t="s">
        <v>4213</v>
      </c>
      <c r="H1493" s="5" t="s">
        <v>169</v>
      </c>
      <c r="I1493" s="5" t="s">
        <v>49</v>
      </c>
      <c r="J1493" s="5" t="s">
        <v>9215</v>
      </c>
      <c r="K1493" s="5" t="s">
        <v>9234</v>
      </c>
      <c r="L1493" s="11">
        <v>2</v>
      </c>
      <c r="M1493" s="5" t="s">
        <v>4518</v>
      </c>
    </row>
    <row r="1494" spans="2:13" ht="37.5" customHeight="1" x14ac:dyDescent="0.35">
      <c r="B1494" s="12">
        <v>65</v>
      </c>
      <c r="C1494" s="7" t="s">
        <v>9146</v>
      </c>
      <c r="D1494" s="12">
        <v>28</v>
      </c>
      <c r="E1494" s="7" t="s">
        <v>9235</v>
      </c>
      <c r="F1494" s="7" t="s">
        <v>9236</v>
      </c>
      <c r="G1494" s="7" t="s">
        <v>900</v>
      </c>
      <c r="H1494" s="7" t="s">
        <v>36</v>
      </c>
      <c r="I1494" s="7" t="s">
        <v>48</v>
      </c>
      <c r="J1494" s="7" t="s">
        <v>1579</v>
      </c>
      <c r="K1494" s="7" t="s">
        <v>9015</v>
      </c>
      <c r="L1494" s="12">
        <v>1</v>
      </c>
      <c r="M1494" s="7" t="s">
        <v>4518</v>
      </c>
    </row>
    <row r="1495" spans="2:13" ht="37.5" customHeight="1" x14ac:dyDescent="0.35">
      <c r="B1495" s="11">
        <v>65</v>
      </c>
      <c r="C1495" s="5" t="s">
        <v>9146</v>
      </c>
      <c r="D1495" s="11">
        <v>29</v>
      </c>
      <c r="E1495" s="5" t="s">
        <v>9237</v>
      </c>
      <c r="F1495" s="5" t="s">
        <v>9238</v>
      </c>
      <c r="G1495" s="5" t="s">
        <v>749</v>
      </c>
      <c r="H1495" s="5" t="s">
        <v>41</v>
      </c>
      <c r="I1495" s="5" t="s">
        <v>49</v>
      </c>
      <c r="J1495" s="5" t="s">
        <v>1004</v>
      </c>
      <c r="K1495" s="5" t="s">
        <v>5073</v>
      </c>
      <c r="L1495" s="11">
        <v>1</v>
      </c>
      <c r="M1495" s="5" t="s">
        <v>4518</v>
      </c>
    </row>
    <row r="1496" spans="2:13" ht="37.5" customHeight="1" x14ac:dyDescent="0.35">
      <c r="B1496" s="12">
        <v>65</v>
      </c>
      <c r="C1496" s="7" t="s">
        <v>9146</v>
      </c>
      <c r="D1496" s="12">
        <v>30</v>
      </c>
      <c r="E1496" s="7" t="s">
        <v>9239</v>
      </c>
      <c r="F1496" s="7" t="s">
        <v>9240</v>
      </c>
      <c r="G1496" s="7" t="s">
        <v>1226</v>
      </c>
      <c r="H1496" s="7" t="s">
        <v>44</v>
      </c>
      <c r="I1496" s="7" t="s">
        <v>49</v>
      </c>
      <c r="J1496" s="7" t="s">
        <v>1004</v>
      </c>
      <c r="K1496" s="7" t="s">
        <v>5350</v>
      </c>
      <c r="L1496" s="12">
        <v>1</v>
      </c>
      <c r="M1496" s="7" t="s">
        <v>4518</v>
      </c>
    </row>
    <row r="1497" spans="2:13" ht="37.5" customHeight="1" x14ac:dyDescent="0.35">
      <c r="B1497" s="11">
        <v>65</v>
      </c>
      <c r="C1497" s="5" t="s">
        <v>9146</v>
      </c>
      <c r="D1497" s="11">
        <v>31</v>
      </c>
      <c r="E1497" s="5" t="s">
        <v>9241</v>
      </c>
      <c r="F1497" s="5" t="s">
        <v>9242</v>
      </c>
      <c r="G1497" s="5" t="s">
        <v>4879</v>
      </c>
      <c r="H1497" s="5" t="s">
        <v>41</v>
      </c>
      <c r="I1497" s="5" t="s">
        <v>49</v>
      </c>
      <c r="J1497" s="5" t="s">
        <v>1004</v>
      </c>
      <c r="K1497" s="5" t="s">
        <v>5073</v>
      </c>
      <c r="L1497" s="11">
        <v>1</v>
      </c>
      <c r="M1497" s="5" t="s">
        <v>4518</v>
      </c>
    </row>
    <row r="1498" spans="2:13" ht="37.5" customHeight="1" x14ac:dyDescent="0.35">
      <c r="B1498" s="12">
        <v>65</v>
      </c>
      <c r="C1498" s="7" t="s">
        <v>9146</v>
      </c>
      <c r="D1498" s="12">
        <v>32</v>
      </c>
      <c r="E1498" s="7" t="s">
        <v>9243</v>
      </c>
      <c r="F1498" s="7" t="s">
        <v>9244</v>
      </c>
      <c r="G1498" s="7" t="s">
        <v>656</v>
      </c>
      <c r="H1498" s="7" t="s">
        <v>36</v>
      </c>
      <c r="I1498" s="7" t="s">
        <v>48</v>
      </c>
      <c r="J1498" s="7" t="s">
        <v>9245</v>
      </c>
      <c r="K1498" s="7" t="s">
        <v>9246</v>
      </c>
      <c r="L1498" s="12">
        <v>1</v>
      </c>
      <c r="M1498" s="7" t="s">
        <v>4518</v>
      </c>
    </row>
    <row r="1499" spans="2:13" ht="37.5" customHeight="1" x14ac:dyDescent="0.35">
      <c r="B1499" s="11">
        <v>65</v>
      </c>
      <c r="C1499" s="5" t="s">
        <v>9146</v>
      </c>
      <c r="D1499" s="11">
        <v>32</v>
      </c>
      <c r="E1499" s="5" t="s">
        <v>9247</v>
      </c>
      <c r="F1499" s="5" t="s">
        <v>9248</v>
      </c>
      <c r="G1499" s="5" t="s">
        <v>176</v>
      </c>
      <c r="H1499" s="5" t="s">
        <v>40</v>
      </c>
      <c r="I1499" s="5" t="s">
        <v>54</v>
      </c>
      <c r="J1499" s="5" t="s">
        <v>1004</v>
      </c>
      <c r="K1499" s="5" t="s">
        <v>9249</v>
      </c>
      <c r="L1499" s="11">
        <v>1</v>
      </c>
      <c r="M1499" s="5" t="s">
        <v>4518</v>
      </c>
    </row>
    <row r="1500" spans="2:13" ht="37.5" customHeight="1" x14ac:dyDescent="0.35">
      <c r="B1500" s="12">
        <v>65</v>
      </c>
      <c r="C1500" s="7" t="s">
        <v>9146</v>
      </c>
      <c r="D1500" s="12">
        <v>33</v>
      </c>
      <c r="E1500" s="7" t="s">
        <v>9250</v>
      </c>
      <c r="F1500" s="7" t="s">
        <v>9251</v>
      </c>
      <c r="G1500" s="7" t="s">
        <v>845</v>
      </c>
      <c r="H1500" s="7" t="s">
        <v>41</v>
      </c>
      <c r="I1500" s="7" t="s">
        <v>49</v>
      </c>
      <c r="J1500" s="7" t="s">
        <v>1004</v>
      </c>
      <c r="K1500" s="7" t="s">
        <v>5073</v>
      </c>
      <c r="L1500" s="12">
        <v>1</v>
      </c>
      <c r="M1500" s="7" t="s">
        <v>4518</v>
      </c>
    </row>
    <row r="1501" spans="2:13" ht="37.5" customHeight="1" x14ac:dyDescent="0.35">
      <c r="B1501" s="11">
        <v>65</v>
      </c>
      <c r="C1501" s="5" t="s">
        <v>9146</v>
      </c>
      <c r="D1501" s="11">
        <v>34</v>
      </c>
      <c r="E1501" s="5" t="s">
        <v>9252</v>
      </c>
      <c r="F1501" s="5" t="s">
        <v>9253</v>
      </c>
      <c r="G1501" s="5" t="s">
        <v>2850</v>
      </c>
      <c r="H1501" s="5" t="s">
        <v>39</v>
      </c>
      <c r="I1501" s="5" t="s">
        <v>227</v>
      </c>
      <c r="J1501" s="5" t="s">
        <v>5400</v>
      </c>
      <c r="K1501" s="5" t="s">
        <v>9254</v>
      </c>
      <c r="L1501" s="11">
        <v>1</v>
      </c>
      <c r="M1501" s="5" t="s">
        <v>4518</v>
      </c>
    </row>
    <row r="1502" spans="2:13" ht="37.5" customHeight="1" x14ac:dyDescent="0.35">
      <c r="B1502" s="12">
        <v>65</v>
      </c>
      <c r="C1502" s="7" t="s">
        <v>9146</v>
      </c>
      <c r="D1502" s="12">
        <v>35</v>
      </c>
      <c r="E1502" s="7" t="s">
        <v>9255</v>
      </c>
      <c r="F1502" s="7" t="s">
        <v>9256</v>
      </c>
      <c r="G1502" s="7" t="s">
        <v>33</v>
      </c>
      <c r="H1502" s="7" t="s">
        <v>36</v>
      </c>
      <c r="I1502" s="7" t="s">
        <v>48</v>
      </c>
      <c r="J1502" s="7" t="s">
        <v>5410</v>
      </c>
      <c r="K1502" s="7" t="s">
        <v>9137</v>
      </c>
      <c r="L1502" s="12">
        <v>1</v>
      </c>
      <c r="M1502" s="7" t="s">
        <v>4518</v>
      </c>
    </row>
    <row r="1503" spans="2:13" ht="52.5" customHeight="1" x14ac:dyDescent="0.35">
      <c r="B1503" s="11">
        <v>66</v>
      </c>
      <c r="C1503" s="5" t="s">
        <v>9257</v>
      </c>
      <c r="D1503" s="11">
        <v>1</v>
      </c>
      <c r="E1503" s="5" t="s">
        <v>9258</v>
      </c>
      <c r="F1503" s="5" t="s">
        <v>9259</v>
      </c>
      <c r="G1503" s="5" t="s">
        <v>28</v>
      </c>
      <c r="H1503" s="5" t="s">
        <v>42</v>
      </c>
      <c r="I1503" s="5" t="s">
        <v>4657</v>
      </c>
      <c r="J1503" s="5" t="s">
        <v>3742</v>
      </c>
      <c r="K1503" s="5" t="s">
        <v>9260</v>
      </c>
      <c r="L1503" s="11">
        <v>1</v>
      </c>
      <c r="M1503" s="5" t="s">
        <v>4518</v>
      </c>
    </row>
    <row r="1504" spans="2:13" ht="52.5" customHeight="1" x14ac:dyDescent="0.35">
      <c r="B1504" s="12">
        <v>66</v>
      </c>
      <c r="C1504" s="7" t="s">
        <v>9257</v>
      </c>
      <c r="D1504" s="12">
        <v>2</v>
      </c>
      <c r="E1504" s="7" t="s">
        <v>9261</v>
      </c>
      <c r="F1504" s="7" t="s">
        <v>9262</v>
      </c>
      <c r="G1504" s="7" t="s">
        <v>778</v>
      </c>
      <c r="H1504" s="7" t="s">
        <v>42</v>
      </c>
      <c r="I1504" s="7" t="s">
        <v>9263</v>
      </c>
      <c r="J1504" s="7" t="s">
        <v>5056</v>
      </c>
      <c r="K1504" s="7" t="s">
        <v>9264</v>
      </c>
      <c r="L1504" s="12">
        <v>1</v>
      </c>
      <c r="M1504" s="7" t="s">
        <v>4518</v>
      </c>
    </row>
    <row r="1505" spans="2:13" ht="52.5" customHeight="1" x14ac:dyDescent="0.35">
      <c r="B1505" s="11">
        <v>66</v>
      </c>
      <c r="C1505" s="5" t="s">
        <v>9257</v>
      </c>
      <c r="D1505" s="11">
        <v>3</v>
      </c>
      <c r="E1505" s="5" t="s">
        <v>9265</v>
      </c>
      <c r="F1505" s="5" t="s">
        <v>9266</v>
      </c>
      <c r="G1505" s="5" t="s">
        <v>24</v>
      </c>
      <c r="H1505" s="5" t="s">
        <v>41</v>
      </c>
      <c r="I1505" s="5" t="s">
        <v>49</v>
      </c>
      <c r="J1505" s="5" t="s">
        <v>1004</v>
      </c>
      <c r="K1505" s="5" t="s">
        <v>5073</v>
      </c>
      <c r="L1505" s="11">
        <v>1</v>
      </c>
      <c r="M1505" s="5" t="s">
        <v>4518</v>
      </c>
    </row>
    <row r="1506" spans="2:13" ht="52.5" customHeight="1" x14ac:dyDescent="0.35">
      <c r="B1506" s="12">
        <v>66</v>
      </c>
      <c r="C1506" s="7" t="s">
        <v>9257</v>
      </c>
      <c r="D1506" s="12">
        <v>4</v>
      </c>
      <c r="E1506" s="7" t="s">
        <v>9267</v>
      </c>
      <c r="F1506" s="7" t="s">
        <v>9268</v>
      </c>
      <c r="G1506" s="7" t="s">
        <v>761</v>
      </c>
      <c r="H1506" s="7" t="s">
        <v>37</v>
      </c>
      <c r="I1506" s="7" t="s">
        <v>679</v>
      </c>
      <c r="J1506" s="7" t="s">
        <v>9030</v>
      </c>
      <c r="K1506" s="7" t="s">
        <v>9269</v>
      </c>
      <c r="L1506" s="12">
        <v>1</v>
      </c>
      <c r="M1506" s="7" t="s">
        <v>4518</v>
      </c>
    </row>
    <row r="1507" spans="2:13" ht="52.5" customHeight="1" x14ac:dyDescent="0.35">
      <c r="B1507" s="11">
        <v>66</v>
      </c>
      <c r="C1507" s="5" t="s">
        <v>9257</v>
      </c>
      <c r="D1507" s="11">
        <v>5</v>
      </c>
      <c r="E1507" s="5" t="s">
        <v>9270</v>
      </c>
      <c r="F1507" s="5" t="s">
        <v>9271</v>
      </c>
      <c r="G1507" s="5" t="s">
        <v>2229</v>
      </c>
      <c r="H1507" s="5" t="s">
        <v>42</v>
      </c>
      <c r="I1507" s="5" t="s">
        <v>4657</v>
      </c>
      <c r="J1507" s="5" t="s">
        <v>5056</v>
      </c>
      <c r="K1507" s="5" t="s">
        <v>9272</v>
      </c>
      <c r="L1507" s="11">
        <v>1</v>
      </c>
      <c r="M1507" s="5" t="s">
        <v>4518</v>
      </c>
    </row>
    <row r="1508" spans="2:13" ht="52.5" customHeight="1" x14ac:dyDescent="0.35">
      <c r="B1508" s="12">
        <v>66</v>
      </c>
      <c r="C1508" s="7" t="s">
        <v>9257</v>
      </c>
      <c r="D1508" s="12">
        <v>6</v>
      </c>
      <c r="E1508" s="7" t="s">
        <v>9273</v>
      </c>
      <c r="F1508" s="7" t="s">
        <v>9274</v>
      </c>
      <c r="G1508" s="7" t="s">
        <v>384</v>
      </c>
      <c r="H1508" s="7" t="s">
        <v>42</v>
      </c>
      <c r="I1508" s="7" t="s">
        <v>5433</v>
      </c>
      <c r="J1508" s="7" t="s">
        <v>5056</v>
      </c>
      <c r="K1508" s="7" t="s">
        <v>9275</v>
      </c>
      <c r="L1508" s="12">
        <v>1</v>
      </c>
      <c r="M1508" s="7" t="s">
        <v>4518</v>
      </c>
    </row>
    <row r="1509" spans="2:13" ht="52.5" customHeight="1" x14ac:dyDescent="0.35">
      <c r="B1509" s="11">
        <v>66</v>
      </c>
      <c r="C1509" s="5" t="s">
        <v>9257</v>
      </c>
      <c r="D1509" s="11">
        <v>7</v>
      </c>
      <c r="E1509" s="5" t="s">
        <v>9276</v>
      </c>
      <c r="F1509" s="5" t="s">
        <v>9277</v>
      </c>
      <c r="G1509" s="5" t="s">
        <v>536</v>
      </c>
      <c r="H1509" s="5" t="s">
        <v>4676</v>
      </c>
      <c r="I1509" s="5" t="s">
        <v>49</v>
      </c>
      <c r="J1509" s="5" t="s">
        <v>1063</v>
      </c>
      <c r="K1509" s="5" t="s">
        <v>8950</v>
      </c>
      <c r="L1509" s="11">
        <v>1</v>
      </c>
      <c r="M1509" s="5" t="s">
        <v>4518</v>
      </c>
    </row>
    <row r="1510" spans="2:13" ht="52.5" customHeight="1" x14ac:dyDescent="0.35">
      <c r="B1510" s="12">
        <v>66</v>
      </c>
      <c r="C1510" s="7" t="s">
        <v>9257</v>
      </c>
      <c r="D1510" s="12">
        <v>8</v>
      </c>
      <c r="E1510" s="7" t="s">
        <v>9278</v>
      </c>
      <c r="F1510" s="7" t="s">
        <v>9279</v>
      </c>
      <c r="G1510" s="7" t="s">
        <v>813</v>
      </c>
      <c r="H1510" s="7" t="s">
        <v>39</v>
      </c>
      <c r="I1510" s="7" t="s">
        <v>57</v>
      </c>
      <c r="J1510" s="7" t="s">
        <v>1579</v>
      </c>
      <c r="K1510" s="7" t="s">
        <v>9116</v>
      </c>
      <c r="L1510" s="12">
        <v>1</v>
      </c>
      <c r="M1510" s="7" t="s">
        <v>4518</v>
      </c>
    </row>
    <row r="1511" spans="2:13" ht="52.5" customHeight="1" x14ac:dyDescent="0.35">
      <c r="B1511" s="11">
        <v>66</v>
      </c>
      <c r="C1511" s="5" t="s">
        <v>9257</v>
      </c>
      <c r="D1511" s="11">
        <v>9</v>
      </c>
      <c r="E1511" s="5" t="s">
        <v>9280</v>
      </c>
      <c r="F1511" s="5" t="s">
        <v>9281</v>
      </c>
      <c r="G1511" s="5" t="s">
        <v>752</v>
      </c>
      <c r="H1511" s="5" t="s">
        <v>36</v>
      </c>
      <c r="I1511" s="5" t="s">
        <v>48</v>
      </c>
      <c r="J1511" s="5" t="s">
        <v>1579</v>
      </c>
      <c r="K1511" s="5" t="s">
        <v>9015</v>
      </c>
      <c r="L1511" s="11">
        <v>1</v>
      </c>
      <c r="M1511" s="5" t="s">
        <v>4518</v>
      </c>
    </row>
    <row r="1512" spans="2:13" ht="52.5" customHeight="1" x14ac:dyDescent="0.35">
      <c r="B1512" s="12">
        <v>66</v>
      </c>
      <c r="C1512" s="7" t="s">
        <v>9257</v>
      </c>
      <c r="D1512" s="12">
        <v>10</v>
      </c>
      <c r="E1512" s="7" t="s">
        <v>9282</v>
      </c>
      <c r="F1512" s="7" t="s">
        <v>9283</v>
      </c>
      <c r="G1512" s="7" t="s">
        <v>862</v>
      </c>
      <c r="H1512" s="7" t="s">
        <v>37</v>
      </c>
      <c r="I1512" s="7" t="s">
        <v>679</v>
      </c>
      <c r="J1512" s="7" t="s">
        <v>9172</v>
      </c>
      <c r="K1512" s="7" t="s">
        <v>9284</v>
      </c>
      <c r="L1512" s="12">
        <v>1</v>
      </c>
      <c r="M1512" s="7" t="s">
        <v>4518</v>
      </c>
    </row>
    <row r="1513" spans="2:13" ht="52.5" customHeight="1" x14ac:dyDescent="0.35">
      <c r="B1513" s="11">
        <v>66</v>
      </c>
      <c r="C1513" s="5" t="s">
        <v>9257</v>
      </c>
      <c r="D1513" s="11">
        <v>11</v>
      </c>
      <c r="E1513" s="5" t="s">
        <v>9285</v>
      </c>
      <c r="F1513" s="5" t="s">
        <v>9286</v>
      </c>
      <c r="G1513" s="5" t="s">
        <v>557</v>
      </c>
      <c r="H1513" s="5" t="s">
        <v>37</v>
      </c>
      <c r="I1513" s="5" t="s">
        <v>679</v>
      </c>
      <c r="J1513" s="5" t="s">
        <v>9172</v>
      </c>
      <c r="K1513" s="5" t="s">
        <v>9284</v>
      </c>
      <c r="L1513" s="11">
        <v>1</v>
      </c>
      <c r="M1513" s="5" t="s">
        <v>4518</v>
      </c>
    </row>
    <row r="1514" spans="2:13" ht="52.5" customHeight="1" x14ac:dyDescent="0.35">
      <c r="B1514" s="12">
        <v>66</v>
      </c>
      <c r="C1514" s="7" t="s">
        <v>9257</v>
      </c>
      <c r="D1514" s="12">
        <v>12</v>
      </c>
      <c r="E1514" s="7" t="s">
        <v>9287</v>
      </c>
      <c r="F1514" s="7" t="s">
        <v>9288</v>
      </c>
      <c r="G1514" s="7" t="s">
        <v>927</v>
      </c>
      <c r="H1514" s="7" t="s">
        <v>37</v>
      </c>
      <c r="I1514" s="7" t="s">
        <v>679</v>
      </c>
      <c r="J1514" s="7" t="s">
        <v>9172</v>
      </c>
      <c r="K1514" s="7" t="s">
        <v>9284</v>
      </c>
      <c r="L1514" s="12">
        <v>1</v>
      </c>
      <c r="M1514" s="7" t="s">
        <v>4518</v>
      </c>
    </row>
    <row r="1515" spans="2:13" ht="52.5" customHeight="1" x14ac:dyDescent="0.35">
      <c r="B1515" s="11">
        <v>66</v>
      </c>
      <c r="C1515" s="5" t="s">
        <v>9257</v>
      </c>
      <c r="D1515" s="11">
        <v>13</v>
      </c>
      <c r="E1515" s="5" t="s">
        <v>9289</v>
      </c>
      <c r="F1515" s="5" t="s">
        <v>9290</v>
      </c>
      <c r="G1515" s="5" t="s">
        <v>31</v>
      </c>
      <c r="H1515" s="5" t="s">
        <v>8873</v>
      </c>
      <c r="I1515" s="5" t="s">
        <v>8737</v>
      </c>
      <c r="J1515" s="5" t="s">
        <v>4166</v>
      </c>
      <c r="K1515" s="5" t="s">
        <v>8874</v>
      </c>
      <c r="L1515" s="11">
        <v>2</v>
      </c>
      <c r="M1515" s="5" t="s">
        <v>4518</v>
      </c>
    </row>
    <row r="1516" spans="2:13" ht="52.5" customHeight="1" x14ac:dyDescent="0.35">
      <c r="B1516" s="12">
        <v>66</v>
      </c>
      <c r="C1516" s="7" t="s">
        <v>9257</v>
      </c>
      <c r="D1516" s="12">
        <v>14</v>
      </c>
      <c r="E1516" s="7" t="s">
        <v>9291</v>
      </c>
      <c r="F1516" s="7" t="s">
        <v>9292</v>
      </c>
      <c r="G1516" s="7" t="s">
        <v>2229</v>
      </c>
      <c r="H1516" s="7" t="s">
        <v>37</v>
      </c>
      <c r="I1516" s="7" t="s">
        <v>679</v>
      </c>
      <c r="J1516" s="7" t="s">
        <v>9172</v>
      </c>
      <c r="K1516" s="7" t="s">
        <v>9284</v>
      </c>
      <c r="L1516" s="12">
        <v>1</v>
      </c>
      <c r="M1516" s="7" t="s">
        <v>4518</v>
      </c>
    </row>
    <row r="1517" spans="2:13" ht="52.5" customHeight="1" x14ac:dyDescent="0.35">
      <c r="B1517" s="11">
        <v>66</v>
      </c>
      <c r="C1517" s="5" t="s">
        <v>9257</v>
      </c>
      <c r="D1517" s="11">
        <v>15</v>
      </c>
      <c r="E1517" s="5" t="s">
        <v>9293</v>
      </c>
      <c r="F1517" s="5" t="s">
        <v>9294</v>
      </c>
      <c r="G1517" s="5" t="s">
        <v>395</v>
      </c>
      <c r="H1517" s="5" t="s">
        <v>37</v>
      </c>
      <c r="I1517" s="5" t="s">
        <v>679</v>
      </c>
      <c r="J1517" s="5" t="s">
        <v>9172</v>
      </c>
      <c r="K1517" s="5" t="s">
        <v>9284</v>
      </c>
      <c r="L1517" s="11">
        <v>1</v>
      </c>
      <c r="M1517" s="5" t="s">
        <v>4518</v>
      </c>
    </row>
    <row r="1518" spans="2:13" ht="52.5" customHeight="1" x14ac:dyDescent="0.35">
      <c r="B1518" s="12">
        <v>66</v>
      </c>
      <c r="C1518" s="7" t="s">
        <v>9257</v>
      </c>
      <c r="D1518" s="12">
        <v>16</v>
      </c>
      <c r="E1518" s="7" t="s">
        <v>9295</v>
      </c>
      <c r="F1518" s="7" t="s">
        <v>9296</v>
      </c>
      <c r="G1518" s="7" t="s">
        <v>188</v>
      </c>
      <c r="H1518" s="7" t="s">
        <v>41</v>
      </c>
      <c r="I1518" s="7" t="s">
        <v>49</v>
      </c>
      <c r="J1518" s="7" t="s">
        <v>1004</v>
      </c>
      <c r="K1518" s="7" t="s">
        <v>5073</v>
      </c>
      <c r="L1518" s="12">
        <v>1</v>
      </c>
      <c r="M1518" s="7" t="s">
        <v>4518</v>
      </c>
    </row>
    <row r="1519" spans="2:13" ht="52.5" customHeight="1" x14ac:dyDescent="0.35">
      <c r="B1519" s="11">
        <v>66</v>
      </c>
      <c r="C1519" s="5" t="s">
        <v>9257</v>
      </c>
      <c r="D1519" s="11">
        <v>17</v>
      </c>
      <c r="E1519" s="5" t="s">
        <v>9297</v>
      </c>
      <c r="F1519" s="5" t="s">
        <v>9298</v>
      </c>
      <c r="G1519" s="5" t="s">
        <v>26</v>
      </c>
      <c r="H1519" s="5" t="s">
        <v>37</v>
      </c>
      <c r="I1519" s="5" t="s">
        <v>679</v>
      </c>
      <c r="J1519" s="5" t="s">
        <v>9030</v>
      </c>
      <c r="K1519" s="5" t="s">
        <v>9269</v>
      </c>
      <c r="L1519" s="11">
        <v>1</v>
      </c>
      <c r="M1519" s="5" t="s">
        <v>4518</v>
      </c>
    </row>
    <row r="1520" spans="2:13" ht="52.5" customHeight="1" x14ac:dyDescent="0.35">
      <c r="B1520" s="12">
        <v>66</v>
      </c>
      <c r="C1520" s="7" t="s">
        <v>9257</v>
      </c>
      <c r="D1520" s="12">
        <v>18</v>
      </c>
      <c r="E1520" s="7" t="s">
        <v>9299</v>
      </c>
      <c r="F1520" s="7" t="s">
        <v>9300</v>
      </c>
      <c r="G1520" s="7" t="s">
        <v>4260</v>
      </c>
      <c r="H1520" s="7" t="s">
        <v>294</v>
      </c>
      <c r="I1520" s="7" t="s">
        <v>8760</v>
      </c>
      <c r="J1520" s="7" t="s">
        <v>9176</v>
      </c>
      <c r="K1520" s="7" t="s">
        <v>9301</v>
      </c>
      <c r="L1520" s="12">
        <v>2</v>
      </c>
      <c r="M1520" s="7" t="s">
        <v>4518</v>
      </c>
    </row>
    <row r="1521" spans="2:13" ht="52.5" customHeight="1" x14ac:dyDescent="0.35">
      <c r="B1521" s="11">
        <v>66</v>
      </c>
      <c r="C1521" s="5" t="s">
        <v>9257</v>
      </c>
      <c r="D1521" s="11">
        <v>19</v>
      </c>
      <c r="E1521" s="5" t="s">
        <v>9302</v>
      </c>
      <c r="F1521" s="5" t="s">
        <v>9303</v>
      </c>
      <c r="G1521" s="5" t="s">
        <v>30</v>
      </c>
      <c r="H1521" s="5" t="s">
        <v>37</v>
      </c>
      <c r="I1521" s="5" t="s">
        <v>679</v>
      </c>
      <c r="J1521" s="5" t="s">
        <v>1579</v>
      </c>
      <c r="K1521" s="5" t="s">
        <v>9304</v>
      </c>
      <c r="L1521" s="11">
        <v>1</v>
      </c>
      <c r="M1521" s="5" t="s">
        <v>4518</v>
      </c>
    </row>
    <row r="1522" spans="2:13" ht="52.5" customHeight="1" x14ac:dyDescent="0.35">
      <c r="B1522" s="12">
        <v>67</v>
      </c>
      <c r="C1522" s="7" t="s">
        <v>9305</v>
      </c>
      <c r="D1522" s="12">
        <v>1</v>
      </c>
      <c r="E1522" s="7" t="s">
        <v>9306</v>
      </c>
      <c r="F1522" s="7" t="s">
        <v>9307</v>
      </c>
      <c r="G1522" s="7" t="s">
        <v>794</v>
      </c>
      <c r="H1522" s="7" t="s">
        <v>42</v>
      </c>
      <c r="I1522" s="7" t="s">
        <v>4657</v>
      </c>
      <c r="J1522" s="7" t="s">
        <v>9308</v>
      </c>
      <c r="K1522" s="7" t="s">
        <v>9309</v>
      </c>
      <c r="L1522" s="12">
        <v>1</v>
      </c>
      <c r="M1522" s="7" t="s">
        <v>4518</v>
      </c>
    </row>
    <row r="1523" spans="2:13" ht="52.5" customHeight="1" x14ac:dyDescent="0.35">
      <c r="B1523" s="11">
        <v>67</v>
      </c>
      <c r="C1523" s="5" t="s">
        <v>9305</v>
      </c>
      <c r="D1523" s="11">
        <v>2</v>
      </c>
      <c r="E1523" s="5" t="s">
        <v>9310</v>
      </c>
      <c r="F1523" s="5" t="s">
        <v>9311</v>
      </c>
      <c r="G1523" s="5" t="s">
        <v>9312</v>
      </c>
      <c r="H1523" s="5" t="s">
        <v>44</v>
      </c>
      <c r="I1523" s="5" t="s">
        <v>49</v>
      </c>
      <c r="J1523" s="5" t="s">
        <v>4442</v>
      </c>
      <c r="K1523" s="5" t="s">
        <v>6717</v>
      </c>
      <c r="L1523" s="11">
        <v>1</v>
      </c>
      <c r="M1523" s="5" t="s">
        <v>4518</v>
      </c>
    </row>
    <row r="1524" spans="2:13" ht="37.5" customHeight="1" x14ac:dyDescent="0.35">
      <c r="B1524" s="12">
        <v>68</v>
      </c>
      <c r="C1524" s="7" t="s">
        <v>9313</v>
      </c>
      <c r="D1524" s="12">
        <v>1</v>
      </c>
      <c r="E1524" s="7" t="s">
        <v>9314</v>
      </c>
      <c r="F1524" s="7" t="s">
        <v>9315</v>
      </c>
      <c r="G1524" s="7" t="s">
        <v>9316</v>
      </c>
      <c r="H1524" s="7" t="s">
        <v>39</v>
      </c>
      <c r="I1524" s="7" t="s">
        <v>8477</v>
      </c>
      <c r="J1524" s="7" t="s">
        <v>5176</v>
      </c>
      <c r="K1524" s="7" t="s">
        <v>9317</v>
      </c>
      <c r="L1524" s="12">
        <v>1</v>
      </c>
      <c r="M1524" s="7" t="s">
        <v>9318</v>
      </c>
    </row>
    <row r="1525" spans="2:13" ht="37.5" customHeight="1" x14ac:dyDescent="0.35">
      <c r="B1525" s="11">
        <v>69</v>
      </c>
      <c r="C1525" s="5" t="s">
        <v>9319</v>
      </c>
      <c r="D1525" s="11">
        <v>1</v>
      </c>
      <c r="E1525" s="5" t="s">
        <v>9320</v>
      </c>
      <c r="F1525" s="5" t="s">
        <v>9321</v>
      </c>
      <c r="G1525" s="5" t="s">
        <v>9322</v>
      </c>
      <c r="H1525" s="5" t="s">
        <v>42</v>
      </c>
      <c r="I1525" s="5" t="s">
        <v>4657</v>
      </c>
      <c r="J1525" s="5" t="s">
        <v>4308</v>
      </c>
      <c r="K1525" s="5" t="s">
        <v>9149</v>
      </c>
      <c r="L1525" s="11">
        <v>1</v>
      </c>
      <c r="M1525" s="5" t="s">
        <v>4518</v>
      </c>
    </row>
    <row r="1526" spans="2:13" ht="52.5" customHeight="1" x14ac:dyDescent="0.35">
      <c r="B1526" s="12">
        <v>70</v>
      </c>
      <c r="C1526" s="7" t="s">
        <v>9323</v>
      </c>
      <c r="D1526" s="12">
        <v>1</v>
      </c>
      <c r="E1526" s="7" t="s">
        <v>9324</v>
      </c>
      <c r="F1526" s="7" t="s">
        <v>9325</v>
      </c>
      <c r="G1526" s="7" t="s">
        <v>825</v>
      </c>
      <c r="H1526" s="7" t="s">
        <v>8859</v>
      </c>
      <c r="I1526" s="7" t="s">
        <v>9326</v>
      </c>
      <c r="J1526" s="7" t="s">
        <v>9327</v>
      </c>
      <c r="K1526" s="7" t="s">
        <v>9328</v>
      </c>
      <c r="L1526" s="12">
        <v>2</v>
      </c>
      <c r="M1526" s="7" t="s">
        <v>9329</v>
      </c>
    </row>
    <row r="1527" spans="2:13" ht="52.5" customHeight="1" x14ac:dyDescent="0.35">
      <c r="B1527" s="11">
        <v>70</v>
      </c>
      <c r="C1527" s="5" t="s">
        <v>9323</v>
      </c>
      <c r="D1527" s="11">
        <v>2</v>
      </c>
      <c r="E1527" s="5" t="s">
        <v>9330</v>
      </c>
      <c r="F1527" s="5" t="s">
        <v>9331</v>
      </c>
      <c r="G1527" s="5" t="s">
        <v>25</v>
      </c>
      <c r="H1527" s="5" t="s">
        <v>9332</v>
      </c>
      <c r="I1527" s="5" t="s">
        <v>9333</v>
      </c>
      <c r="J1527" s="5" t="s">
        <v>9334</v>
      </c>
      <c r="K1527" s="5" t="s">
        <v>9335</v>
      </c>
      <c r="L1527" s="11">
        <v>3</v>
      </c>
      <c r="M1527" s="5" t="s">
        <v>9329</v>
      </c>
    </row>
    <row r="1528" spans="2:13" ht="37.5" customHeight="1" x14ac:dyDescent="0.35">
      <c r="B1528" s="12"/>
      <c r="C1528" s="7" t="s">
        <v>9336</v>
      </c>
      <c r="D1528" s="12">
        <v>3</v>
      </c>
      <c r="E1528" s="7" t="s">
        <v>9337</v>
      </c>
      <c r="F1528" s="7" t="s">
        <v>9338</v>
      </c>
      <c r="G1528" s="7" t="s">
        <v>192</v>
      </c>
      <c r="H1528" s="7" t="s">
        <v>37</v>
      </c>
      <c r="I1528" s="7" t="s">
        <v>51</v>
      </c>
      <c r="J1528" s="7" t="s">
        <v>1579</v>
      </c>
      <c r="K1528" s="7" t="s">
        <v>5270</v>
      </c>
      <c r="L1528" s="12">
        <v>1</v>
      </c>
      <c r="M1528" s="7"/>
    </row>
    <row r="1529" spans="2:13" ht="37.5" customHeight="1" x14ac:dyDescent="0.35">
      <c r="B1529" s="11"/>
      <c r="C1529" s="5" t="s">
        <v>9336</v>
      </c>
      <c r="D1529" s="11">
        <v>4</v>
      </c>
      <c r="E1529" s="5" t="s">
        <v>9339</v>
      </c>
      <c r="F1529" s="5" t="s">
        <v>9340</v>
      </c>
      <c r="G1529" s="5" t="s">
        <v>557</v>
      </c>
      <c r="H1529" s="5" t="s">
        <v>1521</v>
      </c>
      <c r="I1529" s="5" t="s">
        <v>5294</v>
      </c>
      <c r="J1529" s="5" t="s">
        <v>9341</v>
      </c>
      <c r="K1529" s="5" t="s">
        <v>9342</v>
      </c>
      <c r="L1529" s="11">
        <v>2</v>
      </c>
      <c r="M1529" s="5"/>
    </row>
    <row r="1530" spans="2:13" ht="21.75" customHeight="1" x14ac:dyDescent="0.35">
      <c r="B1530" s="12"/>
      <c r="C1530" s="7" t="s">
        <v>9336</v>
      </c>
      <c r="D1530" s="12">
        <v>5</v>
      </c>
      <c r="E1530" s="7" t="s">
        <v>9343</v>
      </c>
      <c r="F1530" s="7" t="s">
        <v>9344</v>
      </c>
      <c r="G1530" s="7" t="s">
        <v>5162</v>
      </c>
      <c r="H1530" s="7" t="s">
        <v>36</v>
      </c>
      <c r="I1530" s="7" t="s">
        <v>48</v>
      </c>
      <c r="J1530" s="7" t="s">
        <v>194</v>
      </c>
      <c r="K1530" s="7" t="s">
        <v>5527</v>
      </c>
      <c r="L1530" s="12">
        <v>1</v>
      </c>
      <c r="M1530" s="7"/>
    </row>
    <row r="1531" spans="2:13" ht="37.5" customHeight="1" x14ac:dyDescent="0.35">
      <c r="B1531" s="11">
        <v>71</v>
      </c>
      <c r="C1531" s="5" t="s">
        <v>9345</v>
      </c>
      <c r="D1531" s="11">
        <v>1</v>
      </c>
      <c r="E1531" s="5" t="s">
        <v>9346</v>
      </c>
      <c r="F1531" s="5" t="s">
        <v>9347</v>
      </c>
      <c r="G1531" s="5" t="s">
        <v>1680</v>
      </c>
      <c r="H1531" s="5" t="s">
        <v>42</v>
      </c>
      <c r="I1531" s="5" t="s">
        <v>5023</v>
      </c>
      <c r="J1531" s="5" t="s">
        <v>5394</v>
      </c>
      <c r="K1531" s="5" t="s">
        <v>9348</v>
      </c>
      <c r="L1531" s="11">
        <v>1</v>
      </c>
      <c r="M1531" s="5" t="s">
        <v>4518</v>
      </c>
    </row>
    <row r="1532" spans="2:13" ht="37.5" customHeight="1" x14ac:dyDescent="0.35">
      <c r="B1532" s="12">
        <v>71</v>
      </c>
      <c r="C1532" s="7" t="s">
        <v>9345</v>
      </c>
      <c r="D1532" s="12">
        <v>2</v>
      </c>
      <c r="E1532" s="7" t="s">
        <v>9349</v>
      </c>
      <c r="F1532" s="7" t="s">
        <v>9350</v>
      </c>
      <c r="G1532" s="7" t="s">
        <v>918</v>
      </c>
      <c r="H1532" s="7" t="s">
        <v>36</v>
      </c>
      <c r="I1532" s="7" t="s">
        <v>48</v>
      </c>
      <c r="J1532" s="7" t="s">
        <v>9030</v>
      </c>
      <c r="K1532" s="7" t="s">
        <v>9031</v>
      </c>
      <c r="L1532" s="12">
        <v>1</v>
      </c>
      <c r="M1532" s="7" t="s">
        <v>4518</v>
      </c>
    </row>
    <row r="1533" spans="2:13" ht="37.5" customHeight="1" x14ac:dyDescent="0.35">
      <c r="B1533" s="11">
        <v>71</v>
      </c>
      <c r="C1533" s="5" t="s">
        <v>9345</v>
      </c>
      <c r="D1533" s="11">
        <v>3</v>
      </c>
      <c r="E1533" s="5" t="s">
        <v>9351</v>
      </c>
      <c r="F1533" s="5" t="s">
        <v>9352</v>
      </c>
      <c r="G1533" s="5" t="s">
        <v>26</v>
      </c>
      <c r="H1533" s="5" t="s">
        <v>36</v>
      </c>
      <c r="I1533" s="5" t="s">
        <v>48</v>
      </c>
      <c r="J1533" s="5" t="s">
        <v>9228</v>
      </c>
      <c r="K1533" s="5" t="s">
        <v>9229</v>
      </c>
      <c r="L1533" s="11">
        <v>1</v>
      </c>
      <c r="M1533" s="5" t="s">
        <v>4518</v>
      </c>
    </row>
    <row r="1534" spans="2:13" ht="37.5" customHeight="1" x14ac:dyDescent="0.35">
      <c r="B1534" s="12">
        <v>71</v>
      </c>
      <c r="C1534" s="7" t="s">
        <v>9345</v>
      </c>
      <c r="D1534" s="12">
        <v>4</v>
      </c>
      <c r="E1534" s="7" t="s">
        <v>9353</v>
      </c>
      <c r="F1534" s="7" t="s">
        <v>9354</v>
      </c>
      <c r="G1534" s="7" t="s">
        <v>536</v>
      </c>
      <c r="H1534" s="7" t="s">
        <v>36</v>
      </c>
      <c r="I1534" s="7" t="s">
        <v>48</v>
      </c>
      <c r="J1534" s="7" t="s">
        <v>9228</v>
      </c>
      <c r="K1534" s="7" t="s">
        <v>9229</v>
      </c>
      <c r="L1534" s="12">
        <v>1</v>
      </c>
      <c r="M1534" s="7" t="s">
        <v>4518</v>
      </c>
    </row>
    <row r="1535" spans="2:13" ht="37.5" customHeight="1" x14ac:dyDescent="0.35">
      <c r="B1535" s="11">
        <v>72</v>
      </c>
      <c r="C1535" s="5" t="s">
        <v>9355</v>
      </c>
      <c r="D1535" s="11">
        <v>1</v>
      </c>
      <c r="E1535" s="5" t="s">
        <v>9356</v>
      </c>
      <c r="F1535" s="5" t="s">
        <v>9357</v>
      </c>
      <c r="G1535" s="5" t="s">
        <v>279</v>
      </c>
      <c r="H1535" s="5" t="s">
        <v>37</v>
      </c>
      <c r="I1535" s="5" t="s">
        <v>51</v>
      </c>
      <c r="J1535" s="5" t="s">
        <v>1579</v>
      </c>
      <c r="K1535" s="5" t="s">
        <v>5270</v>
      </c>
      <c r="L1535" s="11">
        <v>1</v>
      </c>
      <c r="M1535" s="5" t="s">
        <v>4518</v>
      </c>
    </row>
    <row r="1536" spans="2:13" ht="37.5" customHeight="1" x14ac:dyDescent="0.35">
      <c r="B1536" s="12">
        <v>72</v>
      </c>
      <c r="C1536" s="7" t="s">
        <v>9355</v>
      </c>
      <c r="D1536" s="12">
        <v>2</v>
      </c>
      <c r="E1536" s="7" t="s">
        <v>9358</v>
      </c>
      <c r="F1536" s="7" t="s">
        <v>9359</v>
      </c>
      <c r="G1536" s="7" t="s">
        <v>1244</v>
      </c>
      <c r="H1536" s="7" t="s">
        <v>44</v>
      </c>
      <c r="I1536" s="7" t="s">
        <v>49</v>
      </c>
      <c r="J1536" s="7" t="s">
        <v>404</v>
      </c>
      <c r="K1536" s="7" t="s">
        <v>9360</v>
      </c>
      <c r="L1536" s="12">
        <v>1</v>
      </c>
      <c r="M1536" s="7" t="s">
        <v>4518</v>
      </c>
    </row>
    <row r="1537" spans="2:13" ht="37.5" customHeight="1" x14ac:dyDescent="0.35">
      <c r="B1537" s="11">
        <v>72</v>
      </c>
      <c r="C1537" s="5" t="s">
        <v>9355</v>
      </c>
      <c r="D1537" s="11">
        <v>3</v>
      </c>
      <c r="E1537" s="5" t="s">
        <v>9361</v>
      </c>
      <c r="F1537" s="5" t="s">
        <v>9362</v>
      </c>
      <c r="G1537" s="5" t="s">
        <v>31</v>
      </c>
      <c r="H1537" s="5" t="s">
        <v>40</v>
      </c>
      <c r="I1537" s="5" t="s">
        <v>54</v>
      </c>
      <c r="J1537" s="5" t="s">
        <v>213</v>
      </c>
      <c r="K1537" s="5" t="s">
        <v>254</v>
      </c>
      <c r="L1537" s="11">
        <v>1</v>
      </c>
      <c r="M1537" s="5" t="s">
        <v>4518</v>
      </c>
    </row>
    <row r="1538" spans="2:13" ht="37.5" customHeight="1" x14ac:dyDescent="0.35">
      <c r="B1538" s="12">
        <v>73</v>
      </c>
      <c r="C1538" s="7" t="s">
        <v>9363</v>
      </c>
      <c r="D1538" s="12">
        <v>1</v>
      </c>
      <c r="E1538" s="7" t="s">
        <v>9364</v>
      </c>
      <c r="F1538" s="7" t="s">
        <v>9365</v>
      </c>
      <c r="G1538" s="7" t="s">
        <v>168</v>
      </c>
      <c r="H1538" s="7" t="s">
        <v>41</v>
      </c>
      <c r="I1538" s="7" t="s">
        <v>7875</v>
      </c>
      <c r="J1538" s="7" t="s">
        <v>9366</v>
      </c>
      <c r="K1538" s="7" t="s">
        <v>9367</v>
      </c>
      <c r="L1538" s="12">
        <v>1</v>
      </c>
      <c r="M1538" s="7" t="s">
        <v>173</v>
      </c>
    </row>
    <row r="1539" spans="2:13" ht="37.5" customHeight="1" x14ac:dyDescent="0.35">
      <c r="B1539" s="11">
        <v>74</v>
      </c>
      <c r="C1539" s="5" t="s">
        <v>9368</v>
      </c>
      <c r="D1539" s="11">
        <v>1</v>
      </c>
      <c r="E1539" s="5" t="s">
        <v>9369</v>
      </c>
      <c r="F1539" s="5" t="s">
        <v>9370</v>
      </c>
      <c r="G1539" s="5" t="s">
        <v>358</v>
      </c>
      <c r="H1539" s="5" t="s">
        <v>42</v>
      </c>
      <c r="I1539" s="5" t="s">
        <v>5433</v>
      </c>
      <c r="J1539" s="5" t="s">
        <v>1903</v>
      </c>
      <c r="K1539" s="5" t="s">
        <v>5434</v>
      </c>
      <c r="L1539" s="11">
        <v>1</v>
      </c>
      <c r="M1539" s="5" t="s">
        <v>156</v>
      </c>
    </row>
    <row r="1540" spans="2:13" ht="37.5" customHeight="1" x14ac:dyDescent="0.35">
      <c r="B1540" s="12">
        <v>75</v>
      </c>
      <c r="C1540" s="7" t="s">
        <v>157</v>
      </c>
      <c r="D1540" s="12">
        <v>1</v>
      </c>
      <c r="E1540" s="7" t="s">
        <v>9371</v>
      </c>
      <c r="F1540" s="7" t="s">
        <v>9372</v>
      </c>
      <c r="G1540" s="7" t="s">
        <v>27</v>
      </c>
      <c r="H1540" s="7" t="s">
        <v>36</v>
      </c>
      <c r="I1540" s="7" t="s">
        <v>48</v>
      </c>
      <c r="J1540" s="7" t="s">
        <v>5394</v>
      </c>
      <c r="K1540" s="7" t="s">
        <v>5395</v>
      </c>
      <c r="L1540" s="12">
        <v>1</v>
      </c>
      <c r="M1540" s="7" t="s">
        <v>156</v>
      </c>
    </row>
    <row r="1541" spans="2:13" ht="37.5" customHeight="1" x14ac:dyDescent="0.35">
      <c r="B1541" s="11">
        <v>76</v>
      </c>
      <c r="C1541" s="5" t="s">
        <v>9373</v>
      </c>
      <c r="D1541" s="11">
        <v>1</v>
      </c>
      <c r="E1541" s="5" t="s">
        <v>9374</v>
      </c>
      <c r="F1541" s="5" t="s">
        <v>9375</v>
      </c>
      <c r="G1541" s="5" t="s">
        <v>704</v>
      </c>
      <c r="H1541" s="5" t="s">
        <v>294</v>
      </c>
      <c r="I1541" s="5" t="s">
        <v>330</v>
      </c>
      <c r="J1541" s="5" t="s">
        <v>2257</v>
      </c>
      <c r="K1541" s="5" t="s">
        <v>9376</v>
      </c>
      <c r="L1541" s="11">
        <v>2</v>
      </c>
      <c r="M1541" s="5" t="s">
        <v>9318</v>
      </c>
    </row>
    <row r="1542" spans="2:13" ht="37.5" customHeight="1" x14ac:dyDescent="0.35">
      <c r="B1542" s="12">
        <v>77</v>
      </c>
      <c r="C1542" s="7" t="s">
        <v>9377</v>
      </c>
      <c r="D1542" s="12">
        <v>1</v>
      </c>
      <c r="E1542" s="7" t="s">
        <v>9378</v>
      </c>
      <c r="F1542" s="7" t="s">
        <v>9379</v>
      </c>
      <c r="G1542" s="7" t="s">
        <v>3283</v>
      </c>
      <c r="H1542" s="7" t="s">
        <v>37</v>
      </c>
      <c r="I1542" s="7" t="s">
        <v>193</v>
      </c>
      <c r="J1542" s="7" t="s">
        <v>9380</v>
      </c>
      <c r="K1542" s="7" t="s">
        <v>9381</v>
      </c>
      <c r="L1542" s="12">
        <v>1</v>
      </c>
      <c r="M1542" s="7" t="s">
        <v>5300</v>
      </c>
    </row>
    <row r="1543" spans="2:13" ht="37.5" customHeight="1" x14ac:dyDescent="0.35">
      <c r="B1543" s="11">
        <v>78</v>
      </c>
      <c r="C1543" s="5" t="s">
        <v>9382</v>
      </c>
      <c r="D1543" s="11">
        <v>1</v>
      </c>
      <c r="E1543" s="5" t="s">
        <v>9383</v>
      </c>
      <c r="F1543" s="5" t="s">
        <v>9384</v>
      </c>
      <c r="G1543" s="5" t="s">
        <v>168</v>
      </c>
      <c r="H1543" s="5" t="s">
        <v>9385</v>
      </c>
      <c r="I1543" s="5" t="s">
        <v>9386</v>
      </c>
      <c r="J1543" s="5" t="s">
        <v>9387</v>
      </c>
      <c r="K1543" s="5" t="s">
        <v>9388</v>
      </c>
      <c r="L1543" s="11">
        <v>1</v>
      </c>
      <c r="M1543" s="5" t="s">
        <v>156</v>
      </c>
    </row>
    <row r="1544" spans="2:13" ht="21.75" customHeight="1" x14ac:dyDescent="0.35">
      <c r="B1544" s="12">
        <v>78</v>
      </c>
      <c r="C1544" s="7" t="s">
        <v>9382</v>
      </c>
      <c r="D1544" s="12">
        <v>2</v>
      </c>
      <c r="E1544" s="7" t="s">
        <v>9389</v>
      </c>
      <c r="F1544" s="7" t="s">
        <v>9390</v>
      </c>
      <c r="G1544" s="7" t="s">
        <v>517</v>
      </c>
      <c r="H1544" s="7" t="s">
        <v>36</v>
      </c>
      <c r="I1544" s="7" t="s">
        <v>4792</v>
      </c>
      <c r="J1544" s="7" t="s">
        <v>177</v>
      </c>
      <c r="K1544" s="7" t="s">
        <v>9391</v>
      </c>
      <c r="L1544" s="12">
        <v>1</v>
      </c>
      <c r="M1544" s="7" t="s">
        <v>156</v>
      </c>
    </row>
    <row r="1545" spans="2:13" ht="127.5" customHeight="1" x14ac:dyDescent="0.35">
      <c r="B1545" s="11">
        <v>78</v>
      </c>
      <c r="C1545" s="5" t="s">
        <v>9382</v>
      </c>
      <c r="D1545" s="11">
        <v>3</v>
      </c>
      <c r="E1545" s="5" t="s">
        <v>9392</v>
      </c>
      <c r="F1545" s="5" t="s">
        <v>9393</v>
      </c>
      <c r="G1545" s="5" t="s">
        <v>5711</v>
      </c>
      <c r="H1545" s="5" t="s">
        <v>9394</v>
      </c>
      <c r="I1545" s="5" t="s">
        <v>9395</v>
      </c>
      <c r="J1545" s="5" t="s">
        <v>9396</v>
      </c>
      <c r="K1545" s="5" t="s">
        <v>9397</v>
      </c>
      <c r="L1545" s="11">
        <v>5</v>
      </c>
      <c r="M1545" s="5" t="s">
        <v>156</v>
      </c>
    </row>
    <row r="1546" spans="2:13" ht="82.5" customHeight="1" x14ac:dyDescent="0.35">
      <c r="B1546" s="12">
        <v>78</v>
      </c>
      <c r="C1546" s="7" t="s">
        <v>9382</v>
      </c>
      <c r="D1546" s="12">
        <v>4</v>
      </c>
      <c r="E1546" s="7" t="s">
        <v>9398</v>
      </c>
      <c r="F1546" s="7" t="s">
        <v>9399</v>
      </c>
      <c r="G1546" s="7" t="s">
        <v>428</v>
      </c>
      <c r="H1546" s="7" t="s">
        <v>5142</v>
      </c>
      <c r="I1546" s="7" t="s">
        <v>9400</v>
      </c>
      <c r="J1546" s="7" t="s">
        <v>9401</v>
      </c>
      <c r="K1546" s="7" t="s">
        <v>9402</v>
      </c>
      <c r="L1546" s="12">
        <v>4</v>
      </c>
      <c r="M1546" s="7" t="s">
        <v>156</v>
      </c>
    </row>
    <row r="1547" spans="2:13" ht="21.75" customHeight="1" x14ac:dyDescent="0.35">
      <c r="B1547" s="11">
        <v>78</v>
      </c>
      <c r="C1547" s="5" t="s">
        <v>9382</v>
      </c>
      <c r="D1547" s="11">
        <v>5</v>
      </c>
      <c r="E1547" s="5" t="s">
        <v>9403</v>
      </c>
      <c r="F1547" s="5" t="s">
        <v>9404</v>
      </c>
      <c r="G1547" s="5" t="s">
        <v>531</v>
      </c>
      <c r="H1547" s="5" t="s">
        <v>37</v>
      </c>
      <c r="I1547" s="5" t="s">
        <v>51</v>
      </c>
      <c r="J1547" s="5" t="s">
        <v>8193</v>
      </c>
      <c r="K1547" s="5" t="s">
        <v>8578</v>
      </c>
      <c r="L1547" s="11">
        <v>1</v>
      </c>
      <c r="M1547" s="5" t="s">
        <v>156</v>
      </c>
    </row>
    <row r="1548" spans="2:13" ht="37.5" customHeight="1" x14ac:dyDescent="0.35">
      <c r="B1548" s="12">
        <v>78</v>
      </c>
      <c r="C1548" s="7" t="s">
        <v>9382</v>
      </c>
      <c r="D1548" s="12">
        <v>6</v>
      </c>
      <c r="E1548" s="7" t="s">
        <v>9405</v>
      </c>
      <c r="F1548" s="7" t="s">
        <v>9406</v>
      </c>
      <c r="G1548" s="7" t="s">
        <v>185</v>
      </c>
      <c r="H1548" s="7" t="s">
        <v>5017</v>
      </c>
      <c r="I1548" s="7" t="s">
        <v>5018</v>
      </c>
      <c r="J1548" s="7" t="s">
        <v>8574</v>
      </c>
      <c r="K1548" s="7" t="s">
        <v>9407</v>
      </c>
      <c r="L1548" s="12">
        <v>2</v>
      </c>
      <c r="M1548" s="7" t="s">
        <v>156</v>
      </c>
    </row>
    <row r="1549" spans="2:13" ht="37.5" customHeight="1" x14ac:dyDescent="0.35">
      <c r="B1549" s="11">
        <v>79</v>
      </c>
      <c r="C1549" s="5" t="s">
        <v>9408</v>
      </c>
      <c r="D1549" s="11">
        <v>1</v>
      </c>
      <c r="E1549" s="5" t="s">
        <v>9409</v>
      </c>
      <c r="F1549" s="5" t="s">
        <v>9410</v>
      </c>
      <c r="G1549" s="5" t="s">
        <v>1294</v>
      </c>
      <c r="H1549" s="5" t="s">
        <v>4599</v>
      </c>
      <c r="I1549" s="5" t="s">
        <v>9411</v>
      </c>
      <c r="J1549" s="5" t="s">
        <v>9412</v>
      </c>
      <c r="K1549" s="5" t="s">
        <v>9413</v>
      </c>
      <c r="L1549" s="11">
        <v>2</v>
      </c>
      <c r="M1549" s="5" t="s">
        <v>173</v>
      </c>
    </row>
    <row r="1550" spans="2:13" ht="37.5" customHeight="1" x14ac:dyDescent="0.35">
      <c r="B1550" s="12">
        <v>79</v>
      </c>
      <c r="C1550" s="7" t="s">
        <v>9408</v>
      </c>
      <c r="D1550" s="12">
        <v>2</v>
      </c>
      <c r="E1550" s="7" t="s">
        <v>9414</v>
      </c>
      <c r="F1550" s="7" t="s">
        <v>9415</v>
      </c>
      <c r="G1550" s="7" t="s">
        <v>30</v>
      </c>
      <c r="H1550" s="7" t="s">
        <v>40</v>
      </c>
      <c r="I1550" s="7" t="s">
        <v>54</v>
      </c>
      <c r="J1550" s="7" t="s">
        <v>233</v>
      </c>
      <c r="K1550" s="7" t="s">
        <v>9416</v>
      </c>
      <c r="L1550" s="12">
        <v>1</v>
      </c>
      <c r="M1550" s="7" t="s">
        <v>173</v>
      </c>
    </row>
    <row r="1551" spans="2:13" ht="82.5" customHeight="1" x14ac:dyDescent="0.35">
      <c r="B1551" s="11">
        <v>79</v>
      </c>
      <c r="C1551" s="5" t="s">
        <v>9408</v>
      </c>
      <c r="D1551" s="11">
        <v>3</v>
      </c>
      <c r="E1551" s="5" t="s">
        <v>9417</v>
      </c>
      <c r="F1551" s="5" t="s">
        <v>9418</v>
      </c>
      <c r="G1551" s="5" t="s">
        <v>365</v>
      </c>
      <c r="H1551" s="5" t="s">
        <v>7710</v>
      </c>
      <c r="I1551" s="5" t="s">
        <v>9419</v>
      </c>
      <c r="J1551" s="5" t="s">
        <v>9420</v>
      </c>
      <c r="K1551" s="5" t="s">
        <v>9421</v>
      </c>
      <c r="L1551" s="11">
        <v>3</v>
      </c>
      <c r="M1551" s="5" t="s">
        <v>173</v>
      </c>
    </row>
    <row r="1552" spans="2:13" ht="52.5" customHeight="1" x14ac:dyDescent="0.35">
      <c r="B1552" s="12">
        <v>79</v>
      </c>
      <c r="C1552" s="7" t="s">
        <v>9408</v>
      </c>
      <c r="D1552" s="12">
        <v>4</v>
      </c>
      <c r="E1552" s="7" t="s">
        <v>9422</v>
      </c>
      <c r="F1552" s="7" t="s">
        <v>9423</v>
      </c>
      <c r="G1552" s="7" t="s">
        <v>428</v>
      </c>
      <c r="H1552" s="7" t="s">
        <v>5470</v>
      </c>
      <c r="I1552" s="7" t="s">
        <v>9424</v>
      </c>
      <c r="J1552" s="7" t="s">
        <v>9425</v>
      </c>
      <c r="K1552" s="7" t="s">
        <v>9426</v>
      </c>
      <c r="L1552" s="12">
        <v>3</v>
      </c>
      <c r="M1552" s="7" t="s">
        <v>173</v>
      </c>
    </row>
    <row r="1553" spans="2:13" ht="52.5" customHeight="1" x14ac:dyDescent="0.35">
      <c r="B1553" s="11">
        <v>79</v>
      </c>
      <c r="C1553" s="5" t="s">
        <v>9408</v>
      </c>
      <c r="D1553" s="11">
        <v>5</v>
      </c>
      <c r="E1553" s="5" t="s">
        <v>9427</v>
      </c>
      <c r="F1553" s="5" t="s">
        <v>9428</v>
      </c>
      <c r="G1553" s="5" t="s">
        <v>188</v>
      </c>
      <c r="H1553" s="5" t="s">
        <v>9429</v>
      </c>
      <c r="I1553" s="5" t="s">
        <v>9430</v>
      </c>
      <c r="J1553" s="5" t="s">
        <v>9431</v>
      </c>
      <c r="K1553" s="5" t="s">
        <v>9432</v>
      </c>
      <c r="L1553" s="11">
        <v>3</v>
      </c>
      <c r="M1553" s="5" t="s">
        <v>173</v>
      </c>
    </row>
    <row r="1554" spans="2:13" ht="67.5" customHeight="1" x14ac:dyDescent="0.35">
      <c r="B1554" s="12">
        <v>79</v>
      </c>
      <c r="C1554" s="7" t="s">
        <v>9408</v>
      </c>
      <c r="D1554" s="12">
        <v>6</v>
      </c>
      <c r="E1554" s="7" t="s">
        <v>9433</v>
      </c>
      <c r="F1554" s="7" t="s">
        <v>9434</v>
      </c>
      <c r="G1554" s="7" t="s">
        <v>168</v>
      </c>
      <c r="H1554" s="7" t="s">
        <v>9435</v>
      </c>
      <c r="I1554" s="7" t="s">
        <v>9436</v>
      </c>
      <c r="J1554" s="7" t="s">
        <v>9437</v>
      </c>
      <c r="K1554" s="7" t="s">
        <v>9438</v>
      </c>
      <c r="L1554" s="12">
        <v>3</v>
      </c>
      <c r="M1554" s="7" t="s">
        <v>173</v>
      </c>
    </row>
    <row r="1555" spans="2:13" ht="37.5" customHeight="1" x14ac:dyDescent="0.35">
      <c r="B1555" s="11">
        <v>79</v>
      </c>
      <c r="C1555" s="5" t="s">
        <v>9408</v>
      </c>
      <c r="D1555" s="11"/>
      <c r="E1555" s="5" t="s">
        <v>9439</v>
      </c>
      <c r="F1555" s="5" t="s">
        <v>9440</v>
      </c>
      <c r="G1555" s="5" t="s">
        <v>6266</v>
      </c>
      <c r="H1555" s="5" t="s">
        <v>218</v>
      </c>
      <c r="I1555" s="5" t="s">
        <v>9441</v>
      </c>
      <c r="J1555" s="5" t="s">
        <v>9442</v>
      </c>
      <c r="K1555" s="5" t="s">
        <v>9443</v>
      </c>
      <c r="L1555" s="11">
        <v>2</v>
      </c>
      <c r="M1555" s="5" t="s">
        <v>173</v>
      </c>
    </row>
    <row r="1556" spans="2:13" ht="52.5" customHeight="1" x14ac:dyDescent="0.35">
      <c r="B1556" s="12">
        <v>79</v>
      </c>
      <c r="C1556" s="7" t="s">
        <v>9408</v>
      </c>
      <c r="D1556" s="12">
        <v>7</v>
      </c>
      <c r="E1556" s="7" t="s">
        <v>9444</v>
      </c>
      <c r="F1556" s="7" t="s">
        <v>9445</v>
      </c>
      <c r="G1556" s="7" t="s">
        <v>662</v>
      </c>
      <c r="H1556" s="7" t="s">
        <v>9446</v>
      </c>
      <c r="I1556" s="7" t="s">
        <v>9447</v>
      </c>
      <c r="J1556" s="7" t="s">
        <v>9448</v>
      </c>
      <c r="K1556" s="7" t="s">
        <v>9449</v>
      </c>
      <c r="L1556" s="12">
        <v>3</v>
      </c>
      <c r="M1556" s="7" t="s">
        <v>173</v>
      </c>
    </row>
    <row r="1557" spans="2:13" ht="21.75" customHeight="1" x14ac:dyDescent="0.35">
      <c r="B1557" s="11">
        <v>79</v>
      </c>
      <c r="C1557" s="5" t="s">
        <v>9408</v>
      </c>
      <c r="D1557" s="11">
        <v>8</v>
      </c>
      <c r="E1557" s="5" t="s">
        <v>9450</v>
      </c>
      <c r="F1557" s="5" t="s">
        <v>9451</v>
      </c>
      <c r="G1557" s="5" t="s">
        <v>445</v>
      </c>
      <c r="H1557" s="5" t="s">
        <v>37</v>
      </c>
      <c r="I1557" s="5" t="s">
        <v>274</v>
      </c>
      <c r="J1557" s="5" t="s">
        <v>8193</v>
      </c>
      <c r="K1557" s="5" t="s">
        <v>9452</v>
      </c>
      <c r="L1557" s="11">
        <v>1</v>
      </c>
      <c r="M1557" s="5" t="s">
        <v>173</v>
      </c>
    </row>
    <row r="1558" spans="2:13" ht="52.5" customHeight="1" x14ac:dyDescent="0.35">
      <c r="B1558" s="12">
        <v>79</v>
      </c>
      <c r="C1558" s="7" t="s">
        <v>9408</v>
      </c>
      <c r="D1558" s="12">
        <v>9</v>
      </c>
      <c r="E1558" s="7" t="s">
        <v>9453</v>
      </c>
      <c r="F1558" s="7" t="s">
        <v>9454</v>
      </c>
      <c r="G1558" s="7" t="s">
        <v>2076</v>
      </c>
      <c r="H1558" s="7" t="s">
        <v>7763</v>
      </c>
      <c r="I1558" s="7" t="s">
        <v>7764</v>
      </c>
      <c r="J1558" s="7" t="s">
        <v>2157</v>
      </c>
      <c r="K1558" s="7" t="s">
        <v>9455</v>
      </c>
      <c r="L1558" s="12">
        <v>2</v>
      </c>
      <c r="M1558" s="7" t="s">
        <v>173</v>
      </c>
    </row>
    <row r="1559" spans="2:13" ht="37.5" customHeight="1" x14ac:dyDescent="0.35">
      <c r="B1559" s="11">
        <v>79</v>
      </c>
      <c r="C1559" s="5" t="s">
        <v>9408</v>
      </c>
      <c r="D1559" s="11">
        <v>10</v>
      </c>
      <c r="E1559" s="5" t="s">
        <v>9456</v>
      </c>
      <c r="F1559" s="5" t="s">
        <v>9457</v>
      </c>
      <c r="G1559" s="5" t="s">
        <v>28</v>
      </c>
      <c r="H1559" s="5" t="s">
        <v>42</v>
      </c>
      <c r="I1559" s="5" t="s">
        <v>5023</v>
      </c>
      <c r="J1559" s="5" t="s">
        <v>1107</v>
      </c>
      <c r="K1559" s="5" t="s">
        <v>9458</v>
      </c>
      <c r="L1559" s="11">
        <v>1</v>
      </c>
      <c r="M1559" s="5" t="s">
        <v>173</v>
      </c>
    </row>
    <row r="1560" spans="2:13" ht="21.75" customHeight="1" x14ac:dyDescent="0.35">
      <c r="B1560" s="12">
        <v>79</v>
      </c>
      <c r="C1560" s="7" t="s">
        <v>9408</v>
      </c>
      <c r="D1560" s="12">
        <v>11</v>
      </c>
      <c r="E1560" s="7" t="s">
        <v>9459</v>
      </c>
      <c r="F1560" s="7" t="s">
        <v>9460</v>
      </c>
      <c r="G1560" s="7" t="s">
        <v>402</v>
      </c>
      <c r="H1560" s="7" t="s">
        <v>40</v>
      </c>
      <c r="I1560" s="7" t="s">
        <v>54</v>
      </c>
      <c r="J1560" s="7" t="s">
        <v>233</v>
      </c>
      <c r="K1560" s="7" t="s">
        <v>9416</v>
      </c>
      <c r="L1560" s="12">
        <v>1</v>
      </c>
      <c r="M1560" s="7" t="s">
        <v>173</v>
      </c>
    </row>
    <row r="1561" spans="2:13" ht="37.5" customHeight="1" x14ac:dyDescent="0.35">
      <c r="B1561" s="11">
        <v>79</v>
      </c>
      <c r="C1561" s="5" t="s">
        <v>9408</v>
      </c>
      <c r="D1561" s="11">
        <v>12</v>
      </c>
      <c r="E1561" s="5" t="s">
        <v>9461</v>
      </c>
      <c r="F1561" s="5" t="s">
        <v>9462</v>
      </c>
      <c r="G1561" s="5" t="s">
        <v>973</v>
      </c>
      <c r="H1561" s="5" t="s">
        <v>3670</v>
      </c>
      <c r="I1561" s="5" t="s">
        <v>9463</v>
      </c>
      <c r="J1561" s="5" t="s">
        <v>9464</v>
      </c>
      <c r="K1561" s="5" t="s">
        <v>9465</v>
      </c>
      <c r="L1561" s="11">
        <v>2</v>
      </c>
      <c r="M1561" s="5" t="s">
        <v>173</v>
      </c>
    </row>
    <row r="1562" spans="2:13" ht="37.5" customHeight="1" x14ac:dyDescent="0.35">
      <c r="B1562" s="12">
        <v>79</v>
      </c>
      <c r="C1562" s="7" t="s">
        <v>9408</v>
      </c>
      <c r="D1562" s="12">
        <v>13</v>
      </c>
      <c r="E1562" s="7" t="s">
        <v>9466</v>
      </c>
      <c r="F1562" s="7" t="s">
        <v>9467</v>
      </c>
      <c r="G1562" s="7" t="s">
        <v>442</v>
      </c>
      <c r="H1562" s="7" t="s">
        <v>294</v>
      </c>
      <c r="I1562" s="7" t="s">
        <v>4643</v>
      </c>
      <c r="J1562" s="7" t="s">
        <v>9468</v>
      </c>
      <c r="K1562" s="7" t="s">
        <v>9469</v>
      </c>
      <c r="L1562" s="12">
        <v>2</v>
      </c>
      <c r="M1562" s="7" t="s">
        <v>173</v>
      </c>
    </row>
    <row r="1563" spans="2:13" ht="52.5" customHeight="1" x14ac:dyDescent="0.35">
      <c r="B1563" s="11">
        <v>79</v>
      </c>
      <c r="C1563" s="5" t="s">
        <v>9408</v>
      </c>
      <c r="D1563" s="11">
        <v>14</v>
      </c>
      <c r="E1563" s="5" t="s">
        <v>9470</v>
      </c>
      <c r="F1563" s="5" t="s">
        <v>9471</v>
      </c>
      <c r="G1563" s="5" t="s">
        <v>1603</v>
      </c>
      <c r="H1563" s="5" t="s">
        <v>9472</v>
      </c>
      <c r="I1563" s="5" t="s">
        <v>9473</v>
      </c>
      <c r="J1563" s="5" t="s">
        <v>9474</v>
      </c>
      <c r="K1563" s="5" t="s">
        <v>9475</v>
      </c>
      <c r="L1563" s="11">
        <v>2</v>
      </c>
      <c r="M1563" s="5" t="s">
        <v>173</v>
      </c>
    </row>
    <row r="1564" spans="2:13" ht="37.5" customHeight="1" x14ac:dyDescent="0.35">
      <c r="B1564" s="12">
        <v>79</v>
      </c>
      <c r="C1564" s="7" t="s">
        <v>9408</v>
      </c>
      <c r="D1564" s="12">
        <v>15</v>
      </c>
      <c r="E1564" s="7" t="s">
        <v>9476</v>
      </c>
      <c r="F1564" s="7" t="s">
        <v>9477</v>
      </c>
      <c r="G1564" s="7" t="s">
        <v>880</v>
      </c>
      <c r="H1564" s="7" t="s">
        <v>218</v>
      </c>
      <c r="I1564" s="7" t="s">
        <v>8208</v>
      </c>
      <c r="J1564" s="7" t="s">
        <v>9478</v>
      </c>
      <c r="K1564" s="7" t="s">
        <v>9479</v>
      </c>
      <c r="L1564" s="12">
        <v>2</v>
      </c>
      <c r="M1564" s="7" t="s">
        <v>173</v>
      </c>
    </row>
    <row r="1565" spans="2:13" ht="37.5" customHeight="1" x14ac:dyDescent="0.35">
      <c r="B1565" s="11">
        <v>79</v>
      </c>
      <c r="C1565" s="5" t="s">
        <v>9408</v>
      </c>
      <c r="D1565" s="11">
        <v>16</v>
      </c>
      <c r="E1565" s="5" t="s">
        <v>9480</v>
      </c>
      <c r="F1565" s="5" t="s">
        <v>9481</v>
      </c>
      <c r="G1565" s="5" t="s">
        <v>513</v>
      </c>
      <c r="H1565" s="5" t="s">
        <v>37</v>
      </c>
      <c r="I1565" s="5" t="s">
        <v>170</v>
      </c>
      <c r="J1565" s="5" t="s">
        <v>9380</v>
      </c>
      <c r="K1565" s="5" t="s">
        <v>9482</v>
      </c>
      <c r="L1565" s="11">
        <v>1</v>
      </c>
      <c r="M1565" s="5" t="s">
        <v>173</v>
      </c>
    </row>
    <row r="1566" spans="2:13" ht="37.5" customHeight="1" x14ac:dyDescent="0.35">
      <c r="B1566" s="12">
        <v>79</v>
      </c>
      <c r="C1566" s="7" t="s">
        <v>9408</v>
      </c>
      <c r="D1566" s="12">
        <v>17</v>
      </c>
      <c r="E1566" s="7" t="s">
        <v>9483</v>
      </c>
      <c r="F1566" s="7" t="s">
        <v>9484</v>
      </c>
      <c r="G1566" s="7" t="s">
        <v>1373</v>
      </c>
      <c r="H1566" s="7" t="s">
        <v>37</v>
      </c>
      <c r="I1566" s="7" t="s">
        <v>9485</v>
      </c>
      <c r="J1566" s="7" t="s">
        <v>9380</v>
      </c>
      <c r="K1566" s="7" t="s">
        <v>9486</v>
      </c>
      <c r="L1566" s="12">
        <v>2</v>
      </c>
      <c r="M1566" s="7" t="s">
        <v>173</v>
      </c>
    </row>
    <row r="1567" spans="2:13" ht="52.5" customHeight="1" x14ac:dyDescent="0.35">
      <c r="B1567" s="11">
        <v>79</v>
      </c>
      <c r="C1567" s="5" t="s">
        <v>9408</v>
      </c>
      <c r="D1567" s="11">
        <v>18</v>
      </c>
      <c r="E1567" s="5" t="s">
        <v>9487</v>
      </c>
      <c r="F1567" s="5" t="s">
        <v>9488</v>
      </c>
      <c r="G1567" s="5" t="s">
        <v>778</v>
      </c>
      <c r="H1567" s="5" t="s">
        <v>218</v>
      </c>
      <c r="I1567" s="5" t="s">
        <v>9489</v>
      </c>
      <c r="J1567" s="5" t="s">
        <v>9478</v>
      </c>
      <c r="K1567" s="5" t="s">
        <v>9490</v>
      </c>
      <c r="L1567" s="11">
        <v>3</v>
      </c>
      <c r="M1567" s="5" t="s">
        <v>173</v>
      </c>
    </row>
    <row r="1568" spans="2:13" ht="21.75" customHeight="1" x14ac:dyDescent="0.35">
      <c r="B1568" s="12">
        <v>79</v>
      </c>
      <c r="C1568" s="7" t="s">
        <v>9408</v>
      </c>
      <c r="D1568" s="12">
        <v>19</v>
      </c>
      <c r="E1568" s="7" t="s">
        <v>9491</v>
      </c>
      <c r="F1568" s="7" t="s">
        <v>9492</v>
      </c>
      <c r="G1568" s="7" t="s">
        <v>26</v>
      </c>
      <c r="H1568" s="7" t="s">
        <v>40</v>
      </c>
      <c r="I1568" s="7" t="s">
        <v>54</v>
      </c>
      <c r="J1568" s="7" t="s">
        <v>233</v>
      </c>
      <c r="K1568" s="7" t="s">
        <v>9416</v>
      </c>
      <c r="L1568" s="12">
        <v>1</v>
      </c>
      <c r="M1568" s="7" t="s">
        <v>173</v>
      </c>
    </row>
    <row r="1569" spans="2:13" ht="37.5" customHeight="1" x14ac:dyDescent="0.35">
      <c r="B1569" s="11">
        <v>79</v>
      </c>
      <c r="C1569" s="5" t="s">
        <v>9408</v>
      </c>
      <c r="D1569" s="11">
        <v>20</v>
      </c>
      <c r="E1569" s="5" t="s">
        <v>9493</v>
      </c>
      <c r="F1569" s="5" t="s">
        <v>9494</v>
      </c>
      <c r="G1569" s="5" t="s">
        <v>576</v>
      </c>
      <c r="H1569" s="5" t="s">
        <v>42</v>
      </c>
      <c r="I1569" s="5" t="s">
        <v>5127</v>
      </c>
      <c r="J1569" s="5" t="s">
        <v>194</v>
      </c>
      <c r="K1569" s="5" t="s">
        <v>9495</v>
      </c>
      <c r="L1569" s="11">
        <v>1</v>
      </c>
      <c r="M1569" s="5" t="s">
        <v>173</v>
      </c>
    </row>
    <row r="1570" spans="2:13" ht="37.5" customHeight="1" x14ac:dyDescent="0.35">
      <c r="B1570" s="12">
        <v>79</v>
      </c>
      <c r="C1570" s="7" t="s">
        <v>9408</v>
      </c>
      <c r="D1570" s="12">
        <v>21</v>
      </c>
      <c r="E1570" s="7" t="s">
        <v>9496</v>
      </c>
      <c r="F1570" s="7" t="s">
        <v>9497</v>
      </c>
      <c r="G1570" s="7" t="s">
        <v>1435</v>
      </c>
      <c r="H1570" s="7" t="s">
        <v>42</v>
      </c>
      <c r="I1570" s="7" t="s">
        <v>9498</v>
      </c>
      <c r="J1570" s="7" t="s">
        <v>9499</v>
      </c>
      <c r="K1570" s="7" t="s">
        <v>9500</v>
      </c>
      <c r="L1570" s="12">
        <v>2</v>
      </c>
      <c r="M1570" s="7" t="s">
        <v>173</v>
      </c>
    </row>
    <row r="1571" spans="2:13" ht="37.5" customHeight="1" x14ac:dyDescent="0.35">
      <c r="B1571" s="11">
        <v>79</v>
      </c>
      <c r="C1571" s="5" t="s">
        <v>9408</v>
      </c>
      <c r="D1571" s="11">
        <v>22</v>
      </c>
      <c r="E1571" s="5" t="s">
        <v>9501</v>
      </c>
      <c r="F1571" s="5" t="s">
        <v>9502</v>
      </c>
      <c r="G1571" s="5" t="s">
        <v>279</v>
      </c>
      <c r="H1571" s="5" t="s">
        <v>8736</v>
      </c>
      <c r="I1571" s="5" t="s">
        <v>8737</v>
      </c>
      <c r="J1571" s="5" t="s">
        <v>2163</v>
      </c>
      <c r="K1571" s="5" t="s">
        <v>9503</v>
      </c>
      <c r="L1571" s="11">
        <v>2</v>
      </c>
      <c r="M1571" s="5" t="s">
        <v>173</v>
      </c>
    </row>
    <row r="1572" spans="2:13" ht="37.5" customHeight="1" x14ac:dyDescent="0.35">
      <c r="B1572" s="12">
        <v>79</v>
      </c>
      <c r="C1572" s="7" t="s">
        <v>9408</v>
      </c>
      <c r="D1572" s="12">
        <v>23</v>
      </c>
      <c r="E1572" s="7" t="s">
        <v>9504</v>
      </c>
      <c r="F1572" s="7" t="s">
        <v>9505</v>
      </c>
      <c r="G1572" s="7" t="s">
        <v>582</v>
      </c>
      <c r="H1572" s="7" t="s">
        <v>37</v>
      </c>
      <c r="I1572" s="7" t="s">
        <v>51</v>
      </c>
      <c r="J1572" s="7" t="s">
        <v>9380</v>
      </c>
      <c r="K1572" s="7" t="s">
        <v>9506</v>
      </c>
      <c r="L1572" s="12">
        <v>1</v>
      </c>
      <c r="M1572" s="7" t="s">
        <v>173</v>
      </c>
    </row>
    <row r="1573" spans="2:13" ht="37.5" customHeight="1" x14ac:dyDescent="0.35">
      <c r="B1573" s="11">
        <v>79</v>
      </c>
      <c r="C1573" s="5" t="s">
        <v>9408</v>
      </c>
      <c r="D1573" s="11">
        <v>24</v>
      </c>
      <c r="E1573" s="5" t="s">
        <v>9507</v>
      </c>
      <c r="F1573" s="5" t="s">
        <v>9508</v>
      </c>
      <c r="G1573" s="5" t="s">
        <v>9509</v>
      </c>
      <c r="H1573" s="5" t="s">
        <v>41</v>
      </c>
      <c r="I1573" s="5" t="s">
        <v>49</v>
      </c>
      <c r="J1573" s="5" t="s">
        <v>213</v>
      </c>
      <c r="K1573" s="5" t="s">
        <v>214</v>
      </c>
      <c r="L1573" s="11">
        <v>1</v>
      </c>
      <c r="M1573" s="5" t="s">
        <v>173</v>
      </c>
    </row>
    <row r="1574" spans="2:13" ht="37.5" customHeight="1" x14ac:dyDescent="0.35">
      <c r="B1574" s="12">
        <v>79</v>
      </c>
      <c r="C1574" s="7" t="s">
        <v>9408</v>
      </c>
      <c r="D1574" s="12">
        <v>25</v>
      </c>
      <c r="E1574" s="7" t="s">
        <v>9510</v>
      </c>
      <c r="F1574" s="7" t="s">
        <v>9511</v>
      </c>
      <c r="G1574" s="7" t="s">
        <v>742</v>
      </c>
      <c r="H1574" s="7" t="s">
        <v>41</v>
      </c>
      <c r="I1574" s="7" t="s">
        <v>49</v>
      </c>
      <c r="J1574" s="7" t="s">
        <v>213</v>
      </c>
      <c r="K1574" s="7" t="s">
        <v>214</v>
      </c>
      <c r="L1574" s="12">
        <v>1</v>
      </c>
      <c r="M1574" s="7" t="s">
        <v>173</v>
      </c>
    </row>
    <row r="1575" spans="2:13" ht="21.75" customHeight="1" x14ac:dyDescent="0.35">
      <c r="B1575" s="11">
        <v>79</v>
      </c>
      <c r="C1575" s="5" t="s">
        <v>9408</v>
      </c>
      <c r="D1575" s="11">
        <v>26</v>
      </c>
      <c r="E1575" s="5" t="s">
        <v>9512</v>
      </c>
      <c r="F1575" s="5" t="s">
        <v>9513</v>
      </c>
      <c r="G1575" s="5" t="s">
        <v>608</v>
      </c>
      <c r="H1575" s="5" t="s">
        <v>37</v>
      </c>
      <c r="I1575" s="5" t="s">
        <v>51</v>
      </c>
      <c r="J1575" s="5" t="s">
        <v>9380</v>
      </c>
      <c r="K1575" s="5" t="s">
        <v>9506</v>
      </c>
      <c r="L1575" s="11">
        <v>1</v>
      </c>
      <c r="M1575" s="5" t="s">
        <v>173</v>
      </c>
    </row>
    <row r="1576" spans="2:13" ht="37.5" customHeight="1" x14ac:dyDescent="0.35">
      <c r="B1576" s="12">
        <v>79</v>
      </c>
      <c r="C1576" s="7" t="s">
        <v>9408</v>
      </c>
      <c r="D1576" s="12">
        <v>27</v>
      </c>
      <c r="E1576" s="7" t="s">
        <v>9514</v>
      </c>
      <c r="F1576" s="7" t="s">
        <v>9515</v>
      </c>
      <c r="G1576" s="7" t="s">
        <v>31</v>
      </c>
      <c r="H1576" s="7" t="s">
        <v>37</v>
      </c>
      <c r="I1576" s="7" t="s">
        <v>51</v>
      </c>
      <c r="J1576" s="7" t="s">
        <v>9380</v>
      </c>
      <c r="K1576" s="7" t="s">
        <v>9506</v>
      </c>
      <c r="L1576" s="12">
        <v>1</v>
      </c>
      <c r="M1576" s="7" t="s">
        <v>173</v>
      </c>
    </row>
    <row r="1577" spans="2:13" ht="21.75" customHeight="1" x14ac:dyDescent="0.35">
      <c r="B1577" s="11">
        <v>79</v>
      </c>
      <c r="C1577" s="5" t="s">
        <v>9408</v>
      </c>
      <c r="D1577" s="11">
        <v>28</v>
      </c>
      <c r="E1577" s="5" t="s">
        <v>9516</v>
      </c>
      <c r="F1577" s="5" t="s">
        <v>9517</v>
      </c>
      <c r="G1577" s="5" t="s">
        <v>3190</v>
      </c>
      <c r="H1577" s="5" t="s">
        <v>37</v>
      </c>
      <c r="I1577" s="5" t="s">
        <v>51</v>
      </c>
      <c r="J1577" s="5" t="s">
        <v>9380</v>
      </c>
      <c r="K1577" s="5" t="s">
        <v>9506</v>
      </c>
      <c r="L1577" s="11">
        <v>1</v>
      </c>
      <c r="M1577" s="5" t="s">
        <v>173</v>
      </c>
    </row>
    <row r="1578" spans="2:13" ht="21.75" customHeight="1" x14ac:dyDescent="0.35">
      <c r="B1578" s="12">
        <v>79</v>
      </c>
      <c r="C1578" s="7" t="s">
        <v>9408</v>
      </c>
      <c r="D1578" s="12">
        <v>29</v>
      </c>
      <c r="E1578" s="7" t="s">
        <v>9518</v>
      </c>
      <c r="F1578" s="7" t="s">
        <v>9519</v>
      </c>
      <c r="G1578" s="7" t="s">
        <v>365</v>
      </c>
      <c r="H1578" s="7" t="s">
        <v>40</v>
      </c>
      <c r="I1578" s="7" t="s">
        <v>54</v>
      </c>
      <c r="J1578" s="7" t="s">
        <v>213</v>
      </c>
      <c r="K1578" s="7" t="s">
        <v>254</v>
      </c>
      <c r="L1578" s="12">
        <v>1</v>
      </c>
      <c r="M1578" s="7" t="s">
        <v>173</v>
      </c>
    </row>
    <row r="1579" spans="2:13" ht="21.75" customHeight="1" x14ac:dyDescent="0.35">
      <c r="B1579" s="11">
        <v>79</v>
      </c>
      <c r="C1579" s="5" t="s">
        <v>9408</v>
      </c>
      <c r="D1579" s="11">
        <v>30</v>
      </c>
      <c r="E1579" s="5" t="s">
        <v>9520</v>
      </c>
      <c r="F1579" s="5" t="s">
        <v>9521</v>
      </c>
      <c r="G1579" s="5" t="s">
        <v>9522</v>
      </c>
      <c r="H1579" s="5" t="s">
        <v>40</v>
      </c>
      <c r="I1579" s="5" t="s">
        <v>54</v>
      </c>
      <c r="J1579" s="5" t="s">
        <v>213</v>
      </c>
      <c r="K1579" s="5" t="s">
        <v>254</v>
      </c>
      <c r="L1579" s="11">
        <v>1</v>
      </c>
      <c r="M1579" s="5" t="s">
        <v>173</v>
      </c>
    </row>
    <row r="1580" spans="2:13" ht="67.5" customHeight="1" x14ac:dyDescent="0.35">
      <c r="B1580" s="12">
        <v>80</v>
      </c>
      <c r="C1580" s="7" t="s">
        <v>9523</v>
      </c>
      <c r="D1580" s="12">
        <v>1</v>
      </c>
      <c r="E1580" s="7" t="s">
        <v>9524</v>
      </c>
      <c r="F1580" s="7" t="s">
        <v>9525</v>
      </c>
      <c r="G1580" s="7" t="s">
        <v>414</v>
      </c>
      <c r="H1580" s="7" t="s">
        <v>5716</v>
      </c>
      <c r="I1580" s="7" t="s">
        <v>9526</v>
      </c>
      <c r="J1580" s="7" t="s">
        <v>9527</v>
      </c>
      <c r="K1580" s="7" t="s">
        <v>9528</v>
      </c>
      <c r="L1580" s="12">
        <v>3</v>
      </c>
      <c r="M1580" s="7"/>
    </row>
    <row r="1581" spans="2:13" ht="52.5" customHeight="1" x14ac:dyDescent="0.35">
      <c r="B1581" s="11">
        <v>80</v>
      </c>
      <c r="C1581" s="5" t="s">
        <v>9523</v>
      </c>
      <c r="D1581" s="11">
        <v>2</v>
      </c>
      <c r="E1581" s="5" t="s">
        <v>9529</v>
      </c>
      <c r="F1581" s="5" t="s">
        <v>9530</v>
      </c>
      <c r="G1581" s="5" t="s">
        <v>414</v>
      </c>
      <c r="H1581" s="5" t="s">
        <v>5716</v>
      </c>
      <c r="I1581" s="5" t="s">
        <v>9531</v>
      </c>
      <c r="J1581" s="5" t="s">
        <v>9532</v>
      </c>
      <c r="K1581" s="5" t="s">
        <v>9533</v>
      </c>
      <c r="L1581" s="11">
        <v>3</v>
      </c>
      <c r="M1581" s="5"/>
    </row>
    <row r="1582" spans="2:13" ht="21.75" customHeight="1" x14ac:dyDescent="0.35">
      <c r="B1582" s="12">
        <v>80</v>
      </c>
      <c r="C1582" s="7" t="s">
        <v>9523</v>
      </c>
      <c r="D1582" s="12">
        <v>3</v>
      </c>
      <c r="E1582" s="7" t="s">
        <v>9534</v>
      </c>
      <c r="F1582" s="7" t="s">
        <v>9535</v>
      </c>
      <c r="G1582" s="7" t="s">
        <v>442</v>
      </c>
      <c r="H1582" s="7" t="s">
        <v>36</v>
      </c>
      <c r="I1582" s="7" t="s">
        <v>48</v>
      </c>
      <c r="J1582" s="7" t="s">
        <v>5782</v>
      </c>
      <c r="K1582" s="7" t="s">
        <v>5796</v>
      </c>
      <c r="L1582" s="12">
        <v>1</v>
      </c>
      <c r="M1582" s="7"/>
    </row>
    <row r="1583" spans="2:13" ht="37.5" customHeight="1" x14ac:dyDescent="0.35">
      <c r="B1583" s="11">
        <v>80</v>
      </c>
      <c r="C1583" s="5" t="s">
        <v>9523</v>
      </c>
      <c r="D1583" s="11">
        <v>4</v>
      </c>
      <c r="E1583" s="5" t="s">
        <v>9536</v>
      </c>
      <c r="F1583" s="5" t="s">
        <v>9537</v>
      </c>
      <c r="G1583" s="5" t="s">
        <v>24</v>
      </c>
      <c r="H1583" s="5" t="s">
        <v>1521</v>
      </c>
      <c r="I1583" s="5" t="s">
        <v>9538</v>
      </c>
      <c r="J1583" s="5" t="s">
        <v>9539</v>
      </c>
      <c r="K1583" s="5" t="s">
        <v>9540</v>
      </c>
      <c r="L1583" s="11">
        <v>2</v>
      </c>
      <c r="M1583" s="5"/>
    </row>
    <row r="1584" spans="2:13" ht="37.5" customHeight="1" x14ac:dyDescent="0.35">
      <c r="B1584" s="12">
        <v>80</v>
      </c>
      <c r="C1584" s="7" t="s">
        <v>9523</v>
      </c>
      <c r="D1584" s="12">
        <v>5</v>
      </c>
      <c r="E1584" s="7" t="s">
        <v>9541</v>
      </c>
      <c r="F1584" s="7" t="s">
        <v>9542</v>
      </c>
      <c r="G1584" s="7" t="s">
        <v>24</v>
      </c>
      <c r="H1584" s="7" t="s">
        <v>36</v>
      </c>
      <c r="I1584" s="7" t="s">
        <v>1885</v>
      </c>
      <c r="J1584" s="7" t="s">
        <v>194</v>
      </c>
      <c r="K1584" s="7" t="s">
        <v>9543</v>
      </c>
      <c r="L1584" s="12">
        <v>1</v>
      </c>
      <c r="M1584" s="7"/>
    </row>
    <row r="1585" spans="2:13" ht="52.5" customHeight="1" x14ac:dyDescent="0.35">
      <c r="B1585" s="11">
        <v>80</v>
      </c>
      <c r="C1585" s="5" t="s">
        <v>9523</v>
      </c>
      <c r="D1585" s="11">
        <v>6</v>
      </c>
      <c r="E1585" s="5" t="s">
        <v>9544</v>
      </c>
      <c r="F1585" s="5" t="s">
        <v>9545</v>
      </c>
      <c r="G1585" s="5" t="s">
        <v>279</v>
      </c>
      <c r="H1585" s="5" t="s">
        <v>5716</v>
      </c>
      <c r="I1585" s="5" t="s">
        <v>7060</v>
      </c>
      <c r="J1585" s="5" t="s">
        <v>9527</v>
      </c>
      <c r="K1585" s="5" t="s">
        <v>9546</v>
      </c>
      <c r="L1585" s="11">
        <v>3</v>
      </c>
      <c r="M1585" s="5"/>
    </row>
    <row r="1586" spans="2:13" ht="37.5" customHeight="1" x14ac:dyDescent="0.35">
      <c r="B1586" s="12">
        <v>80</v>
      </c>
      <c r="C1586" s="7" t="s">
        <v>9523</v>
      </c>
      <c r="D1586" s="12">
        <v>7</v>
      </c>
      <c r="E1586" s="7" t="s">
        <v>9547</v>
      </c>
      <c r="F1586" s="7" t="s">
        <v>9548</v>
      </c>
      <c r="G1586" s="7" t="s">
        <v>279</v>
      </c>
      <c r="H1586" s="7" t="s">
        <v>1355</v>
      </c>
      <c r="I1586" s="7" t="s">
        <v>9549</v>
      </c>
      <c r="J1586" s="7" t="s">
        <v>9550</v>
      </c>
      <c r="K1586" s="7" t="s">
        <v>9551</v>
      </c>
      <c r="L1586" s="12">
        <v>2</v>
      </c>
      <c r="M1586" s="7"/>
    </row>
    <row r="1587" spans="2:13" ht="52.5" customHeight="1" x14ac:dyDescent="0.35">
      <c r="B1587" s="11">
        <v>80</v>
      </c>
      <c r="C1587" s="5" t="s">
        <v>9523</v>
      </c>
      <c r="D1587" s="11">
        <v>8</v>
      </c>
      <c r="E1587" s="5" t="s">
        <v>9552</v>
      </c>
      <c r="F1587" s="5" t="s">
        <v>9553</v>
      </c>
      <c r="G1587" s="5" t="s">
        <v>25</v>
      </c>
      <c r="H1587" s="5" t="s">
        <v>5725</v>
      </c>
      <c r="I1587" s="5" t="s">
        <v>9554</v>
      </c>
      <c r="J1587" s="5" t="s">
        <v>9555</v>
      </c>
      <c r="K1587" s="5" t="s">
        <v>9556</v>
      </c>
      <c r="L1587" s="11">
        <v>3</v>
      </c>
      <c r="M1587" s="5"/>
    </row>
    <row r="1588" spans="2:13" ht="37.5" customHeight="1" x14ac:dyDescent="0.35">
      <c r="B1588" s="12">
        <v>80</v>
      </c>
      <c r="C1588" s="7" t="s">
        <v>9523</v>
      </c>
      <c r="D1588" s="12">
        <v>9</v>
      </c>
      <c r="E1588" s="7" t="s">
        <v>9557</v>
      </c>
      <c r="F1588" s="7" t="s">
        <v>9558</v>
      </c>
      <c r="G1588" s="7" t="s">
        <v>25</v>
      </c>
      <c r="H1588" s="7" t="s">
        <v>1355</v>
      </c>
      <c r="I1588" s="7" t="s">
        <v>9559</v>
      </c>
      <c r="J1588" s="7" t="s">
        <v>9550</v>
      </c>
      <c r="K1588" s="7" t="s">
        <v>9560</v>
      </c>
      <c r="L1588" s="12">
        <v>2</v>
      </c>
      <c r="M1588" s="7"/>
    </row>
    <row r="1589" spans="2:13" ht="37.5" customHeight="1" x14ac:dyDescent="0.35">
      <c r="B1589" s="11">
        <v>80</v>
      </c>
      <c r="C1589" s="5" t="s">
        <v>9523</v>
      </c>
      <c r="D1589" s="11">
        <v>10</v>
      </c>
      <c r="E1589" s="5" t="s">
        <v>9561</v>
      </c>
      <c r="F1589" s="5" t="s">
        <v>9562</v>
      </c>
      <c r="G1589" s="5" t="s">
        <v>395</v>
      </c>
      <c r="H1589" s="5" t="s">
        <v>45</v>
      </c>
      <c r="I1589" s="5" t="s">
        <v>9563</v>
      </c>
      <c r="J1589" s="5" t="s">
        <v>9564</v>
      </c>
      <c r="K1589" s="5" t="s">
        <v>9565</v>
      </c>
      <c r="L1589" s="11">
        <v>1</v>
      </c>
      <c r="M1589" s="5"/>
    </row>
    <row r="1590" spans="2:13" ht="37.5" customHeight="1" x14ac:dyDescent="0.35">
      <c r="B1590" s="12">
        <v>80</v>
      </c>
      <c r="C1590" s="7" t="s">
        <v>9523</v>
      </c>
      <c r="D1590" s="12">
        <v>11</v>
      </c>
      <c r="E1590" s="7" t="s">
        <v>9566</v>
      </c>
      <c r="F1590" s="7" t="s">
        <v>9567</v>
      </c>
      <c r="G1590" s="7" t="s">
        <v>27</v>
      </c>
      <c r="H1590" s="7" t="s">
        <v>1355</v>
      </c>
      <c r="I1590" s="7" t="s">
        <v>7060</v>
      </c>
      <c r="J1590" s="7" t="s">
        <v>4587</v>
      </c>
      <c r="K1590" s="7" t="s">
        <v>9568</v>
      </c>
      <c r="L1590" s="12">
        <v>2</v>
      </c>
      <c r="M1590" s="7"/>
    </row>
    <row r="1591" spans="2:13" ht="52.5" customHeight="1" x14ac:dyDescent="0.35">
      <c r="B1591" s="11">
        <v>80</v>
      </c>
      <c r="C1591" s="5" t="s">
        <v>9523</v>
      </c>
      <c r="D1591" s="11">
        <v>12</v>
      </c>
      <c r="E1591" s="5" t="s">
        <v>9569</v>
      </c>
      <c r="F1591" s="5" t="s">
        <v>9570</v>
      </c>
      <c r="G1591" s="5" t="s">
        <v>566</v>
      </c>
      <c r="H1591" s="5" t="s">
        <v>5725</v>
      </c>
      <c r="I1591" s="5" t="s">
        <v>5310</v>
      </c>
      <c r="J1591" s="5" t="s">
        <v>9571</v>
      </c>
      <c r="K1591" s="5" t="s">
        <v>9572</v>
      </c>
      <c r="L1591" s="11">
        <v>3</v>
      </c>
      <c r="M1591" s="5"/>
    </row>
    <row r="1592" spans="2:13" ht="37.5" customHeight="1" x14ac:dyDescent="0.35">
      <c r="B1592" s="12">
        <v>80</v>
      </c>
      <c r="C1592" s="7" t="s">
        <v>9523</v>
      </c>
      <c r="D1592" s="12">
        <v>13</v>
      </c>
      <c r="E1592" s="7" t="s">
        <v>9573</v>
      </c>
      <c r="F1592" s="7" t="s">
        <v>9574</v>
      </c>
      <c r="G1592" s="7" t="s">
        <v>1373</v>
      </c>
      <c r="H1592" s="7" t="s">
        <v>5802</v>
      </c>
      <c r="I1592" s="7" t="s">
        <v>55</v>
      </c>
      <c r="J1592" s="7" t="s">
        <v>9575</v>
      </c>
      <c r="K1592" s="7" t="s">
        <v>9576</v>
      </c>
      <c r="L1592" s="12">
        <v>2</v>
      </c>
      <c r="M1592" s="7"/>
    </row>
    <row r="1593" spans="2:13" ht="37.5" customHeight="1" x14ac:dyDescent="0.35">
      <c r="B1593" s="11">
        <v>80</v>
      </c>
      <c r="C1593" s="5" t="s">
        <v>9523</v>
      </c>
      <c r="D1593" s="11">
        <v>14</v>
      </c>
      <c r="E1593" s="5" t="s">
        <v>9577</v>
      </c>
      <c r="F1593" s="5" t="s">
        <v>9578</v>
      </c>
      <c r="G1593" s="5" t="s">
        <v>1560</v>
      </c>
      <c r="H1593" s="5" t="s">
        <v>36</v>
      </c>
      <c r="I1593" s="5" t="s">
        <v>5253</v>
      </c>
      <c r="J1593" s="5" t="s">
        <v>5782</v>
      </c>
      <c r="K1593" s="5" t="s">
        <v>5783</v>
      </c>
      <c r="L1593" s="11">
        <v>1</v>
      </c>
      <c r="M1593" s="5"/>
    </row>
    <row r="1594" spans="2:13" ht="37.5" customHeight="1" x14ac:dyDescent="0.35">
      <c r="B1594" s="12">
        <v>80</v>
      </c>
      <c r="C1594" s="7" t="s">
        <v>9523</v>
      </c>
      <c r="D1594" s="12">
        <v>15</v>
      </c>
      <c r="E1594" s="7" t="s">
        <v>9579</v>
      </c>
      <c r="F1594" s="7" t="s">
        <v>9580</v>
      </c>
      <c r="G1594" s="7" t="s">
        <v>185</v>
      </c>
      <c r="H1594" s="7" t="s">
        <v>1355</v>
      </c>
      <c r="I1594" s="7" t="s">
        <v>7060</v>
      </c>
      <c r="J1594" s="7" t="s">
        <v>9550</v>
      </c>
      <c r="K1594" s="7" t="s">
        <v>9581</v>
      </c>
      <c r="L1594" s="12">
        <v>2</v>
      </c>
      <c r="M1594" s="7"/>
    </row>
    <row r="1595" spans="2:13" ht="37.5" customHeight="1" x14ac:dyDescent="0.35">
      <c r="B1595" s="11">
        <v>80</v>
      </c>
      <c r="C1595" s="5" t="s">
        <v>9523</v>
      </c>
      <c r="D1595" s="11">
        <v>16</v>
      </c>
      <c r="E1595" s="5" t="s">
        <v>9582</v>
      </c>
      <c r="F1595" s="5" t="s">
        <v>9583</v>
      </c>
      <c r="G1595" s="5" t="s">
        <v>25</v>
      </c>
      <c r="H1595" s="5" t="s">
        <v>1355</v>
      </c>
      <c r="I1595" s="5" t="s">
        <v>6867</v>
      </c>
      <c r="J1595" s="5" t="s">
        <v>9550</v>
      </c>
      <c r="K1595" s="5" t="s">
        <v>9584</v>
      </c>
      <c r="L1595" s="11">
        <v>2</v>
      </c>
      <c r="M1595" s="5"/>
    </row>
    <row r="1596" spans="2:13" ht="37.5" customHeight="1" x14ac:dyDescent="0.35">
      <c r="B1596" s="12">
        <v>80</v>
      </c>
      <c r="C1596" s="7" t="s">
        <v>9523</v>
      </c>
      <c r="D1596" s="12">
        <v>17</v>
      </c>
      <c r="E1596" s="7" t="s">
        <v>9585</v>
      </c>
      <c r="F1596" s="7" t="s">
        <v>9586</v>
      </c>
      <c r="G1596" s="7" t="s">
        <v>28</v>
      </c>
      <c r="H1596" s="7" t="s">
        <v>36</v>
      </c>
      <c r="I1596" s="7" t="s">
        <v>48</v>
      </c>
      <c r="J1596" s="7" t="s">
        <v>177</v>
      </c>
      <c r="K1596" s="7" t="s">
        <v>4570</v>
      </c>
      <c r="L1596" s="12">
        <v>1</v>
      </c>
      <c r="M1596" s="7"/>
    </row>
    <row r="1597" spans="2:13" ht="37.5" customHeight="1" x14ac:dyDescent="0.35">
      <c r="B1597" s="11">
        <v>80</v>
      </c>
      <c r="C1597" s="5" t="s">
        <v>9523</v>
      </c>
      <c r="D1597" s="11">
        <v>18</v>
      </c>
      <c r="E1597" s="5" t="s">
        <v>9587</v>
      </c>
      <c r="F1597" s="5" t="s">
        <v>9588</v>
      </c>
      <c r="G1597" s="5" t="s">
        <v>497</v>
      </c>
      <c r="H1597" s="5" t="s">
        <v>1355</v>
      </c>
      <c r="I1597" s="5" t="s">
        <v>9589</v>
      </c>
      <c r="J1597" s="5" t="s">
        <v>9571</v>
      </c>
      <c r="K1597" s="5" t="s">
        <v>9590</v>
      </c>
      <c r="L1597" s="11">
        <v>2</v>
      </c>
      <c r="M1597" s="5"/>
    </row>
    <row r="1598" spans="2:13" ht="37.5" customHeight="1" x14ac:dyDescent="0.35">
      <c r="B1598" s="12">
        <v>80</v>
      </c>
      <c r="C1598" s="7" t="s">
        <v>9523</v>
      </c>
      <c r="D1598" s="12">
        <v>19</v>
      </c>
      <c r="E1598" s="7" t="s">
        <v>9591</v>
      </c>
      <c r="F1598" s="7" t="s">
        <v>9592</v>
      </c>
      <c r="G1598" s="7" t="s">
        <v>27</v>
      </c>
      <c r="H1598" s="7" t="s">
        <v>1521</v>
      </c>
      <c r="I1598" s="7" t="s">
        <v>9589</v>
      </c>
      <c r="J1598" s="7" t="s">
        <v>9571</v>
      </c>
      <c r="K1598" s="7" t="s">
        <v>9593</v>
      </c>
      <c r="L1598" s="12">
        <v>2</v>
      </c>
      <c r="M1598" s="7"/>
    </row>
    <row r="1599" spans="2:13" ht="37.5" customHeight="1" x14ac:dyDescent="0.35">
      <c r="B1599" s="11">
        <v>80</v>
      </c>
      <c r="C1599" s="5" t="s">
        <v>9523</v>
      </c>
      <c r="D1599" s="11">
        <v>20</v>
      </c>
      <c r="E1599" s="5" t="s">
        <v>9594</v>
      </c>
      <c r="F1599" s="5" t="s">
        <v>9595</v>
      </c>
      <c r="G1599" s="5" t="s">
        <v>1235</v>
      </c>
      <c r="H1599" s="5" t="s">
        <v>1355</v>
      </c>
      <c r="I1599" s="5" t="s">
        <v>5310</v>
      </c>
      <c r="J1599" s="5" t="s">
        <v>9550</v>
      </c>
      <c r="K1599" s="5" t="s">
        <v>9596</v>
      </c>
      <c r="L1599" s="11">
        <v>2</v>
      </c>
      <c r="M1599" s="5"/>
    </row>
    <row r="1600" spans="2:13" ht="67.5" customHeight="1" x14ac:dyDescent="0.35">
      <c r="B1600" s="12">
        <v>80</v>
      </c>
      <c r="C1600" s="7" t="s">
        <v>9523</v>
      </c>
      <c r="D1600" s="12">
        <v>21</v>
      </c>
      <c r="E1600" s="7" t="s">
        <v>9597</v>
      </c>
      <c r="F1600" s="7" t="s">
        <v>9598</v>
      </c>
      <c r="G1600" s="7" t="s">
        <v>414</v>
      </c>
      <c r="H1600" s="7" t="s">
        <v>9599</v>
      </c>
      <c r="I1600" s="7" t="s">
        <v>9600</v>
      </c>
      <c r="J1600" s="7" t="s">
        <v>9601</v>
      </c>
      <c r="K1600" s="7" t="s">
        <v>9602</v>
      </c>
      <c r="L1600" s="12">
        <v>4</v>
      </c>
      <c r="M1600" s="7"/>
    </row>
    <row r="1601" spans="2:13" ht="52.5" customHeight="1" x14ac:dyDescent="0.35">
      <c r="B1601" s="11">
        <v>80</v>
      </c>
      <c r="C1601" s="5" t="s">
        <v>9523</v>
      </c>
      <c r="D1601" s="11">
        <v>22</v>
      </c>
      <c r="E1601" s="5" t="s">
        <v>9603</v>
      </c>
      <c r="F1601" s="5" t="s">
        <v>9604</v>
      </c>
      <c r="G1601" s="5" t="s">
        <v>560</v>
      </c>
      <c r="H1601" s="5" t="s">
        <v>5725</v>
      </c>
      <c r="I1601" s="5" t="s">
        <v>9589</v>
      </c>
      <c r="J1601" s="5" t="s">
        <v>9605</v>
      </c>
      <c r="K1601" s="5" t="s">
        <v>9606</v>
      </c>
      <c r="L1601" s="11">
        <v>3</v>
      </c>
      <c r="M1601" s="5"/>
    </row>
    <row r="1602" spans="2:13" ht="37.5" customHeight="1" x14ac:dyDescent="0.35">
      <c r="B1602" s="12">
        <v>80</v>
      </c>
      <c r="C1602" s="7" t="s">
        <v>9523</v>
      </c>
      <c r="D1602" s="12">
        <v>23</v>
      </c>
      <c r="E1602" s="7" t="s">
        <v>9607</v>
      </c>
      <c r="F1602" s="7" t="s">
        <v>9608</v>
      </c>
      <c r="G1602" s="7" t="s">
        <v>698</v>
      </c>
      <c r="H1602" s="7" t="s">
        <v>36</v>
      </c>
      <c r="I1602" s="7" t="s">
        <v>5253</v>
      </c>
      <c r="J1602" s="7" t="s">
        <v>7044</v>
      </c>
      <c r="K1602" s="7" t="s">
        <v>9609</v>
      </c>
      <c r="L1602" s="12">
        <v>1</v>
      </c>
      <c r="M1602" s="7"/>
    </row>
    <row r="1603" spans="2:13" ht="37.5" customHeight="1" x14ac:dyDescent="0.35">
      <c r="B1603" s="11">
        <v>80</v>
      </c>
      <c r="C1603" s="5" t="s">
        <v>9523</v>
      </c>
      <c r="D1603" s="11">
        <v>24</v>
      </c>
      <c r="E1603" s="5" t="s">
        <v>9610</v>
      </c>
      <c r="F1603" s="5" t="s">
        <v>9611</v>
      </c>
      <c r="G1603" s="5" t="s">
        <v>1373</v>
      </c>
      <c r="H1603" s="5" t="s">
        <v>1355</v>
      </c>
      <c r="I1603" s="5" t="s">
        <v>9589</v>
      </c>
      <c r="J1603" s="5" t="s">
        <v>9550</v>
      </c>
      <c r="K1603" s="5" t="s">
        <v>9612</v>
      </c>
      <c r="L1603" s="11">
        <v>2</v>
      </c>
      <c r="M1603" s="5"/>
    </row>
    <row r="1604" spans="2:13" ht="37.5" customHeight="1" x14ac:dyDescent="0.35">
      <c r="B1604" s="12">
        <v>80</v>
      </c>
      <c r="C1604" s="7" t="s">
        <v>9523</v>
      </c>
      <c r="D1604" s="12">
        <v>25</v>
      </c>
      <c r="E1604" s="7" t="s">
        <v>9613</v>
      </c>
      <c r="F1604" s="7" t="s">
        <v>9614</v>
      </c>
      <c r="G1604" s="7" t="s">
        <v>428</v>
      </c>
      <c r="H1604" s="7" t="s">
        <v>36</v>
      </c>
      <c r="I1604" s="7" t="s">
        <v>48</v>
      </c>
      <c r="J1604" s="7" t="s">
        <v>7044</v>
      </c>
      <c r="K1604" s="7" t="s">
        <v>7120</v>
      </c>
      <c r="L1604" s="12">
        <v>1</v>
      </c>
      <c r="M1604" s="7"/>
    </row>
    <row r="1605" spans="2:13" ht="37.5" customHeight="1" x14ac:dyDescent="0.35">
      <c r="B1605" s="11">
        <v>80</v>
      </c>
      <c r="C1605" s="5" t="s">
        <v>9523</v>
      </c>
      <c r="D1605" s="11">
        <v>26</v>
      </c>
      <c r="E1605" s="5" t="s">
        <v>9615</v>
      </c>
      <c r="F1605" s="5" t="s">
        <v>9616</v>
      </c>
      <c r="G1605" s="5" t="s">
        <v>395</v>
      </c>
      <c r="H1605" s="5" t="s">
        <v>36</v>
      </c>
      <c r="I1605" s="5" t="s">
        <v>48</v>
      </c>
      <c r="J1605" s="5" t="s">
        <v>7044</v>
      </c>
      <c r="K1605" s="5" t="s">
        <v>7120</v>
      </c>
      <c r="L1605" s="11">
        <v>1</v>
      </c>
      <c r="M1605" s="5"/>
    </row>
    <row r="1606" spans="2:13" ht="37.5" customHeight="1" x14ac:dyDescent="0.35">
      <c r="B1606" s="12">
        <v>80</v>
      </c>
      <c r="C1606" s="7" t="s">
        <v>9523</v>
      </c>
      <c r="D1606" s="12">
        <v>27</v>
      </c>
      <c r="E1606" s="7" t="s">
        <v>9617</v>
      </c>
      <c r="F1606" s="7" t="s">
        <v>9618</v>
      </c>
      <c r="G1606" s="7" t="s">
        <v>414</v>
      </c>
      <c r="H1606" s="7" t="s">
        <v>1521</v>
      </c>
      <c r="I1606" s="7" t="s">
        <v>9589</v>
      </c>
      <c r="J1606" s="7" t="s">
        <v>9571</v>
      </c>
      <c r="K1606" s="7" t="s">
        <v>9593</v>
      </c>
      <c r="L1606" s="12">
        <v>2</v>
      </c>
      <c r="M1606" s="7"/>
    </row>
    <row r="1607" spans="2:13" ht="21.75" customHeight="1" x14ac:dyDescent="0.35">
      <c r="B1607" s="11">
        <v>80</v>
      </c>
      <c r="C1607" s="5" t="s">
        <v>9523</v>
      </c>
      <c r="D1607" s="11">
        <v>28</v>
      </c>
      <c r="E1607" s="5" t="s">
        <v>9619</v>
      </c>
      <c r="F1607" s="5" t="s">
        <v>9620</v>
      </c>
      <c r="G1607" s="5" t="s">
        <v>531</v>
      </c>
      <c r="H1607" s="5" t="s">
        <v>36</v>
      </c>
      <c r="I1607" s="5" t="s">
        <v>48</v>
      </c>
      <c r="J1607" s="5" t="s">
        <v>7044</v>
      </c>
      <c r="K1607" s="5" t="s">
        <v>7120</v>
      </c>
      <c r="L1607" s="11">
        <v>1</v>
      </c>
      <c r="M1607" s="5"/>
    </row>
    <row r="1608" spans="2:13" ht="37.5" customHeight="1" x14ac:dyDescent="0.35">
      <c r="B1608" s="12">
        <v>80</v>
      </c>
      <c r="C1608" s="7" t="s">
        <v>9523</v>
      </c>
      <c r="D1608" s="12">
        <v>29</v>
      </c>
      <c r="E1608" s="7" t="s">
        <v>9621</v>
      </c>
      <c r="F1608" s="7" t="s">
        <v>9622</v>
      </c>
      <c r="G1608" s="7" t="s">
        <v>625</v>
      </c>
      <c r="H1608" s="7" t="s">
        <v>1521</v>
      </c>
      <c r="I1608" s="7" t="s">
        <v>5294</v>
      </c>
      <c r="J1608" s="7" t="s">
        <v>9550</v>
      </c>
      <c r="K1608" s="7" t="s">
        <v>9623</v>
      </c>
      <c r="L1608" s="12">
        <v>2</v>
      </c>
      <c r="M1608" s="7"/>
    </row>
    <row r="1609" spans="2:13" ht="37.5" customHeight="1" x14ac:dyDescent="0.35">
      <c r="B1609" s="11">
        <v>80</v>
      </c>
      <c r="C1609" s="5" t="s">
        <v>9523</v>
      </c>
      <c r="D1609" s="11">
        <v>30</v>
      </c>
      <c r="E1609" s="5" t="s">
        <v>9624</v>
      </c>
      <c r="F1609" s="5" t="s">
        <v>9625</v>
      </c>
      <c r="G1609" s="5" t="s">
        <v>31</v>
      </c>
      <c r="H1609" s="5" t="s">
        <v>1167</v>
      </c>
      <c r="I1609" s="5" t="s">
        <v>6030</v>
      </c>
      <c r="J1609" s="5" t="s">
        <v>9626</v>
      </c>
      <c r="K1609" s="5" t="s">
        <v>9627</v>
      </c>
      <c r="L1609" s="11">
        <v>2</v>
      </c>
      <c r="M1609" s="5"/>
    </row>
    <row r="1610" spans="2:13" ht="21.75" customHeight="1" x14ac:dyDescent="0.35">
      <c r="B1610" s="12">
        <v>80</v>
      </c>
      <c r="C1610" s="7" t="s">
        <v>9523</v>
      </c>
      <c r="D1610" s="12">
        <v>31</v>
      </c>
      <c r="E1610" s="7" t="s">
        <v>9628</v>
      </c>
      <c r="F1610" s="7" t="s">
        <v>9629</v>
      </c>
      <c r="G1610" s="7" t="s">
        <v>384</v>
      </c>
      <c r="H1610" s="7" t="s">
        <v>36</v>
      </c>
      <c r="I1610" s="7" t="s">
        <v>48</v>
      </c>
      <c r="J1610" s="7" t="s">
        <v>7044</v>
      </c>
      <c r="K1610" s="7" t="s">
        <v>7120</v>
      </c>
      <c r="L1610" s="12">
        <v>1</v>
      </c>
      <c r="M1610" s="7"/>
    </row>
    <row r="1611" spans="2:13" ht="37.5" customHeight="1" x14ac:dyDescent="0.35">
      <c r="B1611" s="11">
        <v>80</v>
      </c>
      <c r="C1611" s="5" t="s">
        <v>9523</v>
      </c>
      <c r="D1611" s="11">
        <v>32</v>
      </c>
      <c r="E1611" s="5" t="s">
        <v>9630</v>
      </c>
      <c r="F1611" s="5" t="s">
        <v>9631</v>
      </c>
      <c r="G1611" s="5" t="s">
        <v>531</v>
      </c>
      <c r="H1611" s="5" t="s">
        <v>1521</v>
      </c>
      <c r="I1611" s="5" t="s">
        <v>5310</v>
      </c>
      <c r="J1611" s="5" t="s">
        <v>9632</v>
      </c>
      <c r="K1611" s="5" t="s">
        <v>9633</v>
      </c>
      <c r="L1611" s="11">
        <v>2</v>
      </c>
      <c r="M1611" s="5"/>
    </row>
    <row r="1612" spans="2:13" ht="37.5" customHeight="1" x14ac:dyDescent="0.35">
      <c r="B1612" s="12">
        <v>80</v>
      </c>
      <c r="C1612" s="7" t="s">
        <v>9523</v>
      </c>
      <c r="D1612" s="12">
        <v>33</v>
      </c>
      <c r="E1612" s="7" t="s">
        <v>9634</v>
      </c>
      <c r="F1612" s="7" t="s">
        <v>9635</v>
      </c>
      <c r="G1612" s="7" t="s">
        <v>9636</v>
      </c>
      <c r="H1612" s="7" t="s">
        <v>1521</v>
      </c>
      <c r="I1612" s="7" t="s">
        <v>5310</v>
      </c>
      <c r="J1612" s="7" t="s">
        <v>9637</v>
      </c>
      <c r="K1612" s="7" t="s">
        <v>9638</v>
      </c>
      <c r="L1612" s="12">
        <v>2</v>
      </c>
      <c r="M1612" s="7"/>
    </row>
    <row r="1613" spans="2:13" ht="37.5" customHeight="1" x14ac:dyDescent="0.35">
      <c r="B1613" s="11">
        <v>80</v>
      </c>
      <c r="C1613" s="5" t="s">
        <v>9523</v>
      </c>
      <c r="D1613" s="11">
        <v>34</v>
      </c>
      <c r="E1613" s="5" t="s">
        <v>9639</v>
      </c>
      <c r="F1613" s="5" t="s">
        <v>9640</v>
      </c>
      <c r="G1613" s="5" t="s">
        <v>648</v>
      </c>
      <c r="H1613" s="5" t="s">
        <v>36</v>
      </c>
      <c r="I1613" s="5" t="s">
        <v>48</v>
      </c>
      <c r="J1613" s="5" t="s">
        <v>5782</v>
      </c>
      <c r="K1613" s="5" t="s">
        <v>5796</v>
      </c>
      <c r="L1613" s="11">
        <v>1</v>
      </c>
      <c r="M1613" s="5"/>
    </row>
    <row r="1614" spans="2:13" ht="21.75" customHeight="1" x14ac:dyDescent="0.35">
      <c r="B1614" s="12">
        <v>80</v>
      </c>
      <c r="C1614" s="7" t="s">
        <v>9523</v>
      </c>
      <c r="D1614" s="12">
        <v>35</v>
      </c>
      <c r="E1614" s="7" t="s">
        <v>9641</v>
      </c>
      <c r="F1614" s="7" t="s">
        <v>9642</v>
      </c>
      <c r="G1614" s="7" t="s">
        <v>1680</v>
      </c>
      <c r="H1614" s="7" t="s">
        <v>36</v>
      </c>
      <c r="I1614" s="7" t="s">
        <v>48</v>
      </c>
      <c r="J1614" s="7" t="s">
        <v>7044</v>
      </c>
      <c r="K1614" s="7" t="s">
        <v>7120</v>
      </c>
      <c r="L1614" s="12">
        <v>1</v>
      </c>
      <c r="M1614" s="7"/>
    </row>
    <row r="1615" spans="2:13" ht="21.75" customHeight="1" x14ac:dyDescent="0.35">
      <c r="B1615" s="11">
        <v>80</v>
      </c>
      <c r="C1615" s="5" t="s">
        <v>9523</v>
      </c>
      <c r="D1615" s="11">
        <v>36</v>
      </c>
      <c r="E1615" s="5" t="s">
        <v>9643</v>
      </c>
      <c r="F1615" s="5" t="s">
        <v>9644</v>
      </c>
      <c r="G1615" s="5" t="s">
        <v>445</v>
      </c>
      <c r="H1615" s="5" t="s">
        <v>36</v>
      </c>
      <c r="I1615" s="5" t="s">
        <v>48</v>
      </c>
      <c r="J1615" s="5" t="s">
        <v>7044</v>
      </c>
      <c r="K1615" s="5" t="s">
        <v>7120</v>
      </c>
      <c r="L1615" s="11">
        <v>1</v>
      </c>
      <c r="M1615" s="5"/>
    </row>
    <row r="1616" spans="2:13" ht="21.75" customHeight="1" x14ac:dyDescent="0.35">
      <c r="B1616" s="12">
        <v>80</v>
      </c>
      <c r="C1616" s="7" t="s">
        <v>9523</v>
      </c>
      <c r="D1616" s="12">
        <v>37</v>
      </c>
      <c r="E1616" s="7" t="s">
        <v>9645</v>
      </c>
      <c r="F1616" s="7" t="s">
        <v>9646</v>
      </c>
      <c r="G1616" s="7" t="s">
        <v>810</v>
      </c>
      <c r="H1616" s="7" t="s">
        <v>36</v>
      </c>
      <c r="I1616" s="7" t="s">
        <v>48</v>
      </c>
      <c r="J1616" s="7" t="s">
        <v>5782</v>
      </c>
      <c r="K1616" s="7" t="s">
        <v>5796</v>
      </c>
      <c r="L1616" s="12">
        <v>1</v>
      </c>
      <c r="M1616" s="7"/>
    </row>
    <row r="1617" spans="2:13" ht="21.75" customHeight="1" x14ac:dyDescent="0.35">
      <c r="B1617" s="11">
        <v>80</v>
      </c>
      <c r="C1617" s="5" t="s">
        <v>9523</v>
      </c>
      <c r="D1617" s="11">
        <v>38</v>
      </c>
      <c r="E1617" s="5" t="s">
        <v>9647</v>
      </c>
      <c r="F1617" s="5" t="s">
        <v>9648</v>
      </c>
      <c r="G1617" s="5" t="s">
        <v>810</v>
      </c>
      <c r="H1617" s="5" t="s">
        <v>36</v>
      </c>
      <c r="I1617" s="5" t="s">
        <v>48</v>
      </c>
      <c r="J1617" s="5" t="s">
        <v>7044</v>
      </c>
      <c r="K1617" s="5" t="s">
        <v>7120</v>
      </c>
      <c r="L1617" s="11">
        <v>1</v>
      </c>
      <c r="M1617" s="5"/>
    </row>
    <row r="1618" spans="2:13" ht="37.5" customHeight="1" x14ac:dyDescent="0.35">
      <c r="B1618" s="12">
        <v>80</v>
      </c>
      <c r="C1618" s="7" t="s">
        <v>9523</v>
      </c>
      <c r="D1618" s="12">
        <v>39</v>
      </c>
      <c r="E1618" s="7" t="s">
        <v>9649</v>
      </c>
      <c r="F1618" s="7" t="s">
        <v>9650</v>
      </c>
      <c r="G1618" s="7" t="s">
        <v>1235</v>
      </c>
      <c r="H1618" s="7" t="s">
        <v>1355</v>
      </c>
      <c r="I1618" s="7" t="s">
        <v>9651</v>
      </c>
      <c r="J1618" s="7" t="s">
        <v>9652</v>
      </c>
      <c r="K1618" s="7" t="s">
        <v>9653</v>
      </c>
      <c r="L1618" s="12">
        <v>2</v>
      </c>
      <c r="M1618" s="7"/>
    </row>
    <row r="1619" spans="2:13" ht="37.5" customHeight="1" x14ac:dyDescent="0.35">
      <c r="B1619" s="11">
        <v>80</v>
      </c>
      <c r="C1619" s="5" t="s">
        <v>9523</v>
      </c>
      <c r="D1619" s="11">
        <v>40</v>
      </c>
      <c r="E1619" s="5" t="s">
        <v>9654</v>
      </c>
      <c r="F1619" s="5" t="s">
        <v>9655</v>
      </c>
      <c r="G1619" s="5" t="s">
        <v>282</v>
      </c>
      <c r="H1619" s="5" t="s">
        <v>36</v>
      </c>
      <c r="I1619" s="5" t="s">
        <v>1885</v>
      </c>
      <c r="J1619" s="5" t="s">
        <v>7044</v>
      </c>
      <c r="K1619" s="5" t="s">
        <v>7045</v>
      </c>
      <c r="L1619" s="11">
        <v>1</v>
      </c>
      <c r="M1619" s="5"/>
    </row>
    <row r="1620" spans="2:13" ht="37.5" customHeight="1" x14ac:dyDescent="0.35">
      <c r="B1620" s="12">
        <v>80</v>
      </c>
      <c r="C1620" s="7" t="s">
        <v>9523</v>
      </c>
      <c r="D1620" s="12">
        <v>41</v>
      </c>
      <c r="E1620" s="7" t="s">
        <v>9656</v>
      </c>
      <c r="F1620" s="7" t="s">
        <v>9657</v>
      </c>
      <c r="G1620" s="7" t="s">
        <v>552</v>
      </c>
      <c r="H1620" s="7" t="s">
        <v>36</v>
      </c>
      <c r="I1620" s="7" t="s">
        <v>1885</v>
      </c>
      <c r="J1620" s="7" t="s">
        <v>5782</v>
      </c>
      <c r="K1620" s="7" t="s">
        <v>5981</v>
      </c>
      <c r="L1620" s="12">
        <v>1</v>
      </c>
      <c r="M1620" s="7"/>
    </row>
    <row r="1621" spans="2:13" ht="37.5" customHeight="1" x14ac:dyDescent="0.35">
      <c r="B1621" s="11">
        <v>80</v>
      </c>
      <c r="C1621" s="5" t="s">
        <v>9523</v>
      </c>
      <c r="D1621" s="11" t="s">
        <v>9658</v>
      </c>
      <c r="E1621" s="5" t="s">
        <v>9659</v>
      </c>
      <c r="F1621" s="5" t="s">
        <v>9660</v>
      </c>
      <c r="G1621" s="5" t="s">
        <v>552</v>
      </c>
      <c r="H1621" s="5" t="s">
        <v>36</v>
      </c>
      <c r="I1621" s="5" t="s">
        <v>48</v>
      </c>
      <c r="J1621" s="5" t="s">
        <v>7044</v>
      </c>
      <c r="K1621" s="5" t="s">
        <v>7120</v>
      </c>
      <c r="L1621" s="11">
        <v>1</v>
      </c>
      <c r="M1621" s="5"/>
    </row>
    <row r="1622" spans="2:13" ht="37.5" customHeight="1" x14ac:dyDescent="0.35">
      <c r="B1622" s="12">
        <v>80</v>
      </c>
      <c r="C1622" s="7" t="s">
        <v>9523</v>
      </c>
      <c r="D1622" s="12"/>
      <c r="E1622" s="7" t="s">
        <v>9661</v>
      </c>
      <c r="F1622" s="7" t="s">
        <v>9662</v>
      </c>
      <c r="G1622" s="7" t="s">
        <v>6090</v>
      </c>
      <c r="H1622" s="7" t="s">
        <v>36</v>
      </c>
      <c r="I1622" s="7" t="s">
        <v>48</v>
      </c>
      <c r="J1622" s="7" t="s">
        <v>7044</v>
      </c>
      <c r="K1622" s="7" t="s">
        <v>7120</v>
      </c>
      <c r="L1622" s="12">
        <v>1</v>
      </c>
      <c r="M1622" s="7"/>
    </row>
    <row r="1623" spans="2:13" ht="37.5" customHeight="1" x14ac:dyDescent="0.35">
      <c r="B1623" s="11">
        <v>80</v>
      </c>
      <c r="C1623" s="5" t="s">
        <v>9523</v>
      </c>
      <c r="D1623" s="11">
        <v>44</v>
      </c>
      <c r="E1623" s="5" t="s">
        <v>9663</v>
      </c>
      <c r="F1623" s="5" t="s">
        <v>9664</v>
      </c>
      <c r="G1623" s="5" t="s">
        <v>33</v>
      </c>
      <c r="H1623" s="5" t="s">
        <v>36</v>
      </c>
      <c r="I1623" s="5" t="s">
        <v>48</v>
      </c>
      <c r="J1623" s="5" t="s">
        <v>7044</v>
      </c>
      <c r="K1623" s="5" t="s">
        <v>7120</v>
      </c>
      <c r="L1623" s="11">
        <v>1</v>
      </c>
      <c r="M1623" s="5"/>
    </row>
    <row r="1624" spans="2:13" ht="37.5" customHeight="1" x14ac:dyDescent="0.35">
      <c r="B1624" s="12">
        <v>80</v>
      </c>
      <c r="C1624" s="7" t="s">
        <v>9523</v>
      </c>
      <c r="D1624" s="12">
        <v>45</v>
      </c>
      <c r="E1624" s="7" t="s">
        <v>9665</v>
      </c>
      <c r="F1624" s="7" t="s">
        <v>9666</v>
      </c>
      <c r="G1624" s="7" t="s">
        <v>1226</v>
      </c>
      <c r="H1624" s="7" t="s">
        <v>6394</v>
      </c>
      <c r="I1624" s="7" t="s">
        <v>6922</v>
      </c>
      <c r="J1624" s="7" t="s">
        <v>7148</v>
      </c>
      <c r="K1624" s="7" t="s">
        <v>9667</v>
      </c>
      <c r="L1624" s="12">
        <v>2</v>
      </c>
      <c r="M1624" s="7"/>
    </row>
    <row r="1625" spans="2:13" ht="37.5" customHeight="1" x14ac:dyDescent="0.35">
      <c r="B1625" s="11">
        <v>80</v>
      </c>
      <c r="C1625" s="5" t="s">
        <v>9523</v>
      </c>
      <c r="D1625" s="11">
        <v>46</v>
      </c>
      <c r="E1625" s="5" t="s">
        <v>9668</v>
      </c>
      <c r="F1625" s="5" t="s">
        <v>9669</v>
      </c>
      <c r="G1625" s="5" t="s">
        <v>439</v>
      </c>
      <c r="H1625" s="5" t="s">
        <v>1355</v>
      </c>
      <c r="I1625" s="5" t="s">
        <v>5310</v>
      </c>
      <c r="J1625" s="5" t="s">
        <v>9550</v>
      </c>
      <c r="K1625" s="5" t="s">
        <v>9596</v>
      </c>
      <c r="L1625" s="11">
        <v>2</v>
      </c>
      <c r="M1625" s="5"/>
    </row>
    <row r="1626" spans="2:13" ht="37.5" customHeight="1" x14ac:dyDescent="0.35">
      <c r="B1626" s="12">
        <v>80</v>
      </c>
      <c r="C1626" s="7" t="s">
        <v>9523</v>
      </c>
      <c r="D1626" s="12">
        <v>47</v>
      </c>
      <c r="E1626" s="7" t="s">
        <v>9670</v>
      </c>
      <c r="F1626" s="7" t="s">
        <v>9671</v>
      </c>
      <c r="G1626" s="7" t="s">
        <v>2685</v>
      </c>
      <c r="H1626" s="7" t="s">
        <v>42</v>
      </c>
      <c r="I1626" s="7" t="s">
        <v>7348</v>
      </c>
      <c r="J1626" s="7" t="s">
        <v>1903</v>
      </c>
      <c r="K1626" s="7" t="s">
        <v>7349</v>
      </c>
      <c r="L1626" s="12">
        <v>1</v>
      </c>
      <c r="M1626" s="7"/>
    </row>
    <row r="1627" spans="2:13" ht="37.5" customHeight="1" x14ac:dyDescent="0.35">
      <c r="B1627" s="11">
        <v>80</v>
      </c>
      <c r="C1627" s="5" t="s">
        <v>9523</v>
      </c>
      <c r="D1627" s="11">
        <v>48</v>
      </c>
      <c r="E1627" s="5" t="s">
        <v>9672</v>
      </c>
      <c r="F1627" s="5" t="s">
        <v>9673</v>
      </c>
      <c r="G1627" s="5" t="s">
        <v>825</v>
      </c>
      <c r="H1627" s="5" t="s">
        <v>36</v>
      </c>
      <c r="I1627" s="5" t="s">
        <v>48</v>
      </c>
      <c r="J1627" s="5" t="s">
        <v>7044</v>
      </c>
      <c r="K1627" s="5" t="s">
        <v>7120</v>
      </c>
      <c r="L1627" s="11">
        <v>1</v>
      </c>
      <c r="M1627" s="5"/>
    </row>
    <row r="1628" spans="2:13" ht="37.5" customHeight="1" x14ac:dyDescent="0.35">
      <c r="B1628" s="12">
        <v>80</v>
      </c>
      <c r="C1628" s="7" t="s">
        <v>9523</v>
      </c>
      <c r="D1628" s="12">
        <v>49</v>
      </c>
      <c r="E1628" s="7" t="s">
        <v>9674</v>
      </c>
      <c r="F1628" s="7" t="s">
        <v>9675</v>
      </c>
      <c r="G1628" s="7" t="s">
        <v>414</v>
      </c>
      <c r="H1628" s="7" t="s">
        <v>36</v>
      </c>
      <c r="I1628" s="7" t="s">
        <v>5536</v>
      </c>
      <c r="J1628" s="7" t="s">
        <v>5782</v>
      </c>
      <c r="K1628" s="7" t="s">
        <v>5994</v>
      </c>
      <c r="L1628" s="12">
        <v>2</v>
      </c>
      <c r="M1628" s="7"/>
    </row>
    <row r="1629" spans="2:13" ht="37.5" customHeight="1" x14ac:dyDescent="0.35">
      <c r="B1629" s="11">
        <v>80</v>
      </c>
      <c r="C1629" s="5" t="s">
        <v>9523</v>
      </c>
      <c r="D1629" s="11">
        <v>50</v>
      </c>
      <c r="E1629" s="5" t="s">
        <v>9676</v>
      </c>
      <c r="F1629" s="5" t="s">
        <v>9677</v>
      </c>
      <c r="G1629" s="5" t="s">
        <v>282</v>
      </c>
      <c r="H1629" s="5" t="s">
        <v>36</v>
      </c>
      <c r="I1629" s="5" t="s">
        <v>1885</v>
      </c>
      <c r="J1629" s="5" t="s">
        <v>5782</v>
      </c>
      <c r="K1629" s="5" t="s">
        <v>5981</v>
      </c>
      <c r="L1629" s="11">
        <v>1</v>
      </c>
      <c r="M1629" s="5"/>
    </row>
    <row r="1630" spans="2:13" ht="37.5" customHeight="1" x14ac:dyDescent="0.35">
      <c r="B1630" s="12">
        <v>80</v>
      </c>
      <c r="C1630" s="7" t="s">
        <v>9523</v>
      </c>
      <c r="D1630" s="12">
        <v>51</v>
      </c>
      <c r="E1630" s="7" t="s">
        <v>9678</v>
      </c>
      <c r="F1630" s="7" t="s">
        <v>9679</v>
      </c>
      <c r="G1630" s="7" t="s">
        <v>9680</v>
      </c>
      <c r="H1630" s="7" t="s">
        <v>1521</v>
      </c>
      <c r="I1630" s="7" t="s">
        <v>5310</v>
      </c>
      <c r="J1630" s="7" t="s">
        <v>9550</v>
      </c>
      <c r="K1630" s="7" t="s">
        <v>9681</v>
      </c>
      <c r="L1630" s="12">
        <v>2</v>
      </c>
      <c r="M1630" s="7"/>
    </row>
    <row r="1631" spans="2:13" ht="21.75" customHeight="1" x14ac:dyDescent="0.35">
      <c r="B1631" s="11">
        <v>80</v>
      </c>
      <c r="C1631" s="5" t="s">
        <v>9523</v>
      </c>
      <c r="D1631" s="11">
        <v>52</v>
      </c>
      <c r="E1631" s="5" t="s">
        <v>9682</v>
      </c>
      <c r="F1631" s="5" t="s">
        <v>9683</v>
      </c>
      <c r="G1631" s="5" t="s">
        <v>212</v>
      </c>
      <c r="H1631" s="5" t="s">
        <v>36</v>
      </c>
      <c r="I1631" s="5" t="s">
        <v>48</v>
      </c>
      <c r="J1631" s="5" t="s">
        <v>7044</v>
      </c>
      <c r="K1631" s="5" t="s">
        <v>7120</v>
      </c>
      <c r="L1631" s="11">
        <v>1</v>
      </c>
      <c r="M1631" s="5"/>
    </row>
    <row r="1632" spans="2:13" ht="37.5" customHeight="1" x14ac:dyDescent="0.35">
      <c r="B1632" s="12">
        <v>80</v>
      </c>
      <c r="C1632" s="7" t="s">
        <v>9523</v>
      </c>
      <c r="D1632" s="12">
        <v>53</v>
      </c>
      <c r="E1632" s="7" t="s">
        <v>9684</v>
      </c>
      <c r="F1632" s="7" t="s">
        <v>9685</v>
      </c>
      <c r="G1632" s="7" t="s">
        <v>33</v>
      </c>
      <c r="H1632" s="7" t="s">
        <v>36</v>
      </c>
      <c r="I1632" s="7" t="s">
        <v>1885</v>
      </c>
      <c r="J1632" s="7" t="s">
        <v>5782</v>
      </c>
      <c r="K1632" s="7" t="s">
        <v>5981</v>
      </c>
      <c r="L1632" s="12">
        <v>1</v>
      </c>
      <c r="M1632" s="7"/>
    </row>
    <row r="1633" spans="2:13" ht="37.5" customHeight="1" x14ac:dyDescent="0.35">
      <c r="B1633" s="11">
        <v>80</v>
      </c>
      <c r="C1633" s="5" t="s">
        <v>9523</v>
      </c>
      <c r="D1633" s="11">
        <v>54</v>
      </c>
      <c r="E1633" s="5" t="s">
        <v>9686</v>
      </c>
      <c r="F1633" s="5" t="s">
        <v>9687</v>
      </c>
      <c r="G1633" s="5" t="s">
        <v>560</v>
      </c>
      <c r="H1633" s="5" t="s">
        <v>36</v>
      </c>
      <c r="I1633" s="5" t="s">
        <v>48</v>
      </c>
      <c r="J1633" s="5" t="s">
        <v>7044</v>
      </c>
      <c r="K1633" s="5" t="s">
        <v>7120</v>
      </c>
      <c r="L1633" s="11">
        <v>1</v>
      </c>
      <c r="M1633" s="5"/>
    </row>
    <row r="1634" spans="2:13" ht="37.5" customHeight="1" x14ac:dyDescent="0.35">
      <c r="B1634" s="12">
        <v>80</v>
      </c>
      <c r="C1634" s="7" t="s">
        <v>9523</v>
      </c>
      <c r="D1634" s="12">
        <v>55</v>
      </c>
      <c r="E1634" s="7" t="s">
        <v>9688</v>
      </c>
      <c r="F1634" s="7" t="s">
        <v>9689</v>
      </c>
      <c r="G1634" s="7" t="s">
        <v>701</v>
      </c>
      <c r="H1634" s="7" t="s">
        <v>36</v>
      </c>
      <c r="I1634" s="7" t="s">
        <v>48</v>
      </c>
      <c r="J1634" s="7" t="s">
        <v>7044</v>
      </c>
      <c r="K1634" s="7" t="s">
        <v>7120</v>
      </c>
      <c r="L1634" s="12">
        <v>1</v>
      </c>
      <c r="M1634" s="7"/>
    </row>
    <row r="1635" spans="2:13" ht="37.5" customHeight="1" x14ac:dyDescent="0.35">
      <c r="B1635" s="11">
        <v>80</v>
      </c>
      <c r="C1635" s="5" t="s">
        <v>9523</v>
      </c>
      <c r="D1635" s="11">
        <v>56</v>
      </c>
      <c r="E1635" s="5" t="s">
        <v>9690</v>
      </c>
      <c r="F1635" s="5" t="s">
        <v>9691</v>
      </c>
      <c r="G1635" s="5" t="s">
        <v>865</v>
      </c>
      <c r="H1635" s="5" t="s">
        <v>36</v>
      </c>
      <c r="I1635" s="5" t="s">
        <v>48</v>
      </c>
      <c r="J1635" s="5" t="s">
        <v>7044</v>
      </c>
      <c r="K1635" s="5" t="s">
        <v>7120</v>
      </c>
      <c r="L1635" s="11">
        <v>1</v>
      </c>
      <c r="M1635" s="5"/>
    </row>
    <row r="1636" spans="2:13" ht="37.5" customHeight="1" x14ac:dyDescent="0.35">
      <c r="B1636" s="12">
        <v>80</v>
      </c>
      <c r="C1636" s="7" t="s">
        <v>9523</v>
      </c>
      <c r="D1636" s="12">
        <v>57</v>
      </c>
      <c r="E1636" s="7" t="s">
        <v>9692</v>
      </c>
      <c r="F1636" s="7" t="s">
        <v>9693</v>
      </c>
      <c r="G1636" s="7" t="s">
        <v>513</v>
      </c>
      <c r="H1636" s="7" t="s">
        <v>36</v>
      </c>
      <c r="I1636" s="7" t="s">
        <v>48</v>
      </c>
      <c r="J1636" s="7" t="s">
        <v>7044</v>
      </c>
      <c r="K1636" s="7" t="s">
        <v>7120</v>
      </c>
      <c r="L1636" s="12">
        <v>1</v>
      </c>
      <c r="M1636" s="7"/>
    </row>
    <row r="1637" spans="2:13" ht="21.75" customHeight="1" x14ac:dyDescent="0.35">
      <c r="B1637" s="11">
        <v>80</v>
      </c>
      <c r="C1637" s="5" t="s">
        <v>9523</v>
      </c>
      <c r="D1637" s="11">
        <v>58</v>
      </c>
      <c r="E1637" s="5" t="s">
        <v>9694</v>
      </c>
      <c r="F1637" s="5" t="s">
        <v>9695</v>
      </c>
      <c r="G1637" s="5" t="s">
        <v>1661</v>
      </c>
      <c r="H1637" s="5" t="s">
        <v>36</v>
      </c>
      <c r="I1637" s="5" t="s">
        <v>48</v>
      </c>
      <c r="J1637" s="5" t="s">
        <v>7044</v>
      </c>
      <c r="K1637" s="5" t="s">
        <v>7120</v>
      </c>
      <c r="L1637" s="11">
        <v>1</v>
      </c>
      <c r="M1637" s="5"/>
    </row>
    <row r="1638" spans="2:13" ht="21.75" customHeight="1" x14ac:dyDescent="0.35">
      <c r="B1638" s="12">
        <v>80</v>
      </c>
      <c r="C1638" s="7" t="s">
        <v>9523</v>
      </c>
      <c r="D1638" s="12">
        <v>59</v>
      </c>
      <c r="E1638" s="7" t="s">
        <v>9696</v>
      </c>
      <c r="F1638" s="7" t="s">
        <v>9697</v>
      </c>
      <c r="G1638" s="7" t="s">
        <v>4908</v>
      </c>
      <c r="H1638" s="7" t="s">
        <v>36</v>
      </c>
      <c r="I1638" s="7" t="s">
        <v>48</v>
      </c>
      <c r="J1638" s="7" t="s">
        <v>7044</v>
      </c>
      <c r="K1638" s="7" t="s">
        <v>7120</v>
      </c>
      <c r="L1638" s="12">
        <v>1</v>
      </c>
      <c r="M1638" s="7"/>
    </row>
    <row r="1639" spans="2:13" ht="21.75" customHeight="1" x14ac:dyDescent="0.35">
      <c r="B1639" s="11">
        <v>80</v>
      </c>
      <c r="C1639" s="5" t="s">
        <v>9523</v>
      </c>
      <c r="D1639" s="11">
        <v>60</v>
      </c>
      <c r="E1639" s="5" t="s">
        <v>9698</v>
      </c>
      <c r="F1639" s="5" t="s">
        <v>9699</v>
      </c>
      <c r="G1639" s="5" t="s">
        <v>2229</v>
      </c>
      <c r="H1639" s="5" t="s">
        <v>36</v>
      </c>
      <c r="I1639" s="5" t="s">
        <v>48</v>
      </c>
      <c r="J1639" s="5" t="s">
        <v>7044</v>
      </c>
      <c r="K1639" s="5" t="s">
        <v>7120</v>
      </c>
      <c r="L1639" s="11">
        <v>1</v>
      </c>
      <c r="M1639" s="5"/>
    </row>
    <row r="1640" spans="2:13" ht="37.5" customHeight="1" x14ac:dyDescent="0.35">
      <c r="B1640" s="12">
        <v>80</v>
      </c>
      <c r="C1640" s="7" t="s">
        <v>9523</v>
      </c>
      <c r="D1640" s="12">
        <v>61</v>
      </c>
      <c r="E1640" s="7" t="s">
        <v>9700</v>
      </c>
      <c r="F1640" s="7" t="s">
        <v>9701</v>
      </c>
      <c r="G1640" s="7" t="s">
        <v>31</v>
      </c>
      <c r="H1640" s="7" t="s">
        <v>38</v>
      </c>
      <c r="I1640" s="7" t="s">
        <v>268</v>
      </c>
      <c r="J1640" s="7" t="s">
        <v>5782</v>
      </c>
      <c r="K1640" s="7" t="s">
        <v>5965</v>
      </c>
      <c r="L1640" s="12">
        <v>1</v>
      </c>
      <c r="M1640" s="7"/>
    </row>
    <row r="1641" spans="2:13" ht="21.75" customHeight="1" x14ac:dyDescent="0.35">
      <c r="B1641" s="11">
        <v>80</v>
      </c>
      <c r="C1641" s="5" t="s">
        <v>9523</v>
      </c>
      <c r="D1641" s="11">
        <v>62</v>
      </c>
      <c r="E1641" s="5" t="s">
        <v>9702</v>
      </c>
      <c r="F1641" s="5" t="s">
        <v>9703</v>
      </c>
      <c r="G1641" s="5" t="s">
        <v>402</v>
      </c>
      <c r="H1641" s="5" t="s">
        <v>37</v>
      </c>
      <c r="I1641" s="5" t="s">
        <v>51</v>
      </c>
      <c r="J1641" s="5" t="s">
        <v>177</v>
      </c>
      <c r="K1641" s="5" t="s">
        <v>5517</v>
      </c>
      <c r="L1641" s="11">
        <v>1</v>
      </c>
      <c r="M1641" s="5"/>
    </row>
    <row r="1642" spans="2:13" ht="21.75" customHeight="1" x14ac:dyDescent="0.35">
      <c r="B1642" s="12">
        <v>80</v>
      </c>
      <c r="C1642" s="7" t="s">
        <v>9523</v>
      </c>
      <c r="D1642" s="12">
        <v>63</v>
      </c>
      <c r="E1642" s="7" t="s">
        <v>9704</v>
      </c>
      <c r="F1642" s="7" t="s">
        <v>9705</v>
      </c>
      <c r="G1642" s="7" t="s">
        <v>32</v>
      </c>
      <c r="H1642" s="7" t="s">
        <v>36</v>
      </c>
      <c r="I1642" s="7" t="s">
        <v>48</v>
      </c>
      <c r="J1642" s="7" t="s">
        <v>7044</v>
      </c>
      <c r="K1642" s="7" t="s">
        <v>7120</v>
      </c>
      <c r="L1642" s="12">
        <v>1</v>
      </c>
      <c r="M1642" s="7"/>
    </row>
    <row r="1643" spans="2:13" ht="21.75" customHeight="1" x14ac:dyDescent="0.35">
      <c r="B1643" s="11">
        <v>80</v>
      </c>
      <c r="C1643" s="5" t="s">
        <v>9523</v>
      </c>
      <c r="D1643" s="11">
        <v>64</v>
      </c>
      <c r="E1643" s="5" t="s">
        <v>9706</v>
      </c>
      <c r="F1643" s="5" t="s">
        <v>9707</v>
      </c>
      <c r="G1643" s="5" t="s">
        <v>26</v>
      </c>
      <c r="H1643" s="5" t="s">
        <v>36</v>
      </c>
      <c r="I1643" s="5" t="s">
        <v>48</v>
      </c>
      <c r="J1643" s="5" t="s">
        <v>7044</v>
      </c>
      <c r="K1643" s="5" t="s">
        <v>7120</v>
      </c>
      <c r="L1643" s="11">
        <v>1</v>
      </c>
      <c r="M1643" s="5"/>
    </row>
    <row r="1644" spans="2:13" ht="21.75" customHeight="1" x14ac:dyDescent="0.35">
      <c r="B1644" s="12">
        <v>80</v>
      </c>
      <c r="C1644" s="7" t="s">
        <v>9523</v>
      </c>
      <c r="D1644" s="12">
        <v>65</v>
      </c>
      <c r="E1644" s="7" t="s">
        <v>9708</v>
      </c>
      <c r="F1644" s="7" t="s">
        <v>9709</v>
      </c>
      <c r="G1644" s="7" t="s">
        <v>2850</v>
      </c>
      <c r="H1644" s="7" t="s">
        <v>36</v>
      </c>
      <c r="I1644" s="7" t="s">
        <v>5409</v>
      </c>
      <c r="J1644" s="7" t="s">
        <v>7044</v>
      </c>
      <c r="K1644" s="7" t="s">
        <v>7265</v>
      </c>
      <c r="L1644" s="12">
        <v>1</v>
      </c>
      <c r="M1644" s="7"/>
    </row>
    <row r="1645" spans="2:13" ht="37.5" customHeight="1" x14ac:dyDescent="0.35">
      <c r="B1645" s="11">
        <v>80</v>
      </c>
      <c r="C1645" s="5" t="s">
        <v>9523</v>
      </c>
      <c r="D1645" s="11">
        <v>66</v>
      </c>
      <c r="E1645" s="5" t="s">
        <v>9710</v>
      </c>
      <c r="F1645" s="5" t="s">
        <v>9711</v>
      </c>
      <c r="G1645" s="5" t="s">
        <v>212</v>
      </c>
      <c r="H1645" s="5" t="s">
        <v>1521</v>
      </c>
      <c r="I1645" s="5" t="s">
        <v>9712</v>
      </c>
      <c r="J1645" s="5" t="s">
        <v>5960</v>
      </c>
      <c r="K1645" s="5" t="s">
        <v>9713</v>
      </c>
      <c r="L1645" s="11">
        <v>2</v>
      </c>
      <c r="M1645" s="5"/>
    </row>
    <row r="1646" spans="2:13" ht="21.75" customHeight="1" x14ac:dyDescent="0.35">
      <c r="B1646" s="12">
        <v>80</v>
      </c>
      <c r="C1646" s="7" t="s">
        <v>9523</v>
      </c>
      <c r="D1646" s="12">
        <v>67</v>
      </c>
      <c r="E1646" s="7" t="s">
        <v>9714</v>
      </c>
      <c r="F1646" s="7" t="s">
        <v>9715</v>
      </c>
      <c r="G1646" s="7" t="s">
        <v>727</v>
      </c>
      <c r="H1646" s="7" t="s">
        <v>45</v>
      </c>
      <c r="I1646" s="7" t="s">
        <v>55</v>
      </c>
      <c r="J1646" s="7" t="s">
        <v>177</v>
      </c>
      <c r="K1646" s="7" t="s">
        <v>9716</v>
      </c>
      <c r="L1646" s="12">
        <v>1</v>
      </c>
      <c r="M1646" s="7"/>
    </row>
    <row r="1647" spans="2:13" ht="21.75" customHeight="1" x14ac:dyDescent="0.35">
      <c r="B1647" s="11">
        <v>80</v>
      </c>
      <c r="C1647" s="5" t="s">
        <v>9523</v>
      </c>
      <c r="D1647" s="11">
        <v>68</v>
      </c>
      <c r="E1647" s="5" t="s">
        <v>9717</v>
      </c>
      <c r="F1647" s="5" t="s">
        <v>9718</v>
      </c>
      <c r="G1647" s="5" t="s">
        <v>9719</v>
      </c>
      <c r="H1647" s="5" t="s">
        <v>37</v>
      </c>
      <c r="I1647" s="5" t="s">
        <v>55</v>
      </c>
      <c r="J1647" s="5" t="s">
        <v>1988</v>
      </c>
      <c r="K1647" s="5" t="s">
        <v>9720</v>
      </c>
      <c r="L1647" s="11">
        <v>1</v>
      </c>
      <c r="M1647" s="5"/>
    </row>
    <row r="1648" spans="2:13" ht="37.5" customHeight="1" x14ac:dyDescent="0.35">
      <c r="B1648" s="12">
        <v>80</v>
      </c>
      <c r="C1648" s="7" t="s">
        <v>9523</v>
      </c>
      <c r="D1648" s="12">
        <v>69</v>
      </c>
      <c r="E1648" s="7" t="s">
        <v>9721</v>
      </c>
      <c r="F1648" s="7" t="s">
        <v>9722</v>
      </c>
      <c r="G1648" s="7" t="s">
        <v>3946</v>
      </c>
      <c r="H1648" s="7" t="s">
        <v>1355</v>
      </c>
      <c r="I1648" s="7" t="s">
        <v>5310</v>
      </c>
      <c r="J1648" s="7" t="s">
        <v>9723</v>
      </c>
      <c r="K1648" s="7" t="s">
        <v>9724</v>
      </c>
      <c r="L1648" s="12">
        <v>2</v>
      </c>
      <c r="M1648" s="7"/>
    </row>
    <row r="1649" spans="2:13" ht="37.5" customHeight="1" x14ac:dyDescent="0.35">
      <c r="B1649" s="11">
        <v>80</v>
      </c>
      <c r="C1649" s="5" t="s">
        <v>9523</v>
      </c>
      <c r="D1649" s="11">
        <v>70</v>
      </c>
      <c r="E1649" s="5" t="s">
        <v>9725</v>
      </c>
      <c r="F1649" s="5" t="s">
        <v>9726</v>
      </c>
      <c r="G1649" s="5" t="s">
        <v>9727</v>
      </c>
      <c r="H1649" s="5" t="s">
        <v>36</v>
      </c>
      <c r="I1649" s="5" t="s">
        <v>48</v>
      </c>
      <c r="J1649" s="5" t="s">
        <v>5782</v>
      </c>
      <c r="K1649" s="5" t="s">
        <v>5796</v>
      </c>
      <c r="L1649" s="11">
        <v>1</v>
      </c>
      <c r="M1649" s="5"/>
    </row>
    <row r="1650" spans="2:13" ht="37.5" customHeight="1" x14ac:dyDescent="0.35">
      <c r="B1650" s="12">
        <v>80</v>
      </c>
      <c r="C1650" s="7" t="s">
        <v>9523</v>
      </c>
      <c r="D1650" s="12">
        <v>71</v>
      </c>
      <c r="E1650" s="7" t="s">
        <v>9728</v>
      </c>
      <c r="F1650" s="7" t="s">
        <v>9729</v>
      </c>
      <c r="G1650" s="7" t="s">
        <v>9730</v>
      </c>
      <c r="H1650" s="7" t="s">
        <v>36</v>
      </c>
      <c r="I1650" s="7" t="s">
        <v>48</v>
      </c>
      <c r="J1650" s="7" t="s">
        <v>7044</v>
      </c>
      <c r="K1650" s="7" t="s">
        <v>7120</v>
      </c>
      <c r="L1650" s="12">
        <v>1</v>
      </c>
      <c r="M1650" s="7"/>
    </row>
    <row r="1651" spans="2:13" ht="37.5" customHeight="1" x14ac:dyDescent="0.35">
      <c r="B1651" s="11">
        <v>80</v>
      </c>
      <c r="C1651" s="5" t="s">
        <v>9523</v>
      </c>
      <c r="D1651" s="11">
        <v>72</v>
      </c>
      <c r="E1651" s="5" t="s">
        <v>9731</v>
      </c>
      <c r="F1651" s="5" t="s">
        <v>9732</v>
      </c>
      <c r="G1651" s="5" t="s">
        <v>5408</v>
      </c>
      <c r="H1651" s="5" t="s">
        <v>36</v>
      </c>
      <c r="I1651" s="5" t="s">
        <v>48</v>
      </c>
      <c r="J1651" s="5" t="s">
        <v>7044</v>
      </c>
      <c r="K1651" s="5" t="s">
        <v>7120</v>
      </c>
      <c r="L1651" s="11">
        <v>1</v>
      </c>
      <c r="M1651" s="5"/>
    </row>
    <row r="1652" spans="2:13" ht="37.5" customHeight="1" x14ac:dyDescent="0.35">
      <c r="B1652" s="12">
        <v>80</v>
      </c>
      <c r="C1652" s="7" t="s">
        <v>9523</v>
      </c>
      <c r="D1652" s="12">
        <v>73</v>
      </c>
      <c r="E1652" s="7" t="s">
        <v>9733</v>
      </c>
      <c r="F1652" s="7" t="s">
        <v>9734</v>
      </c>
      <c r="G1652" s="7" t="s">
        <v>1226</v>
      </c>
      <c r="H1652" s="7" t="s">
        <v>36</v>
      </c>
      <c r="I1652" s="7" t="s">
        <v>5409</v>
      </c>
      <c r="J1652" s="7" t="s">
        <v>5782</v>
      </c>
      <c r="K1652" s="7" t="s">
        <v>6100</v>
      </c>
      <c r="L1652" s="12">
        <v>1</v>
      </c>
      <c r="M1652" s="7"/>
    </row>
    <row r="1653" spans="2:13" ht="37.5" customHeight="1" x14ac:dyDescent="0.35">
      <c r="B1653" s="11">
        <v>80</v>
      </c>
      <c r="C1653" s="5" t="s">
        <v>9523</v>
      </c>
      <c r="D1653" s="11">
        <v>74</v>
      </c>
      <c r="E1653" s="5" t="s">
        <v>9735</v>
      </c>
      <c r="F1653" s="5" t="s">
        <v>9736</v>
      </c>
      <c r="G1653" s="5" t="s">
        <v>560</v>
      </c>
      <c r="H1653" s="5" t="s">
        <v>45</v>
      </c>
      <c r="I1653" s="5" t="s">
        <v>55</v>
      </c>
      <c r="J1653" s="5" t="s">
        <v>9564</v>
      </c>
      <c r="K1653" s="5" t="s">
        <v>9737</v>
      </c>
      <c r="L1653" s="11">
        <v>1</v>
      </c>
      <c r="M1653" s="5"/>
    </row>
    <row r="1654" spans="2:13" ht="67.5" customHeight="1" x14ac:dyDescent="0.35">
      <c r="B1654" s="12">
        <v>80</v>
      </c>
      <c r="C1654" s="7" t="s">
        <v>9523</v>
      </c>
      <c r="D1654" s="12">
        <v>75</v>
      </c>
      <c r="E1654" s="7" t="s">
        <v>9738</v>
      </c>
      <c r="F1654" s="7" t="s">
        <v>9739</v>
      </c>
      <c r="G1654" s="7" t="s">
        <v>25</v>
      </c>
      <c r="H1654" s="7" t="s">
        <v>9740</v>
      </c>
      <c r="I1654" s="7" t="s">
        <v>9741</v>
      </c>
      <c r="J1654" s="7" t="s">
        <v>9742</v>
      </c>
      <c r="K1654" s="7" t="s">
        <v>9743</v>
      </c>
      <c r="L1654" s="12">
        <v>3</v>
      </c>
      <c r="M1654" s="7"/>
    </row>
    <row r="1655" spans="2:13" ht="21.75" customHeight="1" x14ac:dyDescent="0.35">
      <c r="B1655" s="11">
        <v>80</v>
      </c>
      <c r="C1655" s="5" t="s">
        <v>9523</v>
      </c>
      <c r="D1655" s="11">
        <v>76</v>
      </c>
      <c r="E1655" s="5" t="s">
        <v>9744</v>
      </c>
      <c r="F1655" s="5" t="s">
        <v>9745</v>
      </c>
      <c r="G1655" s="5" t="s">
        <v>828</v>
      </c>
      <c r="H1655" s="5" t="s">
        <v>36</v>
      </c>
      <c r="I1655" s="5" t="s">
        <v>48</v>
      </c>
      <c r="J1655" s="5" t="s">
        <v>6251</v>
      </c>
      <c r="K1655" s="5" t="s">
        <v>6252</v>
      </c>
      <c r="L1655" s="11">
        <v>1</v>
      </c>
      <c r="M1655" s="5"/>
    </row>
    <row r="1656" spans="2:13" ht="37.5" customHeight="1" x14ac:dyDescent="0.35">
      <c r="B1656" s="12">
        <v>80</v>
      </c>
      <c r="C1656" s="7" t="s">
        <v>9523</v>
      </c>
      <c r="D1656" s="12">
        <v>77</v>
      </c>
      <c r="E1656" s="7" t="s">
        <v>9746</v>
      </c>
      <c r="F1656" s="7" t="s">
        <v>9747</v>
      </c>
      <c r="G1656" s="7" t="s">
        <v>3283</v>
      </c>
      <c r="H1656" s="7" t="s">
        <v>36</v>
      </c>
      <c r="I1656" s="7" t="s">
        <v>48</v>
      </c>
      <c r="J1656" s="7" t="s">
        <v>5782</v>
      </c>
      <c r="K1656" s="7" t="s">
        <v>5796</v>
      </c>
      <c r="L1656" s="12">
        <v>1</v>
      </c>
      <c r="M1656" s="7"/>
    </row>
    <row r="1657" spans="2:13" ht="21.75" customHeight="1" x14ac:dyDescent="0.35">
      <c r="B1657" s="11">
        <v>80</v>
      </c>
      <c r="C1657" s="5" t="s">
        <v>9523</v>
      </c>
      <c r="D1657" s="11">
        <v>78</v>
      </c>
      <c r="E1657" s="5" t="s">
        <v>9748</v>
      </c>
      <c r="F1657" s="5" t="s">
        <v>9749</v>
      </c>
      <c r="G1657" s="5" t="s">
        <v>638</v>
      </c>
      <c r="H1657" s="5" t="s">
        <v>36</v>
      </c>
      <c r="I1657" s="5" t="s">
        <v>48</v>
      </c>
      <c r="J1657" s="5" t="s">
        <v>194</v>
      </c>
      <c r="K1657" s="5" t="s">
        <v>5527</v>
      </c>
      <c r="L1657" s="11">
        <v>1</v>
      </c>
      <c r="M1657" s="5"/>
    </row>
    <row r="1658" spans="2:13" ht="21.75" customHeight="1" x14ac:dyDescent="0.35">
      <c r="B1658" s="12">
        <v>80</v>
      </c>
      <c r="C1658" s="7" t="s">
        <v>9523</v>
      </c>
      <c r="D1658" s="12">
        <v>79</v>
      </c>
      <c r="E1658" s="7" t="s">
        <v>9750</v>
      </c>
      <c r="F1658" s="7" t="s">
        <v>9751</v>
      </c>
      <c r="G1658" s="7" t="s">
        <v>1884</v>
      </c>
      <c r="H1658" s="7" t="s">
        <v>36</v>
      </c>
      <c r="I1658" s="7" t="s">
        <v>5409</v>
      </c>
      <c r="J1658" s="7" t="s">
        <v>9752</v>
      </c>
      <c r="K1658" s="7" t="s">
        <v>9753</v>
      </c>
      <c r="L1658" s="12">
        <v>1</v>
      </c>
      <c r="M1658" s="7"/>
    </row>
    <row r="1659" spans="2:13" ht="37.5" customHeight="1" x14ac:dyDescent="0.35">
      <c r="B1659" s="11">
        <v>81</v>
      </c>
      <c r="C1659" s="5" t="s">
        <v>9754</v>
      </c>
      <c r="D1659" s="11">
        <v>1</v>
      </c>
      <c r="E1659" s="5" t="s">
        <v>9755</v>
      </c>
      <c r="F1659" s="5" t="s">
        <v>9756</v>
      </c>
      <c r="G1659" s="5" t="s">
        <v>560</v>
      </c>
      <c r="H1659" s="5" t="s">
        <v>37</v>
      </c>
      <c r="I1659" s="5" t="s">
        <v>55</v>
      </c>
      <c r="J1659" s="5" t="s">
        <v>194</v>
      </c>
      <c r="K1659" s="5" t="s">
        <v>9757</v>
      </c>
      <c r="L1659" s="11">
        <v>1</v>
      </c>
      <c r="M1659" s="5"/>
    </row>
    <row r="1660" spans="2:13" ht="37.5" customHeight="1" x14ac:dyDescent="0.35">
      <c r="B1660" s="12">
        <v>82</v>
      </c>
      <c r="C1660" s="7" t="s">
        <v>9758</v>
      </c>
      <c r="D1660" s="12">
        <v>1</v>
      </c>
      <c r="E1660" s="7" t="s">
        <v>9759</v>
      </c>
      <c r="F1660" s="7" t="s">
        <v>9760</v>
      </c>
      <c r="G1660" s="7" t="s">
        <v>25</v>
      </c>
      <c r="H1660" s="7" t="s">
        <v>359</v>
      </c>
      <c r="I1660" s="7" t="s">
        <v>9761</v>
      </c>
      <c r="J1660" s="7" t="s">
        <v>5056</v>
      </c>
      <c r="K1660" s="7" t="s">
        <v>9762</v>
      </c>
      <c r="L1660" s="12">
        <v>2</v>
      </c>
      <c r="M1660" s="7"/>
    </row>
    <row r="1661" spans="2:13" ht="37.5" customHeight="1" x14ac:dyDescent="0.35">
      <c r="B1661" s="11">
        <v>83</v>
      </c>
      <c r="C1661" s="5" t="s">
        <v>9763</v>
      </c>
      <c r="D1661" s="11">
        <v>1</v>
      </c>
      <c r="E1661" s="5" t="s">
        <v>9764</v>
      </c>
      <c r="F1661" s="5" t="s">
        <v>9765</v>
      </c>
      <c r="G1661" s="5" t="s">
        <v>26</v>
      </c>
      <c r="H1661" s="5" t="s">
        <v>36</v>
      </c>
      <c r="I1661" s="5" t="s">
        <v>48</v>
      </c>
      <c r="J1661" s="5" t="s">
        <v>5394</v>
      </c>
      <c r="K1661" s="5" t="s">
        <v>5395</v>
      </c>
      <c r="L1661" s="11">
        <v>1</v>
      </c>
      <c r="M1661" s="5"/>
    </row>
    <row r="1662" spans="2:13" ht="37.5" customHeight="1" x14ac:dyDescent="0.35">
      <c r="B1662" s="12">
        <v>84</v>
      </c>
      <c r="C1662" s="7" t="s">
        <v>9766</v>
      </c>
      <c r="D1662" s="12">
        <v>1</v>
      </c>
      <c r="E1662" s="7" t="s">
        <v>9767</v>
      </c>
      <c r="F1662" s="7" t="s">
        <v>9768</v>
      </c>
      <c r="G1662" s="7" t="s">
        <v>206</v>
      </c>
      <c r="H1662" s="7" t="s">
        <v>36</v>
      </c>
      <c r="I1662" s="7" t="s">
        <v>48</v>
      </c>
      <c r="J1662" s="7" t="s">
        <v>5394</v>
      </c>
      <c r="K1662" s="7" t="s">
        <v>5395</v>
      </c>
      <c r="L1662" s="12">
        <v>1</v>
      </c>
      <c r="M1662" s="7"/>
    </row>
    <row r="1663" spans="2:13" ht="37.5" customHeight="1" x14ac:dyDescent="0.35">
      <c r="B1663" s="11">
        <v>85</v>
      </c>
      <c r="C1663" s="5" t="s">
        <v>9769</v>
      </c>
      <c r="D1663" s="11">
        <v>1</v>
      </c>
      <c r="E1663" s="5" t="s">
        <v>9770</v>
      </c>
      <c r="F1663" s="5" t="s">
        <v>9771</v>
      </c>
      <c r="G1663" s="5" t="s">
        <v>414</v>
      </c>
      <c r="H1663" s="5" t="s">
        <v>36</v>
      </c>
      <c r="I1663" s="5" t="s">
        <v>48</v>
      </c>
      <c r="J1663" s="5" t="s">
        <v>9772</v>
      </c>
      <c r="K1663" s="5" t="s">
        <v>9773</v>
      </c>
      <c r="L1663" s="11">
        <v>1</v>
      </c>
      <c r="M1663" s="5"/>
    </row>
    <row r="1664" spans="2:13" ht="37.5" customHeight="1" x14ac:dyDescent="0.35">
      <c r="B1664" s="12">
        <v>86</v>
      </c>
      <c r="C1664" s="7" t="s">
        <v>9774</v>
      </c>
      <c r="D1664" s="12">
        <v>1</v>
      </c>
      <c r="E1664" s="7" t="s">
        <v>9775</v>
      </c>
      <c r="F1664" s="7" t="s">
        <v>9776</v>
      </c>
      <c r="G1664" s="7" t="s">
        <v>582</v>
      </c>
      <c r="H1664" s="7" t="s">
        <v>36</v>
      </c>
      <c r="I1664" s="7" t="s">
        <v>48</v>
      </c>
      <c r="J1664" s="7" t="s">
        <v>9777</v>
      </c>
      <c r="K1664" s="7" t="s">
        <v>9778</v>
      </c>
      <c r="L1664" s="12">
        <v>1</v>
      </c>
      <c r="M1664" s="7"/>
    </row>
    <row r="1665" spans="2:13" ht="37.5" customHeight="1" x14ac:dyDescent="0.35">
      <c r="B1665" s="11">
        <v>86</v>
      </c>
      <c r="C1665" s="5" t="s">
        <v>9774</v>
      </c>
      <c r="D1665" s="11">
        <v>2</v>
      </c>
      <c r="E1665" s="5" t="s">
        <v>9779</v>
      </c>
      <c r="F1665" s="5" t="s">
        <v>9780</v>
      </c>
      <c r="G1665" s="5" t="s">
        <v>9781</v>
      </c>
      <c r="H1665" s="5" t="s">
        <v>36</v>
      </c>
      <c r="I1665" s="5" t="s">
        <v>48</v>
      </c>
      <c r="J1665" s="5" t="s">
        <v>9782</v>
      </c>
      <c r="K1665" s="5" t="s">
        <v>9783</v>
      </c>
      <c r="L1665" s="11">
        <v>1</v>
      </c>
      <c r="M1665" s="5"/>
    </row>
    <row r="1666" spans="2:13" ht="82.5" customHeight="1" x14ac:dyDescent="0.35">
      <c r="B1666" s="12">
        <v>87</v>
      </c>
      <c r="C1666" s="7" t="s">
        <v>9784</v>
      </c>
      <c r="D1666" s="12">
        <v>1</v>
      </c>
      <c r="E1666" s="7" t="s">
        <v>9785</v>
      </c>
      <c r="F1666" s="7" t="s">
        <v>9786</v>
      </c>
      <c r="G1666" s="7" t="s">
        <v>2919</v>
      </c>
      <c r="H1666" s="7" t="s">
        <v>9787</v>
      </c>
      <c r="I1666" s="7" t="s">
        <v>9788</v>
      </c>
      <c r="J1666" s="7" t="s">
        <v>9789</v>
      </c>
      <c r="K1666" s="7" t="s">
        <v>9790</v>
      </c>
      <c r="L1666" s="12">
        <v>4</v>
      </c>
      <c r="M1666" s="7" t="s">
        <v>9791</v>
      </c>
    </row>
    <row r="1667" spans="2:13" ht="67.5" customHeight="1" x14ac:dyDescent="0.35">
      <c r="B1667" s="11">
        <v>88</v>
      </c>
      <c r="C1667" s="5" t="s">
        <v>9792</v>
      </c>
      <c r="D1667" s="11">
        <v>1</v>
      </c>
      <c r="E1667" s="5" t="s">
        <v>9793</v>
      </c>
      <c r="F1667" s="5" t="s">
        <v>9794</v>
      </c>
      <c r="G1667" s="5" t="s">
        <v>185</v>
      </c>
      <c r="H1667" s="5" t="s">
        <v>294</v>
      </c>
      <c r="I1667" s="5" t="s">
        <v>9795</v>
      </c>
      <c r="J1667" s="5" t="s">
        <v>9796</v>
      </c>
      <c r="K1667" s="5" t="s">
        <v>9797</v>
      </c>
      <c r="L1667" s="11">
        <v>2</v>
      </c>
      <c r="M1667" s="5" t="s">
        <v>173</v>
      </c>
    </row>
    <row r="1668" spans="2:13" ht="127.5" customHeight="1" x14ac:dyDescent="0.35">
      <c r="B1668" s="12">
        <v>89</v>
      </c>
      <c r="C1668" s="7" t="s">
        <v>9798</v>
      </c>
      <c r="D1668" s="12">
        <v>1</v>
      </c>
      <c r="E1668" s="7" t="s">
        <v>9799</v>
      </c>
      <c r="F1668" s="7" t="s">
        <v>9800</v>
      </c>
      <c r="G1668" s="7" t="s">
        <v>2919</v>
      </c>
      <c r="H1668" s="7" t="s">
        <v>9801</v>
      </c>
      <c r="I1668" s="7" t="s">
        <v>9802</v>
      </c>
      <c r="J1668" s="7" t="s">
        <v>9803</v>
      </c>
      <c r="K1668" s="7" t="s">
        <v>9804</v>
      </c>
      <c r="L1668" s="12">
        <v>7</v>
      </c>
      <c r="M1668" s="7" t="s">
        <v>1892</v>
      </c>
    </row>
    <row r="1669" spans="2:13" ht="97.5" customHeight="1" x14ac:dyDescent="0.35">
      <c r="B1669" s="11">
        <v>89</v>
      </c>
      <c r="C1669" s="5" t="s">
        <v>9798</v>
      </c>
      <c r="D1669" s="11">
        <v>2</v>
      </c>
      <c r="E1669" s="5" t="s">
        <v>9805</v>
      </c>
      <c r="F1669" s="5" t="s">
        <v>9806</v>
      </c>
      <c r="G1669" s="5" t="s">
        <v>29</v>
      </c>
      <c r="H1669" s="5" t="s">
        <v>9807</v>
      </c>
      <c r="I1669" s="5" t="s">
        <v>9808</v>
      </c>
      <c r="J1669" s="5" t="s">
        <v>9809</v>
      </c>
      <c r="K1669" s="5" t="s">
        <v>9810</v>
      </c>
      <c r="L1669" s="11">
        <v>5</v>
      </c>
      <c r="M1669" s="5" t="s">
        <v>1892</v>
      </c>
    </row>
    <row r="1670" spans="2:13" ht="67.5" customHeight="1" x14ac:dyDescent="0.35">
      <c r="B1670" s="12">
        <v>89</v>
      </c>
      <c r="C1670" s="7" t="s">
        <v>9798</v>
      </c>
      <c r="D1670" s="12">
        <v>3</v>
      </c>
      <c r="E1670" s="7" t="s">
        <v>9811</v>
      </c>
      <c r="F1670" s="7" t="s">
        <v>9812</v>
      </c>
      <c r="G1670" s="7" t="s">
        <v>24</v>
      </c>
      <c r="H1670" s="7" t="s">
        <v>9813</v>
      </c>
      <c r="I1670" s="7" t="s">
        <v>9814</v>
      </c>
      <c r="J1670" s="7" t="s">
        <v>9815</v>
      </c>
      <c r="K1670" s="7" t="s">
        <v>9816</v>
      </c>
      <c r="L1670" s="12">
        <v>4</v>
      </c>
      <c r="M1670" s="7" t="s">
        <v>1892</v>
      </c>
    </row>
    <row r="1671" spans="2:13" ht="52.5" customHeight="1" x14ac:dyDescent="0.35">
      <c r="B1671" s="11">
        <v>89</v>
      </c>
      <c r="C1671" s="5" t="s">
        <v>9798</v>
      </c>
      <c r="D1671" s="11">
        <v>4</v>
      </c>
      <c r="E1671" s="5" t="s">
        <v>9817</v>
      </c>
      <c r="F1671" s="5" t="s">
        <v>9818</v>
      </c>
      <c r="G1671" s="5" t="s">
        <v>549</v>
      </c>
      <c r="H1671" s="5" t="s">
        <v>9819</v>
      </c>
      <c r="I1671" s="5" t="s">
        <v>9820</v>
      </c>
      <c r="J1671" s="5" t="s">
        <v>9821</v>
      </c>
      <c r="K1671" s="5" t="s">
        <v>9822</v>
      </c>
      <c r="L1671" s="11">
        <v>3</v>
      </c>
      <c r="M1671" s="5" t="s">
        <v>1892</v>
      </c>
    </row>
    <row r="1672" spans="2:13" ht="37.5" customHeight="1" x14ac:dyDescent="0.35">
      <c r="B1672" s="12">
        <v>89</v>
      </c>
      <c r="C1672" s="7" t="s">
        <v>9798</v>
      </c>
      <c r="D1672" s="12">
        <v>5</v>
      </c>
      <c r="E1672" s="7" t="s">
        <v>9823</v>
      </c>
      <c r="F1672" s="7" t="s">
        <v>9824</v>
      </c>
      <c r="G1672" s="7" t="s">
        <v>428</v>
      </c>
      <c r="H1672" s="7" t="s">
        <v>36</v>
      </c>
      <c r="I1672" s="7" t="s">
        <v>4559</v>
      </c>
      <c r="J1672" s="7" t="s">
        <v>9308</v>
      </c>
      <c r="K1672" s="7" t="s">
        <v>9825</v>
      </c>
      <c r="L1672" s="12">
        <v>1</v>
      </c>
      <c r="M1672" s="7" t="s">
        <v>1892</v>
      </c>
    </row>
    <row r="1673" spans="2:13" ht="21.75" customHeight="1" x14ac:dyDescent="0.35">
      <c r="B1673" s="11">
        <v>89</v>
      </c>
      <c r="C1673" s="5" t="s">
        <v>9798</v>
      </c>
      <c r="D1673" s="11">
        <v>6</v>
      </c>
      <c r="E1673" s="5" t="s">
        <v>9826</v>
      </c>
      <c r="F1673" s="5" t="s">
        <v>9827</v>
      </c>
      <c r="G1673" s="5" t="s">
        <v>26</v>
      </c>
      <c r="H1673" s="5" t="s">
        <v>36</v>
      </c>
      <c r="I1673" s="5" t="s">
        <v>48</v>
      </c>
      <c r="J1673" s="5" t="s">
        <v>9308</v>
      </c>
      <c r="K1673" s="5" t="s">
        <v>9828</v>
      </c>
      <c r="L1673" s="11">
        <v>1</v>
      </c>
      <c r="M1673" s="5" t="s">
        <v>1892</v>
      </c>
    </row>
    <row r="1674" spans="2:13" ht="37.5" customHeight="1" x14ac:dyDescent="0.35">
      <c r="B1674" s="12">
        <v>89</v>
      </c>
      <c r="C1674" s="7" t="s">
        <v>9798</v>
      </c>
      <c r="D1674" s="12">
        <v>7</v>
      </c>
      <c r="E1674" s="7" t="s">
        <v>9829</v>
      </c>
      <c r="F1674" s="7" t="s">
        <v>9830</v>
      </c>
      <c r="G1674" s="7" t="s">
        <v>358</v>
      </c>
      <c r="H1674" s="7" t="s">
        <v>5202</v>
      </c>
      <c r="I1674" s="7" t="s">
        <v>9831</v>
      </c>
      <c r="J1674" s="7" t="s">
        <v>9832</v>
      </c>
      <c r="K1674" s="7" t="s">
        <v>9833</v>
      </c>
      <c r="L1674" s="12">
        <v>2</v>
      </c>
      <c r="M1674" s="7" t="s">
        <v>1892</v>
      </c>
    </row>
    <row r="1675" spans="2:13" ht="67.5" customHeight="1" x14ac:dyDescent="0.35">
      <c r="B1675" s="11">
        <v>89</v>
      </c>
      <c r="C1675" s="5" t="s">
        <v>9798</v>
      </c>
      <c r="D1675" s="11">
        <v>8</v>
      </c>
      <c r="E1675" s="5" t="s">
        <v>9834</v>
      </c>
      <c r="F1675" s="5" t="s">
        <v>9835</v>
      </c>
      <c r="G1675" s="5" t="s">
        <v>531</v>
      </c>
      <c r="H1675" s="5" t="s">
        <v>9836</v>
      </c>
      <c r="I1675" s="5" t="s">
        <v>9837</v>
      </c>
      <c r="J1675" s="5" t="s">
        <v>9838</v>
      </c>
      <c r="K1675" s="5" t="s">
        <v>9839</v>
      </c>
      <c r="L1675" s="11">
        <v>4</v>
      </c>
      <c r="M1675" s="5" t="s">
        <v>1892</v>
      </c>
    </row>
    <row r="1676" spans="2:13" ht="21.75" customHeight="1" x14ac:dyDescent="0.35">
      <c r="B1676" s="12">
        <v>89</v>
      </c>
      <c r="C1676" s="7" t="s">
        <v>9798</v>
      </c>
      <c r="D1676" s="12">
        <v>9</v>
      </c>
      <c r="E1676" s="7" t="s">
        <v>9840</v>
      </c>
      <c r="F1676" s="7" t="s">
        <v>9841</v>
      </c>
      <c r="G1676" s="7" t="s">
        <v>457</v>
      </c>
      <c r="H1676" s="7" t="s">
        <v>40</v>
      </c>
      <c r="I1676" s="7" t="s">
        <v>54</v>
      </c>
      <c r="J1676" s="7" t="s">
        <v>233</v>
      </c>
      <c r="K1676" s="7" t="s">
        <v>9416</v>
      </c>
      <c r="L1676" s="12">
        <v>1</v>
      </c>
      <c r="M1676" s="7" t="s">
        <v>1892</v>
      </c>
    </row>
    <row r="1677" spans="2:13" ht="67.5" customHeight="1" x14ac:dyDescent="0.35">
      <c r="B1677" s="11">
        <v>89</v>
      </c>
      <c r="C1677" s="5" t="s">
        <v>9798</v>
      </c>
      <c r="D1677" s="11">
        <v>10</v>
      </c>
      <c r="E1677" s="5" t="s">
        <v>9842</v>
      </c>
      <c r="F1677" s="5" t="s">
        <v>9843</v>
      </c>
      <c r="G1677" s="5" t="s">
        <v>1603</v>
      </c>
      <c r="H1677" s="5" t="s">
        <v>9844</v>
      </c>
      <c r="I1677" s="5" t="s">
        <v>9845</v>
      </c>
      <c r="J1677" s="5" t="s">
        <v>9846</v>
      </c>
      <c r="K1677" s="5" t="s">
        <v>9847</v>
      </c>
      <c r="L1677" s="11">
        <v>4</v>
      </c>
      <c r="M1677" s="5" t="s">
        <v>1892</v>
      </c>
    </row>
    <row r="1678" spans="2:13" ht="52.5" customHeight="1" x14ac:dyDescent="0.35">
      <c r="B1678" s="12">
        <v>89</v>
      </c>
      <c r="C1678" s="7" t="s">
        <v>9798</v>
      </c>
      <c r="D1678" s="12">
        <v>11</v>
      </c>
      <c r="E1678" s="7" t="s">
        <v>9848</v>
      </c>
      <c r="F1678" s="7" t="s">
        <v>9849</v>
      </c>
      <c r="G1678" s="7" t="s">
        <v>30</v>
      </c>
      <c r="H1678" s="7" t="s">
        <v>5716</v>
      </c>
      <c r="I1678" s="7" t="s">
        <v>5310</v>
      </c>
      <c r="J1678" s="7" t="s">
        <v>9809</v>
      </c>
      <c r="K1678" s="7" t="s">
        <v>9850</v>
      </c>
      <c r="L1678" s="12">
        <v>3</v>
      </c>
      <c r="M1678" s="7" t="s">
        <v>1892</v>
      </c>
    </row>
    <row r="1679" spans="2:13" ht="37.5" customHeight="1" x14ac:dyDescent="0.35">
      <c r="B1679" s="11">
        <v>89</v>
      </c>
      <c r="C1679" s="5" t="s">
        <v>9798</v>
      </c>
      <c r="D1679" s="11">
        <v>12</v>
      </c>
      <c r="E1679" s="5" t="s">
        <v>9851</v>
      </c>
      <c r="F1679" s="5" t="s">
        <v>9852</v>
      </c>
      <c r="G1679" s="5" t="s">
        <v>576</v>
      </c>
      <c r="H1679" s="5" t="s">
        <v>42</v>
      </c>
      <c r="I1679" s="5" t="s">
        <v>5127</v>
      </c>
      <c r="J1679" s="5" t="s">
        <v>9853</v>
      </c>
      <c r="K1679" s="5" t="s">
        <v>9854</v>
      </c>
      <c r="L1679" s="11">
        <v>1</v>
      </c>
      <c r="M1679" s="5" t="s">
        <v>1892</v>
      </c>
    </row>
    <row r="1680" spans="2:13" ht="82.5" customHeight="1" x14ac:dyDescent="0.35">
      <c r="B1680" s="12">
        <v>89</v>
      </c>
      <c r="C1680" s="7" t="s">
        <v>9798</v>
      </c>
      <c r="D1680" s="12">
        <v>13</v>
      </c>
      <c r="E1680" s="7" t="s">
        <v>9855</v>
      </c>
      <c r="F1680" s="7" t="s">
        <v>9856</v>
      </c>
      <c r="G1680" s="7" t="s">
        <v>25</v>
      </c>
      <c r="H1680" s="7" t="s">
        <v>9857</v>
      </c>
      <c r="I1680" s="7" t="s">
        <v>9858</v>
      </c>
      <c r="J1680" s="7" t="s">
        <v>9859</v>
      </c>
      <c r="K1680" s="7" t="s">
        <v>9860</v>
      </c>
      <c r="L1680" s="12">
        <v>5</v>
      </c>
      <c r="M1680" s="7" t="s">
        <v>1892</v>
      </c>
    </row>
    <row r="1681" spans="2:13" ht="52.5" customHeight="1" x14ac:dyDescent="0.35">
      <c r="B1681" s="11">
        <v>89</v>
      </c>
      <c r="C1681" s="5" t="s">
        <v>9798</v>
      </c>
      <c r="D1681" s="11">
        <v>14</v>
      </c>
      <c r="E1681" s="5" t="s">
        <v>9861</v>
      </c>
      <c r="F1681" s="5" t="s">
        <v>9862</v>
      </c>
      <c r="G1681" s="5" t="s">
        <v>185</v>
      </c>
      <c r="H1681" s="5" t="s">
        <v>9863</v>
      </c>
      <c r="I1681" s="5" t="s">
        <v>9864</v>
      </c>
      <c r="J1681" s="5" t="s">
        <v>9865</v>
      </c>
      <c r="K1681" s="5" t="s">
        <v>9866</v>
      </c>
      <c r="L1681" s="11">
        <v>3</v>
      </c>
      <c r="M1681" s="5" t="s">
        <v>1892</v>
      </c>
    </row>
    <row r="1682" spans="2:13" ht="52.5" customHeight="1" x14ac:dyDescent="0.35">
      <c r="B1682" s="12">
        <v>89</v>
      </c>
      <c r="C1682" s="7" t="s">
        <v>9798</v>
      </c>
      <c r="D1682" s="12">
        <v>15</v>
      </c>
      <c r="E1682" s="7" t="s">
        <v>9867</v>
      </c>
      <c r="F1682" s="7" t="s">
        <v>9868</v>
      </c>
      <c r="G1682" s="7" t="s">
        <v>300</v>
      </c>
      <c r="H1682" s="7" t="s">
        <v>5725</v>
      </c>
      <c r="I1682" s="7" t="s">
        <v>9549</v>
      </c>
      <c r="J1682" s="7" t="s">
        <v>9869</v>
      </c>
      <c r="K1682" s="7" t="s">
        <v>9870</v>
      </c>
      <c r="L1682" s="12">
        <v>3</v>
      </c>
      <c r="M1682" s="7" t="s">
        <v>1892</v>
      </c>
    </row>
    <row r="1683" spans="2:13" ht="37.5" customHeight="1" x14ac:dyDescent="0.35">
      <c r="B1683" s="11">
        <v>89</v>
      </c>
      <c r="C1683" s="5" t="s">
        <v>9798</v>
      </c>
      <c r="D1683" s="11">
        <v>16</v>
      </c>
      <c r="E1683" s="5" t="s">
        <v>9871</v>
      </c>
      <c r="F1683" s="5" t="s">
        <v>9872</v>
      </c>
      <c r="G1683" s="5" t="s">
        <v>653</v>
      </c>
      <c r="H1683" s="5" t="s">
        <v>36</v>
      </c>
      <c r="I1683" s="5" t="s">
        <v>48</v>
      </c>
      <c r="J1683" s="5" t="s">
        <v>9308</v>
      </c>
      <c r="K1683" s="5" t="s">
        <v>9828</v>
      </c>
      <c r="L1683" s="11">
        <v>1</v>
      </c>
      <c r="M1683" s="5" t="s">
        <v>1892</v>
      </c>
    </row>
    <row r="1684" spans="2:13" ht="37.5" customHeight="1" x14ac:dyDescent="0.35">
      <c r="B1684" s="12">
        <v>89</v>
      </c>
      <c r="C1684" s="7" t="s">
        <v>9798</v>
      </c>
      <c r="D1684" s="12">
        <v>17</v>
      </c>
      <c r="E1684" s="7" t="s">
        <v>9873</v>
      </c>
      <c r="F1684" s="7" t="s">
        <v>9874</v>
      </c>
      <c r="G1684" s="7" t="s">
        <v>2415</v>
      </c>
      <c r="H1684" s="7" t="s">
        <v>5240</v>
      </c>
      <c r="I1684" s="7" t="s">
        <v>5225</v>
      </c>
      <c r="J1684" s="7" t="s">
        <v>9875</v>
      </c>
      <c r="K1684" s="7" t="s">
        <v>9876</v>
      </c>
      <c r="L1684" s="12">
        <v>2</v>
      </c>
      <c r="M1684" s="7" t="s">
        <v>1892</v>
      </c>
    </row>
    <row r="1685" spans="2:13" ht="37.5" customHeight="1" x14ac:dyDescent="0.35">
      <c r="B1685" s="11">
        <v>89</v>
      </c>
      <c r="C1685" s="5" t="s">
        <v>9798</v>
      </c>
      <c r="D1685" s="11">
        <v>18</v>
      </c>
      <c r="E1685" s="5" t="s">
        <v>9877</v>
      </c>
      <c r="F1685" s="5" t="s">
        <v>9878</v>
      </c>
      <c r="G1685" s="5" t="s">
        <v>472</v>
      </c>
      <c r="H1685" s="5" t="s">
        <v>45</v>
      </c>
      <c r="I1685" s="5" t="s">
        <v>55</v>
      </c>
      <c r="J1685" s="5" t="s">
        <v>177</v>
      </c>
      <c r="K1685" s="5" t="s">
        <v>9716</v>
      </c>
      <c r="L1685" s="11">
        <v>1</v>
      </c>
      <c r="M1685" s="5" t="s">
        <v>1892</v>
      </c>
    </row>
    <row r="1686" spans="2:13" ht="67.5" customHeight="1" x14ac:dyDescent="0.35">
      <c r="B1686" s="12">
        <v>89</v>
      </c>
      <c r="C1686" s="7" t="s">
        <v>9798</v>
      </c>
      <c r="D1686" s="12">
        <v>19</v>
      </c>
      <c r="E1686" s="7" t="s">
        <v>9879</v>
      </c>
      <c r="F1686" s="7" t="s">
        <v>9880</v>
      </c>
      <c r="G1686" s="7" t="s">
        <v>2919</v>
      </c>
      <c r="H1686" s="7" t="s">
        <v>9881</v>
      </c>
      <c r="I1686" s="7" t="s">
        <v>9882</v>
      </c>
      <c r="J1686" s="7" t="s">
        <v>9883</v>
      </c>
      <c r="K1686" s="7" t="s">
        <v>9884</v>
      </c>
      <c r="L1686" s="12">
        <v>4</v>
      </c>
      <c r="M1686" s="7" t="s">
        <v>1892</v>
      </c>
    </row>
    <row r="1687" spans="2:13" ht="37.5" customHeight="1" x14ac:dyDescent="0.35">
      <c r="B1687" s="11">
        <v>89</v>
      </c>
      <c r="C1687" s="5" t="s">
        <v>9798</v>
      </c>
      <c r="D1687" s="11">
        <v>20</v>
      </c>
      <c r="E1687" s="5" t="s">
        <v>9885</v>
      </c>
      <c r="F1687" s="5" t="s">
        <v>9886</v>
      </c>
      <c r="G1687" s="5" t="s">
        <v>439</v>
      </c>
      <c r="H1687" s="5" t="s">
        <v>306</v>
      </c>
      <c r="I1687" s="5" t="s">
        <v>9887</v>
      </c>
      <c r="J1687" s="5" t="s">
        <v>9888</v>
      </c>
      <c r="K1687" s="5" t="s">
        <v>9889</v>
      </c>
      <c r="L1687" s="11">
        <v>2</v>
      </c>
      <c r="M1687" s="5" t="s">
        <v>1892</v>
      </c>
    </row>
    <row r="1688" spans="2:13" ht="37.5" customHeight="1" x14ac:dyDescent="0.35">
      <c r="B1688" s="12">
        <v>89</v>
      </c>
      <c r="C1688" s="7" t="s">
        <v>9798</v>
      </c>
      <c r="D1688" s="12">
        <v>21</v>
      </c>
      <c r="E1688" s="7" t="s">
        <v>9890</v>
      </c>
      <c r="F1688" s="7" t="s">
        <v>9891</v>
      </c>
      <c r="G1688" s="7" t="s">
        <v>206</v>
      </c>
      <c r="H1688" s="7" t="s">
        <v>37</v>
      </c>
      <c r="I1688" s="7" t="s">
        <v>55</v>
      </c>
      <c r="J1688" s="7" t="s">
        <v>1988</v>
      </c>
      <c r="K1688" s="7" t="s">
        <v>9720</v>
      </c>
      <c r="L1688" s="12">
        <v>1</v>
      </c>
      <c r="M1688" s="7" t="s">
        <v>1892</v>
      </c>
    </row>
    <row r="1689" spans="2:13" ht="37.5" customHeight="1" x14ac:dyDescent="0.35">
      <c r="B1689" s="11">
        <v>89</v>
      </c>
      <c r="C1689" s="5" t="s">
        <v>9798</v>
      </c>
      <c r="D1689" s="11">
        <v>22</v>
      </c>
      <c r="E1689" s="5" t="s">
        <v>9892</v>
      </c>
      <c r="F1689" s="5" t="s">
        <v>9893</v>
      </c>
      <c r="G1689" s="5" t="s">
        <v>365</v>
      </c>
      <c r="H1689" s="5" t="s">
        <v>5240</v>
      </c>
      <c r="I1689" s="5" t="s">
        <v>5341</v>
      </c>
      <c r="J1689" s="5" t="s">
        <v>9875</v>
      </c>
      <c r="K1689" s="5" t="s">
        <v>9894</v>
      </c>
      <c r="L1689" s="11">
        <v>2</v>
      </c>
      <c r="M1689" s="5" t="s">
        <v>1892</v>
      </c>
    </row>
    <row r="1690" spans="2:13" ht="37.5" customHeight="1" x14ac:dyDescent="0.35">
      <c r="B1690" s="12">
        <v>89</v>
      </c>
      <c r="C1690" s="7" t="s">
        <v>9798</v>
      </c>
      <c r="D1690" s="12">
        <v>23</v>
      </c>
      <c r="E1690" s="7" t="s">
        <v>9895</v>
      </c>
      <c r="F1690" s="7" t="s">
        <v>9896</v>
      </c>
      <c r="G1690" s="7" t="s">
        <v>825</v>
      </c>
      <c r="H1690" s="7" t="s">
        <v>44</v>
      </c>
      <c r="I1690" s="7" t="s">
        <v>49</v>
      </c>
      <c r="J1690" s="7" t="s">
        <v>233</v>
      </c>
      <c r="K1690" s="7" t="s">
        <v>5524</v>
      </c>
      <c r="L1690" s="12">
        <v>1</v>
      </c>
      <c r="M1690" s="7" t="s">
        <v>1892</v>
      </c>
    </row>
    <row r="1691" spans="2:13" ht="52.5" customHeight="1" x14ac:dyDescent="0.35">
      <c r="B1691" s="11">
        <v>89</v>
      </c>
      <c r="C1691" s="5" t="s">
        <v>9798</v>
      </c>
      <c r="D1691" s="11">
        <v>24</v>
      </c>
      <c r="E1691" s="5" t="s">
        <v>9897</v>
      </c>
      <c r="F1691" s="5" t="s">
        <v>9898</v>
      </c>
      <c r="G1691" s="5" t="s">
        <v>25</v>
      </c>
      <c r="H1691" s="5" t="s">
        <v>4915</v>
      </c>
      <c r="I1691" s="5" t="s">
        <v>9899</v>
      </c>
      <c r="J1691" s="5" t="s">
        <v>9900</v>
      </c>
      <c r="K1691" s="5" t="s">
        <v>9901</v>
      </c>
      <c r="L1691" s="11">
        <v>3</v>
      </c>
      <c r="M1691" s="5" t="s">
        <v>1892</v>
      </c>
    </row>
    <row r="1692" spans="2:13" ht="37.5" customHeight="1" x14ac:dyDescent="0.35">
      <c r="B1692" s="12">
        <v>89</v>
      </c>
      <c r="C1692" s="7" t="s">
        <v>9798</v>
      </c>
      <c r="D1692" s="12">
        <v>25</v>
      </c>
      <c r="E1692" s="7" t="s">
        <v>9902</v>
      </c>
      <c r="F1692" s="7" t="s">
        <v>9903</v>
      </c>
      <c r="G1692" s="7" t="s">
        <v>573</v>
      </c>
      <c r="H1692" s="7" t="s">
        <v>5123</v>
      </c>
      <c r="I1692" s="7" t="s">
        <v>9904</v>
      </c>
      <c r="J1692" s="7" t="s">
        <v>9905</v>
      </c>
      <c r="K1692" s="7" t="s">
        <v>9906</v>
      </c>
      <c r="L1692" s="12">
        <v>2</v>
      </c>
      <c r="M1692" s="7" t="s">
        <v>1892</v>
      </c>
    </row>
    <row r="1693" spans="2:13" ht="37.5" customHeight="1" x14ac:dyDescent="0.35">
      <c r="B1693" s="11">
        <v>89</v>
      </c>
      <c r="C1693" s="5" t="s">
        <v>9798</v>
      </c>
      <c r="D1693" s="11">
        <v>26</v>
      </c>
      <c r="E1693" s="5" t="s">
        <v>9907</v>
      </c>
      <c r="F1693" s="5" t="s">
        <v>9908</v>
      </c>
      <c r="G1693" s="5" t="s">
        <v>279</v>
      </c>
      <c r="H1693" s="5" t="s">
        <v>4393</v>
      </c>
      <c r="I1693" s="5" t="s">
        <v>5387</v>
      </c>
      <c r="J1693" s="5" t="s">
        <v>9909</v>
      </c>
      <c r="K1693" s="5" t="s">
        <v>9910</v>
      </c>
      <c r="L1693" s="11">
        <v>2</v>
      </c>
      <c r="M1693" s="5" t="s">
        <v>1892</v>
      </c>
    </row>
    <row r="1694" spans="2:13" ht="37.5" customHeight="1" x14ac:dyDescent="0.35">
      <c r="B1694" s="12">
        <v>89</v>
      </c>
      <c r="C1694" s="7" t="s">
        <v>9798</v>
      </c>
      <c r="D1694" s="12">
        <v>27</v>
      </c>
      <c r="E1694" s="7" t="s">
        <v>9911</v>
      </c>
      <c r="F1694" s="7" t="s">
        <v>9912</v>
      </c>
      <c r="G1694" s="7" t="s">
        <v>1076</v>
      </c>
      <c r="H1694" s="7" t="s">
        <v>1355</v>
      </c>
      <c r="I1694" s="7" t="s">
        <v>5310</v>
      </c>
      <c r="J1694" s="7" t="s">
        <v>9913</v>
      </c>
      <c r="K1694" s="7" t="s">
        <v>9914</v>
      </c>
      <c r="L1694" s="12">
        <v>2</v>
      </c>
      <c r="M1694" s="7" t="s">
        <v>1892</v>
      </c>
    </row>
    <row r="1695" spans="2:13" ht="37.5" customHeight="1" x14ac:dyDescent="0.35">
      <c r="B1695" s="11">
        <v>89</v>
      </c>
      <c r="C1695" s="5" t="s">
        <v>9798</v>
      </c>
      <c r="D1695" s="11">
        <v>28</v>
      </c>
      <c r="E1695" s="5" t="s">
        <v>9915</v>
      </c>
      <c r="F1695" s="5" t="s">
        <v>9916</v>
      </c>
      <c r="G1695" s="5" t="s">
        <v>32</v>
      </c>
      <c r="H1695" s="5" t="s">
        <v>1521</v>
      </c>
      <c r="I1695" s="5" t="s">
        <v>5310</v>
      </c>
      <c r="J1695" s="5" t="s">
        <v>9917</v>
      </c>
      <c r="K1695" s="5" t="s">
        <v>9918</v>
      </c>
      <c r="L1695" s="11">
        <v>2</v>
      </c>
      <c r="M1695" s="5" t="s">
        <v>1892</v>
      </c>
    </row>
    <row r="1696" spans="2:13" ht="37.5" customHeight="1" x14ac:dyDescent="0.35">
      <c r="B1696" s="12">
        <v>89</v>
      </c>
      <c r="C1696" s="7" t="s">
        <v>9798</v>
      </c>
      <c r="D1696" s="12">
        <v>29</v>
      </c>
      <c r="E1696" s="7" t="s">
        <v>9919</v>
      </c>
      <c r="F1696" s="7" t="s">
        <v>9920</v>
      </c>
      <c r="G1696" s="7" t="s">
        <v>560</v>
      </c>
      <c r="H1696" s="7" t="s">
        <v>1521</v>
      </c>
      <c r="I1696" s="7" t="s">
        <v>5310</v>
      </c>
      <c r="J1696" s="7" t="s">
        <v>9917</v>
      </c>
      <c r="K1696" s="7" t="s">
        <v>9918</v>
      </c>
      <c r="L1696" s="12">
        <v>2</v>
      </c>
      <c r="M1696" s="7" t="s">
        <v>1892</v>
      </c>
    </row>
    <row r="1697" spans="2:13" ht="37.5" customHeight="1" x14ac:dyDescent="0.35">
      <c r="B1697" s="11">
        <v>89</v>
      </c>
      <c r="C1697" s="5" t="s">
        <v>9798</v>
      </c>
      <c r="D1697" s="11">
        <v>30</v>
      </c>
      <c r="E1697" s="5" t="s">
        <v>9921</v>
      </c>
      <c r="F1697" s="5" t="s">
        <v>9922</v>
      </c>
      <c r="G1697" s="5" t="s">
        <v>4680</v>
      </c>
      <c r="H1697" s="5" t="s">
        <v>36</v>
      </c>
      <c r="I1697" s="5" t="s">
        <v>48</v>
      </c>
      <c r="J1697" s="5" t="s">
        <v>9308</v>
      </c>
      <c r="K1697" s="5" t="s">
        <v>9828</v>
      </c>
      <c r="L1697" s="11">
        <v>1</v>
      </c>
      <c r="M1697" s="5" t="s">
        <v>1892</v>
      </c>
    </row>
    <row r="1698" spans="2:13" ht="37.5" customHeight="1" x14ac:dyDescent="0.35">
      <c r="B1698" s="12">
        <v>89</v>
      </c>
      <c r="C1698" s="7" t="s">
        <v>9798</v>
      </c>
      <c r="D1698" s="12">
        <v>31</v>
      </c>
      <c r="E1698" s="7" t="s">
        <v>9923</v>
      </c>
      <c r="F1698" s="7" t="s">
        <v>9924</v>
      </c>
      <c r="G1698" s="7" t="s">
        <v>27</v>
      </c>
      <c r="H1698" s="7" t="s">
        <v>4720</v>
      </c>
      <c r="I1698" s="7" t="s">
        <v>6299</v>
      </c>
      <c r="J1698" s="7" t="s">
        <v>9909</v>
      </c>
      <c r="K1698" s="7" t="s">
        <v>9925</v>
      </c>
      <c r="L1698" s="12">
        <v>2</v>
      </c>
      <c r="M1698" s="7" t="s">
        <v>1892</v>
      </c>
    </row>
    <row r="1699" spans="2:13" ht="52.5" customHeight="1" x14ac:dyDescent="0.35">
      <c r="B1699" s="11">
        <v>89</v>
      </c>
      <c r="C1699" s="5" t="s">
        <v>9798</v>
      </c>
      <c r="D1699" s="11">
        <v>32</v>
      </c>
      <c r="E1699" s="5" t="s">
        <v>9926</v>
      </c>
      <c r="F1699" s="5" t="s">
        <v>9927</v>
      </c>
      <c r="G1699" s="5" t="s">
        <v>766</v>
      </c>
      <c r="H1699" s="5" t="s">
        <v>9928</v>
      </c>
      <c r="I1699" s="5" t="s">
        <v>7204</v>
      </c>
      <c r="J1699" s="5" t="s">
        <v>9929</v>
      </c>
      <c r="K1699" s="5" t="s">
        <v>9930</v>
      </c>
      <c r="L1699" s="11">
        <v>3</v>
      </c>
      <c r="M1699" s="5" t="s">
        <v>1892</v>
      </c>
    </row>
    <row r="1700" spans="2:13" ht="37.5" customHeight="1" x14ac:dyDescent="0.35">
      <c r="B1700" s="12">
        <v>89</v>
      </c>
      <c r="C1700" s="7" t="s">
        <v>9798</v>
      </c>
      <c r="D1700" s="12">
        <v>33</v>
      </c>
      <c r="E1700" s="7" t="s">
        <v>9931</v>
      </c>
      <c r="F1700" s="7" t="s">
        <v>9932</v>
      </c>
      <c r="G1700" s="7" t="s">
        <v>670</v>
      </c>
      <c r="H1700" s="7" t="s">
        <v>1521</v>
      </c>
      <c r="I1700" s="7" t="s">
        <v>5310</v>
      </c>
      <c r="J1700" s="7" t="s">
        <v>9917</v>
      </c>
      <c r="K1700" s="7" t="s">
        <v>9918</v>
      </c>
      <c r="L1700" s="12">
        <v>2</v>
      </c>
      <c r="M1700" s="7" t="s">
        <v>1892</v>
      </c>
    </row>
    <row r="1701" spans="2:13" ht="37.5" customHeight="1" x14ac:dyDescent="0.35">
      <c r="B1701" s="11">
        <v>89</v>
      </c>
      <c r="C1701" s="5" t="s">
        <v>9798</v>
      </c>
      <c r="D1701" s="11">
        <v>34</v>
      </c>
      <c r="E1701" s="5" t="s">
        <v>9933</v>
      </c>
      <c r="F1701" s="5" t="s">
        <v>9934</v>
      </c>
      <c r="G1701" s="5" t="s">
        <v>810</v>
      </c>
      <c r="H1701" s="5" t="s">
        <v>1521</v>
      </c>
      <c r="I1701" s="5" t="s">
        <v>5310</v>
      </c>
      <c r="J1701" s="5" t="s">
        <v>9917</v>
      </c>
      <c r="K1701" s="5" t="s">
        <v>9918</v>
      </c>
      <c r="L1701" s="11">
        <v>2</v>
      </c>
      <c r="M1701" s="5" t="s">
        <v>1892</v>
      </c>
    </row>
    <row r="1702" spans="2:13" ht="21.75" customHeight="1" x14ac:dyDescent="0.35">
      <c r="B1702" s="12">
        <v>89</v>
      </c>
      <c r="C1702" s="7" t="s">
        <v>9798</v>
      </c>
      <c r="D1702" s="12">
        <v>35</v>
      </c>
      <c r="E1702" s="7" t="s">
        <v>9935</v>
      </c>
      <c r="F1702" s="7" t="s">
        <v>9936</v>
      </c>
      <c r="G1702" s="7" t="s">
        <v>402</v>
      </c>
      <c r="H1702" s="7" t="s">
        <v>37</v>
      </c>
      <c r="I1702" s="7" t="s">
        <v>55</v>
      </c>
      <c r="J1702" s="7" t="s">
        <v>1988</v>
      </c>
      <c r="K1702" s="7" t="s">
        <v>9720</v>
      </c>
      <c r="L1702" s="12">
        <v>1</v>
      </c>
      <c r="M1702" s="7" t="s">
        <v>1892</v>
      </c>
    </row>
    <row r="1703" spans="2:13" ht="37.5" customHeight="1" x14ac:dyDescent="0.35">
      <c r="B1703" s="11">
        <v>89</v>
      </c>
      <c r="C1703" s="5" t="s">
        <v>9798</v>
      </c>
      <c r="D1703" s="11">
        <v>36</v>
      </c>
      <c r="E1703" s="5" t="s">
        <v>9937</v>
      </c>
      <c r="F1703" s="5" t="s">
        <v>9938</v>
      </c>
      <c r="G1703" s="5" t="s">
        <v>733</v>
      </c>
      <c r="H1703" s="5" t="s">
        <v>36</v>
      </c>
      <c r="I1703" s="5" t="s">
        <v>48</v>
      </c>
      <c r="J1703" s="5" t="s">
        <v>9308</v>
      </c>
      <c r="K1703" s="5" t="s">
        <v>9828</v>
      </c>
      <c r="L1703" s="11">
        <v>1</v>
      </c>
      <c r="M1703" s="5" t="s">
        <v>1892</v>
      </c>
    </row>
    <row r="1704" spans="2:13" ht="37.5" customHeight="1" x14ac:dyDescent="0.35">
      <c r="B1704" s="12">
        <v>89</v>
      </c>
      <c r="C1704" s="7" t="s">
        <v>9798</v>
      </c>
      <c r="D1704" s="12">
        <v>37</v>
      </c>
      <c r="E1704" s="7" t="s">
        <v>9939</v>
      </c>
      <c r="F1704" s="7" t="s">
        <v>9940</v>
      </c>
      <c r="G1704" s="7" t="s">
        <v>585</v>
      </c>
      <c r="H1704" s="7" t="s">
        <v>37</v>
      </c>
      <c r="I1704" s="7" t="s">
        <v>55</v>
      </c>
      <c r="J1704" s="7" t="s">
        <v>1988</v>
      </c>
      <c r="K1704" s="7" t="s">
        <v>9720</v>
      </c>
      <c r="L1704" s="12">
        <v>1</v>
      </c>
      <c r="M1704" s="7" t="s">
        <v>1892</v>
      </c>
    </row>
    <row r="1705" spans="2:13" ht="52.5" customHeight="1" x14ac:dyDescent="0.35">
      <c r="B1705" s="11">
        <v>89</v>
      </c>
      <c r="C1705" s="5" t="s">
        <v>9798</v>
      </c>
      <c r="D1705" s="11">
        <v>38</v>
      </c>
      <c r="E1705" s="5" t="s">
        <v>9941</v>
      </c>
      <c r="F1705" s="5" t="s">
        <v>9942</v>
      </c>
      <c r="G1705" s="5" t="s">
        <v>9943</v>
      </c>
      <c r="H1705" s="5" t="s">
        <v>5123</v>
      </c>
      <c r="I1705" s="5" t="s">
        <v>9944</v>
      </c>
      <c r="J1705" s="5" t="s">
        <v>9905</v>
      </c>
      <c r="K1705" s="5" t="s">
        <v>9945</v>
      </c>
      <c r="L1705" s="11">
        <v>2</v>
      </c>
      <c r="M1705" s="5" t="s">
        <v>1892</v>
      </c>
    </row>
    <row r="1706" spans="2:13" ht="37.5" customHeight="1" x14ac:dyDescent="0.35">
      <c r="B1706" s="12">
        <v>89</v>
      </c>
      <c r="C1706" s="7" t="s">
        <v>9798</v>
      </c>
      <c r="D1706" s="12">
        <v>39</v>
      </c>
      <c r="E1706" s="7" t="s">
        <v>9946</v>
      </c>
      <c r="F1706" s="7" t="s">
        <v>9947</v>
      </c>
      <c r="G1706" s="7" t="s">
        <v>395</v>
      </c>
      <c r="H1706" s="7" t="s">
        <v>306</v>
      </c>
      <c r="I1706" s="7" t="s">
        <v>5332</v>
      </c>
      <c r="J1706" s="7" t="s">
        <v>9888</v>
      </c>
      <c r="K1706" s="7" t="s">
        <v>9948</v>
      </c>
      <c r="L1706" s="12">
        <v>2</v>
      </c>
      <c r="M1706" s="7" t="s">
        <v>1892</v>
      </c>
    </row>
    <row r="1707" spans="2:13" ht="37.5" customHeight="1" x14ac:dyDescent="0.35">
      <c r="B1707" s="11">
        <v>89</v>
      </c>
      <c r="C1707" s="5" t="s">
        <v>9798</v>
      </c>
      <c r="D1707" s="11">
        <v>40</v>
      </c>
      <c r="E1707" s="5" t="s">
        <v>9949</v>
      </c>
      <c r="F1707" s="5" t="s">
        <v>9950</v>
      </c>
      <c r="G1707" s="5" t="s">
        <v>24</v>
      </c>
      <c r="H1707" s="5" t="s">
        <v>1521</v>
      </c>
      <c r="I1707" s="5" t="s">
        <v>5310</v>
      </c>
      <c r="J1707" s="5" t="s">
        <v>9917</v>
      </c>
      <c r="K1707" s="5" t="s">
        <v>9918</v>
      </c>
      <c r="L1707" s="11">
        <v>2</v>
      </c>
      <c r="M1707" s="5" t="s">
        <v>1892</v>
      </c>
    </row>
    <row r="1708" spans="2:13" ht="37.5" customHeight="1" x14ac:dyDescent="0.35">
      <c r="B1708" s="12">
        <v>89</v>
      </c>
      <c r="C1708" s="7" t="s">
        <v>9798</v>
      </c>
      <c r="D1708" s="12">
        <v>41</v>
      </c>
      <c r="E1708" s="7" t="s">
        <v>9951</v>
      </c>
      <c r="F1708" s="7" t="s">
        <v>9952</v>
      </c>
      <c r="G1708" s="7" t="s">
        <v>9953</v>
      </c>
      <c r="H1708" s="7" t="s">
        <v>36</v>
      </c>
      <c r="I1708" s="7" t="s">
        <v>48</v>
      </c>
      <c r="J1708" s="7" t="s">
        <v>9308</v>
      </c>
      <c r="K1708" s="7" t="s">
        <v>9828</v>
      </c>
      <c r="L1708" s="12">
        <v>1</v>
      </c>
      <c r="M1708" s="7" t="s">
        <v>1892</v>
      </c>
    </row>
    <row r="1709" spans="2:13" ht="37.5" customHeight="1" x14ac:dyDescent="0.35">
      <c r="B1709" s="11">
        <v>89</v>
      </c>
      <c r="C1709" s="5" t="s">
        <v>9798</v>
      </c>
      <c r="D1709" s="11">
        <v>42</v>
      </c>
      <c r="E1709" s="5" t="s">
        <v>9954</v>
      </c>
      <c r="F1709" s="5" t="s">
        <v>9955</v>
      </c>
      <c r="G1709" s="5" t="s">
        <v>282</v>
      </c>
      <c r="H1709" s="5" t="s">
        <v>36</v>
      </c>
      <c r="I1709" s="5" t="s">
        <v>48</v>
      </c>
      <c r="J1709" s="5" t="s">
        <v>9308</v>
      </c>
      <c r="K1709" s="5" t="s">
        <v>9828</v>
      </c>
      <c r="L1709" s="11">
        <v>1</v>
      </c>
      <c r="M1709" s="5" t="s">
        <v>1892</v>
      </c>
    </row>
    <row r="1710" spans="2:13" ht="37.5" customHeight="1" x14ac:dyDescent="0.35">
      <c r="B1710" s="12">
        <v>89</v>
      </c>
      <c r="C1710" s="7" t="s">
        <v>9798</v>
      </c>
      <c r="D1710" s="12">
        <v>43</v>
      </c>
      <c r="E1710" s="7" t="s">
        <v>9956</v>
      </c>
      <c r="F1710" s="7" t="s">
        <v>9957</v>
      </c>
      <c r="G1710" s="7" t="s">
        <v>33</v>
      </c>
      <c r="H1710" s="7" t="s">
        <v>1521</v>
      </c>
      <c r="I1710" s="7" t="s">
        <v>5310</v>
      </c>
      <c r="J1710" s="7" t="s">
        <v>9917</v>
      </c>
      <c r="K1710" s="7" t="s">
        <v>9918</v>
      </c>
      <c r="L1710" s="12">
        <v>2</v>
      </c>
      <c r="M1710" s="7" t="s">
        <v>1892</v>
      </c>
    </row>
    <row r="1711" spans="2:13" ht="37.5" customHeight="1" x14ac:dyDescent="0.35">
      <c r="B1711" s="11">
        <v>89</v>
      </c>
      <c r="C1711" s="5" t="s">
        <v>9798</v>
      </c>
      <c r="D1711" s="11">
        <v>44</v>
      </c>
      <c r="E1711" s="5" t="s">
        <v>9958</v>
      </c>
      <c r="F1711" s="5" t="s">
        <v>9959</v>
      </c>
      <c r="G1711" s="5" t="s">
        <v>701</v>
      </c>
      <c r="H1711" s="5" t="s">
        <v>36</v>
      </c>
      <c r="I1711" s="5" t="s">
        <v>48</v>
      </c>
      <c r="J1711" s="5" t="s">
        <v>9308</v>
      </c>
      <c r="K1711" s="5" t="s">
        <v>9828</v>
      </c>
      <c r="L1711" s="11">
        <v>1</v>
      </c>
      <c r="M1711" s="5" t="s">
        <v>1892</v>
      </c>
    </row>
    <row r="1712" spans="2:13" ht="37.5" customHeight="1" x14ac:dyDescent="0.35">
      <c r="B1712" s="12">
        <v>89</v>
      </c>
      <c r="C1712" s="7" t="s">
        <v>9798</v>
      </c>
      <c r="D1712" s="12">
        <v>45</v>
      </c>
      <c r="E1712" s="7" t="s">
        <v>9960</v>
      </c>
      <c r="F1712" s="7" t="s">
        <v>9961</v>
      </c>
      <c r="G1712" s="7" t="s">
        <v>939</v>
      </c>
      <c r="H1712" s="7" t="s">
        <v>1521</v>
      </c>
      <c r="I1712" s="7" t="s">
        <v>5310</v>
      </c>
      <c r="J1712" s="7" t="s">
        <v>9917</v>
      </c>
      <c r="K1712" s="7" t="s">
        <v>9918</v>
      </c>
      <c r="L1712" s="12">
        <v>2</v>
      </c>
      <c r="M1712" s="7" t="s">
        <v>1892</v>
      </c>
    </row>
    <row r="1713" spans="2:13" ht="21.75" customHeight="1" x14ac:dyDescent="0.35">
      <c r="B1713" s="11">
        <v>89</v>
      </c>
      <c r="C1713" s="5" t="s">
        <v>9798</v>
      </c>
      <c r="D1713" s="11">
        <v>46</v>
      </c>
      <c r="E1713" s="5" t="s">
        <v>9962</v>
      </c>
      <c r="F1713" s="5" t="s">
        <v>9963</v>
      </c>
      <c r="G1713" s="5" t="s">
        <v>749</v>
      </c>
      <c r="H1713" s="5" t="s">
        <v>36</v>
      </c>
      <c r="I1713" s="5" t="s">
        <v>1885</v>
      </c>
      <c r="J1713" s="5" t="s">
        <v>9308</v>
      </c>
      <c r="K1713" s="5" t="s">
        <v>9964</v>
      </c>
      <c r="L1713" s="11">
        <v>1</v>
      </c>
      <c r="M1713" s="5" t="s">
        <v>1892</v>
      </c>
    </row>
    <row r="1714" spans="2:13" ht="21.75" customHeight="1" x14ac:dyDescent="0.35">
      <c r="B1714" s="12">
        <v>89</v>
      </c>
      <c r="C1714" s="7" t="s">
        <v>9798</v>
      </c>
      <c r="D1714" s="12">
        <v>47</v>
      </c>
      <c r="E1714" s="7" t="s">
        <v>9965</v>
      </c>
      <c r="F1714" s="7" t="s">
        <v>9966</v>
      </c>
      <c r="G1714" s="7" t="s">
        <v>541</v>
      </c>
      <c r="H1714" s="7" t="s">
        <v>36</v>
      </c>
      <c r="I1714" s="7" t="s">
        <v>1885</v>
      </c>
      <c r="J1714" s="7" t="s">
        <v>9308</v>
      </c>
      <c r="K1714" s="7" t="s">
        <v>9964</v>
      </c>
      <c r="L1714" s="12">
        <v>1</v>
      </c>
      <c r="M1714" s="7" t="s">
        <v>1892</v>
      </c>
    </row>
    <row r="1715" spans="2:13" ht="21.75" customHeight="1" x14ac:dyDescent="0.35">
      <c r="B1715" s="11">
        <v>89</v>
      </c>
      <c r="C1715" s="5" t="s">
        <v>9798</v>
      </c>
      <c r="D1715" s="11">
        <v>48</v>
      </c>
      <c r="E1715" s="5" t="s">
        <v>9967</v>
      </c>
      <c r="F1715" s="5" t="s">
        <v>9968</v>
      </c>
      <c r="G1715" s="5" t="s">
        <v>249</v>
      </c>
      <c r="H1715" s="5" t="s">
        <v>41</v>
      </c>
      <c r="I1715" s="5" t="s">
        <v>49</v>
      </c>
      <c r="J1715" s="5" t="s">
        <v>1063</v>
      </c>
      <c r="K1715" s="5" t="s">
        <v>6492</v>
      </c>
      <c r="L1715" s="11">
        <v>1</v>
      </c>
      <c r="M1715" s="5" t="s">
        <v>1892</v>
      </c>
    </row>
    <row r="1716" spans="2:13" ht="37.5" customHeight="1" x14ac:dyDescent="0.35">
      <c r="B1716" s="12">
        <v>89</v>
      </c>
      <c r="C1716" s="7" t="s">
        <v>9798</v>
      </c>
      <c r="D1716" s="12">
        <v>49</v>
      </c>
      <c r="E1716" s="7" t="s">
        <v>9969</v>
      </c>
      <c r="F1716" s="7" t="s">
        <v>9970</v>
      </c>
      <c r="G1716" s="7" t="s">
        <v>742</v>
      </c>
      <c r="H1716" s="7" t="s">
        <v>36</v>
      </c>
      <c r="I1716" s="7" t="s">
        <v>48</v>
      </c>
      <c r="J1716" s="7" t="s">
        <v>9308</v>
      </c>
      <c r="K1716" s="7" t="s">
        <v>9828</v>
      </c>
      <c r="L1716" s="12">
        <v>1</v>
      </c>
      <c r="M1716" s="7" t="s">
        <v>1892</v>
      </c>
    </row>
    <row r="1717" spans="2:13" ht="37.5" customHeight="1" x14ac:dyDescent="0.35">
      <c r="B1717" s="11">
        <v>89</v>
      </c>
      <c r="C1717" s="5" t="s">
        <v>9798</v>
      </c>
      <c r="D1717" s="11">
        <v>50</v>
      </c>
      <c r="E1717" s="5" t="s">
        <v>9971</v>
      </c>
      <c r="F1717" s="5" t="s">
        <v>9972</v>
      </c>
      <c r="G1717" s="5" t="s">
        <v>513</v>
      </c>
      <c r="H1717" s="5" t="s">
        <v>42</v>
      </c>
      <c r="I1717" s="5" t="s">
        <v>4657</v>
      </c>
      <c r="J1717" s="5" t="s">
        <v>9973</v>
      </c>
      <c r="K1717" s="5" t="s">
        <v>9974</v>
      </c>
      <c r="L1717" s="11">
        <v>1</v>
      </c>
      <c r="M1717" s="5" t="s">
        <v>1892</v>
      </c>
    </row>
    <row r="1718" spans="2:13" ht="21.75" customHeight="1" x14ac:dyDescent="0.35">
      <c r="B1718" s="12">
        <v>89</v>
      </c>
      <c r="C1718" s="7" t="s">
        <v>9798</v>
      </c>
      <c r="D1718" s="12">
        <v>51</v>
      </c>
      <c r="E1718" s="7" t="s">
        <v>9975</v>
      </c>
      <c r="F1718" s="7" t="s">
        <v>9976</v>
      </c>
      <c r="G1718" s="7" t="s">
        <v>625</v>
      </c>
      <c r="H1718" s="7" t="s">
        <v>36</v>
      </c>
      <c r="I1718" s="7" t="s">
        <v>48</v>
      </c>
      <c r="J1718" s="7" t="s">
        <v>9308</v>
      </c>
      <c r="K1718" s="7" t="s">
        <v>9828</v>
      </c>
      <c r="L1718" s="12">
        <v>1</v>
      </c>
      <c r="M1718" s="7" t="s">
        <v>1892</v>
      </c>
    </row>
    <row r="1719" spans="2:13" ht="37.5" customHeight="1" x14ac:dyDescent="0.35">
      <c r="B1719" s="11">
        <v>89</v>
      </c>
      <c r="C1719" s="5" t="s">
        <v>9798</v>
      </c>
      <c r="D1719" s="11">
        <v>52</v>
      </c>
      <c r="E1719" s="5" t="s">
        <v>9977</v>
      </c>
      <c r="F1719" s="5" t="s">
        <v>9978</v>
      </c>
      <c r="G1719" s="5" t="s">
        <v>6090</v>
      </c>
      <c r="H1719" s="5" t="s">
        <v>36</v>
      </c>
      <c r="I1719" s="5" t="s">
        <v>48</v>
      </c>
      <c r="J1719" s="5" t="s">
        <v>9308</v>
      </c>
      <c r="K1719" s="5" t="s">
        <v>9828</v>
      </c>
      <c r="L1719" s="11">
        <v>1</v>
      </c>
      <c r="M1719" s="5" t="s">
        <v>1892</v>
      </c>
    </row>
    <row r="1720" spans="2:13" ht="21.75" customHeight="1" x14ac:dyDescent="0.35">
      <c r="B1720" s="12">
        <v>89</v>
      </c>
      <c r="C1720" s="7" t="s">
        <v>9798</v>
      </c>
      <c r="D1720" s="12">
        <v>53</v>
      </c>
      <c r="E1720" s="7" t="s">
        <v>9979</v>
      </c>
      <c r="F1720" s="7" t="s">
        <v>9980</v>
      </c>
      <c r="G1720" s="7" t="s">
        <v>755</v>
      </c>
      <c r="H1720" s="7" t="s">
        <v>37</v>
      </c>
      <c r="I1720" s="7" t="s">
        <v>55</v>
      </c>
      <c r="J1720" s="7" t="s">
        <v>1988</v>
      </c>
      <c r="K1720" s="7" t="s">
        <v>9720</v>
      </c>
      <c r="L1720" s="12">
        <v>1</v>
      </c>
      <c r="M1720" s="7" t="s">
        <v>1892</v>
      </c>
    </row>
    <row r="1721" spans="2:13" ht="21.75" customHeight="1" x14ac:dyDescent="0.35">
      <c r="B1721" s="11">
        <v>89</v>
      </c>
      <c r="C1721" s="5" t="s">
        <v>9798</v>
      </c>
      <c r="D1721" s="11">
        <v>54</v>
      </c>
      <c r="E1721" s="5" t="s">
        <v>9981</v>
      </c>
      <c r="F1721" s="5" t="s">
        <v>9982</v>
      </c>
      <c r="G1721" s="5" t="s">
        <v>862</v>
      </c>
      <c r="H1721" s="5" t="s">
        <v>36</v>
      </c>
      <c r="I1721" s="5" t="s">
        <v>48</v>
      </c>
      <c r="J1721" s="5" t="s">
        <v>9308</v>
      </c>
      <c r="K1721" s="5" t="s">
        <v>9828</v>
      </c>
      <c r="L1721" s="11">
        <v>1</v>
      </c>
      <c r="M1721" s="5" t="s">
        <v>1892</v>
      </c>
    </row>
    <row r="1722" spans="2:13" ht="21.75" customHeight="1" x14ac:dyDescent="0.35">
      <c r="B1722" s="12">
        <v>89</v>
      </c>
      <c r="C1722" s="7" t="s">
        <v>9798</v>
      </c>
      <c r="D1722" s="12">
        <v>55</v>
      </c>
      <c r="E1722" s="7" t="s">
        <v>9983</v>
      </c>
      <c r="F1722" s="7" t="s">
        <v>9984</v>
      </c>
      <c r="G1722" s="7" t="s">
        <v>1373</v>
      </c>
      <c r="H1722" s="7" t="s">
        <v>36</v>
      </c>
      <c r="I1722" s="7" t="s">
        <v>48</v>
      </c>
      <c r="J1722" s="7" t="s">
        <v>9308</v>
      </c>
      <c r="K1722" s="7" t="s">
        <v>9828</v>
      </c>
      <c r="L1722" s="12">
        <v>1</v>
      </c>
      <c r="M1722" s="7" t="s">
        <v>1892</v>
      </c>
    </row>
    <row r="1723" spans="2:13" ht="21.75" customHeight="1" x14ac:dyDescent="0.35">
      <c r="B1723" s="11">
        <v>89</v>
      </c>
      <c r="C1723" s="5" t="s">
        <v>9798</v>
      </c>
      <c r="D1723" s="11">
        <v>56</v>
      </c>
      <c r="E1723" s="5" t="s">
        <v>9985</v>
      </c>
      <c r="F1723" s="5" t="s">
        <v>9986</v>
      </c>
      <c r="G1723" s="5" t="s">
        <v>3135</v>
      </c>
      <c r="H1723" s="5" t="s">
        <v>45</v>
      </c>
      <c r="I1723" s="5" t="s">
        <v>55</v>
      </c>
      <c r="J1723" s="5" t="s">
        <v>177</v>
      </c>
      <c r="K1723" s="5" t="s">
        <v>9716</v>
      </c>
      <c r="L1723" s="11">
        <v>1</v>
      </c>
      <c r="M1723" s="5" t="s">
        <v>1892</v>
      </c>
    </row>
    <row r="1724" spans="2:13" ht="21.75" customHeight="1" x14ac:dyDescent="0.35">
      <c r="B1724" s="12">
        <v>89</v>
      </c>
      <c r="C1724" s="7" t="s">
        <v>9798</v>
      </c>
      <c r="D1724" s="12">
        <v>57</v>
      </c>
      <c r="E1724" s="7" t="s">
        <v>9987</v>
      </c>
      <c r="F1724" s="7" t="s">
        <v>9988</v>
      </c>
      <c r="G1724" s="7" t="s">
        <v>212</v>
      </c>
      <c r="H1724" s="7" t="s">
        <v>41</v>
      </c>
      <c r="I1724" s="7" t="s">
        <v>49</v>
      </c>
      <c r="J1724" s="7" t="s">
        <v>233</v>
      </c>
      <c r="K1724" s="7" t="s">
        <v>5172</v>
      </c>
      <c r="L1724" s="12">
        <v>1</v>
      </c>
      <c r="M1724" s="7" t="s">
        <v>1892</v>
      </c>
    </row>
    <row r="1725" spans="2:13" ht="37.5" customHeight="1" x14ac:dyDescent="0.35">
      <c r="B1725" s="11">
        <v>89</v>
      </c>
      <c r="C1725" s="5" t="s">
        <v>9798</v>
      </c>
      <c r="D1725" s="11">
        <v>58</v>
      </c>
      <c r="E1725" s="5" t="s">
        <v>9989</v>
      </c>
      <c r="F1725" s="5" t="s">
        <v>9990</v>
      </c>
      <c r="G1725" s="5" t="s">
        <v>25</v>
      </c>
      <c r="H1725" s="5" t="s">
        <v>4580</v>
      </c>
      <c r="I1725" s="5" t="s">
        <v>5143</v>
      </c>
      <c r="J1725" s="5" t="s">
        <v>9991</v>
      </c>
      <c r="K1725" s="5" t="s">
        <v>9992</v>
      </c>
      <c r="L1725" s="11">
        <v>2</v>
      </c>
      <c r="M1725" s="5" t="s">
        <v>1892</v>
      </c>
    </row>
    <row r="1726" spans="2:13" ht="37.5" customHeight="1" x14ac:dyDescent="0.35">
      <c r="B1726" s="12">
        <v>89</v>
      </c>
      <c r="C1726" s="7" t="s">
        <v>9798</v>
      </c>
      <c r="D1726" s="12">
        <v>59</v>
      </c>
      <c r="E1726" s="7" t="s">
        <v>9993</v>
      </c>
      <c r="F1726" s="7" t="s">
        <v>9994</v>
      </c>
      <c r="G1726" s="7" t="s">
        <v>752</v>
      </c>
      <c r="H1726" s="7" t="s">
        <v>37</v>
      </c>
      <c r="I1726" s="7" t="s">
        <v>55</v>
      </c>
      <c r="J1726" s="7" t="s">
        <v>1988</v>
      </c>
      <c r="K1726" s="7" t="s">
        <v>9720</v>
      </c>
      <c r="L1726" s="12">
        <v>1</v>
      </c>
      <c r="M1726" s="7" t="s">
        <v>1892</v>
      </c>
    </row>
    <row r="1727" spans="2:13" ht="37.5" customHeight="1" x14ac:dyDescent="0.35">
      <c r="B1727" s="11">
        <v>89</v>
      </c>
      <c r="C1727" s="5" t="s">
        <v>9798</v>
      </c>
      <c r="D1727" s="11">
        <v>60</v>
      </c>
      <c r="E1727" s="5" t="s">
        <v>9995</v>
      </c>
      <c r="F1727" s="5" t="s">
        <v>9996</v>
      </c>
      <c r="G1727" s="5" t="s">
        <v>831</v>
      </c>
      <c r="H1727" s="5" t="s">
        <v>37</v>
      </c>
      <c r="I1727" s="5" t="s">
        <v>55</v>
      </c>
      <c r="J1727" s="5" t="s">
        <v>1988</v>
      </c>
      <c r="K1727" s="5" t="s">
        <v>9720</v>
      </c>
      <c r="L1727" s="11">
        <v>1</v>
      </c>
      <c r="M1727" s="5" t="s">
        <v>1892</v>
      </c>
    </row>
    <row r="1728" spans="2:13" ht="37.5" customHeight="1" x14ac:dyDescent="0.35">
      <c r="B1728" s="12">
        <v>89</v>
      </c>
      <c r="C1728" s="7" t="s">
        <v>9798</v>
      </c>
      <c r="D1728" s="12">
        <v>61</v>
      </c>
      <c r="E1728" s="7" t="s">
        <v>9997</v>
      </c>
      <c r="F1728" s="7" t="s">
        <v>9998</v>
      </c>
      <c r="G1728" s="7" t="s">
        <v>736</v>
      </c>
      <c r="H1728" s="7" t="s">
        <v>41</v>
      </c>
      <c r="I1728" s="7" t="s">
        <v>49</v>
      </c>
      <c r="J1728" s="7" t="s">
        <v>4098</v>
      </c>
      <c r="K1728" s="7" t="s">
        <v>9999</v>
      </c>
      <c r="L1728" s="12">
        <v>1</v>
      </c>
      <c r="M1728" s="7" t="s">
        <v>1892</v>
      </c>
    </row>
    <row r="1729" spans="2:13" ht="37.5" customHeight="1" x14ac:dyDescent="0.35">
      <c r="B1729" s="11">
        <v>89</v>
      </c>
      <c r="C1729" s="5" t="s">
        <v>9798</v>
      </c>
      <c r="D1729" s="11">
        <v>62</v>
      </c>
      <c r="E1729" s="5" t="s">
        <v>10000</v>
      </c>
      <c r="F1729" s="5" t="s">
        <v>10001</v>
      </c>
      <c r="G1729" s="5" t="s">
        <v>552</v>
      </c>
      <c r="H1729" s="5" t="s">
        <v>36</v>
      </c>
      <c r="I1729" s="5" t="s">
        <v>48</v>
      </c>
      <c r="J1729" s="5" t="s">
        <v>9308</v>
      </c>
      <c r="K1729" s="5" t="s">
        <v>9828</v>
      </c>
      <c r="L1729" s="11">
        <v>1</v>
      </c>
      <c r="M1729" s="5" t="s">
        <v>1892</v>
      </c>
    </row>
    <row r="1730" spans="2:13" ht="21.75" customHeight="1" x14ac:dyDescent="0.35">
      <c r="B1730" s="12">
        <v>89</v>
      </c>
      <c r="C1730" s="7" t="s">
        <v>9798</v>
      </c>
      <c r="D1730" s="12">
        <v>63</v>
      </c>
      <c r="E1730" s="7" t="s">
        <v>10002</v>
      </c>
      <c r="F1730" s="7" t="s">
        <v>10003</v>
      </c>
      <c r="G1730" s="7" t="s">
        <v>973</v>
      </c>
      <c r="H1730" s="7" t="s">
        <v>36</v>
      </c>
      <c r="I1730" s="7" t="s">
        <v>48</v>
      </c>
      <c r="J1730" s="7" t="s">
        <v>9308</v>
      </c>
      <c r="K1730" s="7" t="s">
        <v>9828</v>
      </c>
      <c r="L1730" s="12">
        <v>1</v>
      </c>
      <c r="M1730" s="7" t="s">
        <v>1892</v>
      </c>
    </row>
    <row r="1731" spans="2:13" ht="37.5" customHeight="1" x14ac:dyDescent="0.35">
      <c r="B1731" s="11">
        <v>89</v>
      </c>
      <c r="C1731" s="5" t="s">
        <v>9798</v>
      </c>
      <c r="D1731" s="11">
        <v>64</v>
      </c>
      <c r="E1731" s="5" t="s">
        <v>10004</v>
      </c>
      <c r="F1731" s="5" t="s">
        <v>10005</v>
      </c>
      <c r="G1731" s="5" t="s">
        <v>457</v>
      </c>
      <c r="H1731" s="5" t="s">
        <v>4752</v>
      </c>
      <c r="I1731" s="5" t="s">
        <v>5583</v>
      </c>
      <c r="J1731" s="5" t="s">
        <v>10006</v>
      </c>
      <c r="K1731" s="5" t="s">
        <v>10007</v>
      </c>
      <c r="L1731" s="11">
        <v>2</v>
      </c>
      <c r="M1731" s="5" t="s">
        <v>1892</v>
      </c>
    </row>
    <row r="1732" spans="2:13" ht="37.5" customHeight="1" x14ac:dyDescent="0.35">
      <c r="B1732" s="12">
        <v>89</v>
      </c>
      <c r="C1732" s="7" t="s">
        <v>9798</v>
      </c>
      <c r="D1732" s="12">
        <v>65</v>
      </c>
      <c r="E1732" s="7" t="s">
        <v>10008</v>
      </c>
      <c r="F1732" s="7" t="s">
        <v>10009</v>
      </c>
      <c r="G1732" s="7" t="s">
        <v>805</v>
      </c>
      <c r="H1732" s="7" t="s">
        <v>36</v>
      </c>
      <c r="I1732" s="7" t="s">
        <v>48</v>
      </c>
      <c r="J1732" s="7" t="s">
        <v>9308</v>
      </c>
      <c r="K1732" s="7" t="s">
        <v>9828</v>
      </c>
      <c r="L1732" s="12">
        <v>1</v>
      </c>
      <c r="M1732" s="7" t="s">
        <v>1892</v>
      </c>
    </row>
    <row r="1733" spans="2:13" ht="21.75" customHeight="1" x14ac:dyDescent="0.35">
      <c r="B1733" s="11">
        <v>89</v>
      </c>
      <c r="C1733" s="5" t="s">
        <v>9798</v>
      </c>
      <c r="D1733" s="11">
        <v>66</v>
      </c>
      <c r="E1733" s="5" t="s">
        <v>10010</v>
      </c>
      <c r="F1733" s="5" t="s">
        <v>10011</v>
      </c>
      <c r="G1733" s="5" t="s">
        <v>1680</v>
      </c>
      <c r="H1733" s="5" t="s">
        <v>36</v>
      </c>
      <c r="I1733" s="5" t="s">
        <v>48</v>
      </c>
      <c r="J1733" s="5" t="s">
        <v>9308</v>
      </c>
      <c r="K1733" s="5" t="s">
        <v>9828</v>
      </c>
      <c r="L1733" s="11">
        <v>1</v>
      </c>
      <c r="M1733" s="5" t="s">
        <v>1892</v>
      </c>
    </row>
    <row r="1734" spans="2:13" ht="21.75" customHeight="1" x14ac:dyDescent="0.35">
      <c r="B1734" s="12">
        <v>89</v>
      </c>
      <c r="C1734" s="7" t="s">
        <v>9798</v>
      </c>
      <c r="D1734" s="12">
        <v>67</v>
      </c>
      <c r="E1734" s="7" t="s">
        <v>10012</v>
      </c>
      <c r="F1734" s="7" t="s">
        <v>10013</v>
      </c>
      <c r="G1734" s="7" t="s">
        <v>6211</v>
      </c>
      <c r="H1734" s="7" t="s">
        <v>36</v>
      </c>
      <c r="I1734" s="7" t="s">
        <v>48</v>
      </c>
      <c r="J1734" s="7" t="s">
        <v>10014</v>
      </c>
      <c r="K1734" s="7" t="s">
        <v>10015</v>
      </c>
      <c r="L1734" s="12">
        <v>1</v>
      </c>
      <c r="M1734" s="7" t="s">
        <v>1892</v>
      </c>
    </row>
    <row r="1735" spans="2:13" ht="37.5" customHeight="1" x14ac:dyDescent="0.35">
      <c r="B1735" s="11">
        <v>89</v>
      </c>
      <c r="C1735" s="5" t="s">
        <v>9798</v>
      </c>
      <c r="D1735" s="11">
        <v>68</v>
      </c>
      <c r="E1735" s="5" t="s">
        <v>10016</v>
      </c>
      <c r="F1735" s="5" t="s">
        <v>10017</v>
      </c>
      <c r="G1735" s="5" t="s">
        <v>10018</v>
      </c>
      <c r="H1735" s="5" t="s">
        <v>36</v>
      </c>
      <c r="I1735" s="5" t="s">
        <v>48</v>
      </c>
      <c r="J1735" s="5" t="s">
        <v>9308</v>
      </c>
      <c r="K1735" s="5" t="s">
        <v>9828</v>
      </c>
      <c r="L1735" s="11">
        <v>1</v>
      </c>
      <c r="M1735" s="5" t="s">
        <v>1892</v>
      </c>
    </row>
    <row r="1736" spans="2:13" ht="21.75" customHeight="1" x14ac:dyDescent="0.35">
      <c r="B1736" s="12">
        <v>89</v>
      </c>
      <c r="C1736" s="7" t="s">
        <v>9798</v>
      </c>
      <c r="D1736" s="12">
        <v>69</v>
      </c>
      <c r="E1736" s="7" t="s">
        <v>10019</v>
      </c>
      <c r="F1736" s="7" t="s">
        <v>10020</v>
      </c>
      <c r="G1736" s="7" t="s">
        <v>198</v>
      </c>
      <c r="H1736" s="7" t="s">
        <v>39</v>
      </c>
      <c r="I1736" s="7" t="s">
        <v>57</v>
      </c>
      <c r="J1736" s="7" t="s">
        <v>10021</v>
      </c>
      <c r="K1736" s="7" t="s">
        <v>10022</v>
      </c>
      <c r="L1736" s="12">
        <v>1</v>
      </c>
      <c r="M1736" s="7" t="s">
        <v>1892</v>
      </c>
    </row>
    <row r="1737" spans="2:13" ht="37.5" customHeight="1" x14ac:dyDescent="0.35">
      <c r="B1737" s="11">
        <v>89</v>
      </c>
      <c r="C1737" s="5" t="s">
        <v>9798</v>
      </c>
      <c r="D1737" s="11">
        <v>70</v>
      </c>
      <c r="E1737" s="5" t="s">
        <v>10023</v>
      </c>
      <c r="F1737" s="5" t="s">
        <v>10024</v>
      </c>
      <c r="G1737" s="5" t="s">
        <v>1628</v>
      </c>
      <c r="H1737" s="5" t="s">
        <v>10025</v>
      </c>
      <c r="I1737" s="5" t="s">
        <v>7152</v>
      </c>
      <c r="J1737" s="5" t="s">
        <v>10026</v>
      </c>
      <c r="K1737" s="5" t="s">
        <v>10027</v>
      </c>
      <c r="L1737" s="11">
        <v>2</v>
      </c>
      <c r="M1737" s="5" t="s">
        <v>1892</v>
      </c>
    </row>
    <row r="1738" spans="2:13" ht="37.5" customHeight="1" x14ac:dyDescent="0.35">
      <c r="B1738" s="12">
        <v>89</v>
      </c>
      <c r="C1738" s="7" t="s">
        <v>9798</v>
      </c>
      <c r="D1738" s="12">
        <v>75</v>
      </c>
      <c r="E1738" s="7" t="s">
        <v>10028</v>
      </c>
      <c r="F1738" s="7" t="s">
        <v>10029</v>
      </c>
      <c r="G1738" s="7" t="s">
        <v>31</v>
      </c>
      <c r="H1738" s="7" t="s">
        <v>1167</v>
      </c>
      <c r="I1738" s="7" t="s">
        <v>5143</v>
      </c>
      <c r="J1738" s="7" t="s">
        <v>10030</v>
      </c>
      <c r="K1738" s="7" t="s">
        <v>10031</v>
      </c>
      <c r="L1738" s="12">
        <v>2</v>
      </c>
      <c r="M1738" s="7" t="s">
        <v>1892</v>
      </c>
    </row>
    <row r="1739" spans="2:13" ht="37.5" customHeight="1" x14ac:dyDescent="0.35">
      <c r="B1739" s="11">
        <v>89</v>
      </c>
      <c r="C1739" s="5" t="s">
        <v>9798</v>
      </c>
      <c r="D1739" s="11">
        <v>76</v>
      </c>
      <c r="E1739" s="5" t="s">
        <v>10032</v>
      </c>
      <c r="F1739" s="5" t="s">
        <v>10033</v>
      </c>
      <c r="G1739" s="5" t="s">
        <v>656</v>
      </c>
      <c r="H1739" s="5" t="s">
        <v>37</v>
      </c>
      <c r="I1739" s="5" t="s">
        <v>55</v>
      </c>
      <c r="J1739" s="5" t="s">
        <v>1988</v>
      </c>
      <c r="K1739" s="5" t="s">
        <v>9720</v>
      </c>
      <c r="L1739" s="11">
        <v>1</v>
      </c>
      <c r="M1739" s="5" t="s">
        <v>1892</v>
      </c>
    </row>
    <row r="1740" spans="2:13" ht="21.75" customHeight="1" x14ac:dyDescent="0.35">
      <c r="B1740" s="12">
        <v>89</v>
      </c>
      <c r="C1740" s="7" t="s">
        <v>9798</v>
      </c>
      <c r="D1740" s="12">
        <v>77</v>
      </c>
      <c r="E1740" s="7" t="s">
        <v>10034</v>
      </c>
      <c r="F1740" s="7" t="s">
        <v>10035</v>
      </c>
      <c r="G1740" s="7" t="s">
        <v>402</v>
      </c>
      <c r="H1740" s="7" t="s">
        <v>37</v>
      </c>
      <c r="I1740" s="7" t="s">
        <v>55</v>
      </c>
      <c r="J1740" s="7" t="s">
        <v>1579</v>
      </c>
      <c r="K1740" s="7" t="s">
        <v>5370</v>
      </c>
      <c r="L1740" s="12">
        <v>1</v>
      </c>
      <c r="M1740" s="7" t="s">
        <v>1892</v>
      </c>
    </row>
    <row r="1741" spans="2:13" ht="21.75" customHeight="1" x14ac:dyDescent="0.35">
      <c r="B1741" s="11">
        <v>89</v>
      </c>
      <c r="C1741" s="5" t="s">
        <v>9798</v>
      </c>
      <c r="D1741" s="11">
        <v>78</v>
      </c>
      <c r="E1741" s="5" t="s">
        <v>10036</v>
      </c>
      <c r="F1741" s="5" t="s">
        <v>10037</v>
      </c>
      <c r="G1741" s="5" t="s">
        <v>891</v>
      </c>
      <c r="H1741" s="5" t="s">
        <v>36</v>
      </c>
      <c r="I1741" s="5" t="s">
        <v>48</v>
      </c>
      <c r="J1741" s="5" t="s">
        <v>9308</v>
      </c>
      <c r="K1741" s="5" t="s">
        <v>9828</v>
      </c>
      <c r="L1741" s="11">
        <v>1</v>
      </c>
      <c r="M1741" s="5" t="s">
        <v>1892</v>
      </c>
    </row>
    <row r="1742" spans="2:13" ht="21.75" customHeight="1" x14ac:dyDescent="0.35">
      <c r="B1742" s="12">
        <v>89</v>
      </c>
      <c r="C1742" s="7" t="s">
        <v>9798</v>
      </c>
      <c r="D1742" s="12">
        <v>79</v>
      </c>
      <c r="E1742" s="7" t="s">
        <v>10038</v>
      </c>
      <c r="F1742" s="7" t="s">
        <v>10039</v>
      </c>
      <c r="G1742" s="7" t="s">
        <v>224</v>
      </c>
      <c r="H1742" s="7" t="s">
        <v>36</v>
      </c>
      <c r="I1742" s="7" t="s">
        <v>48</v>
      </c>
      <c r="J1742" s="7" t="s">
        <v>9308</v>
      </c>
      <c r="K1742" s="7" t="s">
        <v>9828</v>
      </c>
      <c r="L1742" s="12">
        <v>1</v>
      </c>
      <c r="M1742" s="7" t="s">
        <v>1892</v>
      </c>
    </row>
    <row r="1743" spans="2:13" ht="37.5" customHeight="1" x14ac:dyDescent="0.35">
      <c r="B1743" s="11">
        <v>89</v>
      </c>
      <c r="C1743" s="5" t="s">
        <v>9798</v>
      </c>
      <c r="D1743" s="11">
        <v>80</v>
      </c>
      <c r="E1743" s="5" t="s">
        <v>10040</v>
      </c>
      <c r="F1743" s="5" t="s">
        <v>10041</v>
      </c>
      <c r="G1743" s="5" t="s">
        <v>778</v>
      </c>
      <c r="H1743" s="5" t="s">
        <v>1521</v>
      </c>
      <c r="I1743" s="5" t="s">
        <v>5310</v>
      </c>
      <c r="J1743" s="5" t="s">
        <v>10042</v>
      </c>
      <c r="K1743" s="5" t="s">
        <v>10043</v>
      </c>
      <c r="L1743" s="11">
        <v>2</v>
      </c>
      <c r="M1743" s="5" t="s">
        <v>1892</v>
      </c>
    </row>
    <row r="1744" spans="2:13" ht="37.5" customHeight="1" x14ac:dyDescent="0.35">
      <c r="B1744" s="12">
        <v>89</v>
      </c>
      <c r="C1744" s="7" t="s">
        <v>9798</v>
      </c>
      <c r="D1744" s="12">
        <v>81</v>
      </c>
      <c r="E1744" s="7" t="s">
        <v>10044</v>
      </c>
      <c r="F1744" s="7" t="s">
        <v>10045</v>
      </c>
      <c r="G1744" s="7" t="s">
        <v>962</v>
      </c>
      <c r="H1744" s="7" t="s">
        <v>36</v>
      </c>
      <c r="I1744" s="7" t="s">
        <v>48</v>
      </c>
      <c r="J1744" s="7" t="s">
        <v>9308</v>
      </c>
      <c r="K1744" s="7" t="s">
        <v>9828</v>
      </c>
      <c r="L1744" s="12">
        <v>1</v>
      </c>
      <c r="M1744" s="7" t="s">
        <v>1892</v>
      </c>
    </row>
    <row r="1745" spans="2:13" ht="37.5" customHeight="1" x14ac:dyDescent="0.35">
      <c r="B1745" s="11">
        <v>89</v>
      </c>
      <c r="C1745" s="5" t="s">
        <v>9798</v>
      </c>
      <c r="D1745" s="11">
        <v>82</v>
      </c>
      <c r="E1745" s="5" t="s">
        <v>10046</v>
      </c>
      <c r="F1745" s="5" t="s">
        <v>10047</v>
      </c>
      <c r="G1745" s="5" t="s">
        <v>842</v>
      </c>
      <c r="H1745" s="5" t="s">
        <v>36</v>
      </c>
      <c r="I1745" s="5" t="s">
        <v>48</v>
      </c>
      <c r="J1745" s="5" t="s">
        <v>9308</v>
      </c>
      <c r="K1745" s="5" t="s">
        <v>9828</v>
      </c>
      <c r="L1745" s="11">
        <v>1</v>
      </c>
      <c r="M1745" s="5" t="s">
        <v>1892</v>
      </c>
    </row>
    <row r="1746" spans="2:13" ht="21.75" customHeight="1" x14ac:dyDescent="0.35">
      <c r="B1746" s="12">
        <v>89</v>
      </c>
      <c r="C1746" s="7" t="s">
        <v>9798</v>
      </c>
      <c r="D1746" s="12">
        <v>83</v>
      </c>
      <c r="E1746" s="7" t="s">
        <v>10048</v>
      </c>
      <c r="F1746" s="7" t="s">
        <v>10049</v>
      </c>
      <c r="G1746" s="7" t="s">
        <v>10050</v>
      </c>
      <c r="H1746" s="7" t="s">
        <v>36</v>
      </c>
      <c r="I1746" s="7" t="s">
        <v>48</v>
      </c>
      <c r="J1746" s="7" t="s">
        <v>9308</v>
      </c>
      <c r="K1746" s="7" t="s">
        <v>9828</v>
      </c>
      <c r="L1746" s="12">
        <v>1</v>
      </c>
      <c r="M1746" s="7" t="s">
        <v>1892</v>
      </c>
    </row>
    <row r="1747" spans="2:13" ht="37.5" customHeight="1" x14ac:dyDescent="0.35">
      <c r="B1747" s="11">
        <v>89</v>
      </c>
      <c r="C1747" s="5" t="s">
        <v>9798</v>
      </c>
      <c r="D1747" s="11">
        <v>84</v>
      </c>
      <c r="E1747" s="5" t="s">
        <v>10051</v>
      </c>
      <c r="F1747" s="5" t="s">
        <v>10052</v>
      </c>
      <c r="G1747" s="5" t="s">
        <v>927</v>
      </c>
      <c r="H1747" s="5" t="s">
        <v>42</v>
      </c>
      <c r="I1747" s="5" t="s">
        <v>10053</v>
      </c>
      <c r="J1747" s="5" t="s">
        <v>1903</v>
      </c>
      <c r="K1747" s="5" t="s">
        <v>10054</v>
      </c>
      <c r="L1747" s="11">
        <v>1</v>
      </c>
      <c r="M1747" s="5" t="s">
        <v>1892</v>
      </c>
    </row>
    <row r="1748" spans="2:13" ht="37.5" customHeight="1" x14ac:dyDescent="0.35">
      <c r="B1748" s="12">
        <v>89</v>
      </c>
      <c r="C1748" s="7" t="s">
        <v>9798</v>
      </c>
      <c r="D1748" s="12">
        <v>85</v>
      </c>
      <c r="E1748" s="7" t="s">
        <v>10055</v>
      </c>
      <c r="F1748" s="7" t="s">
        <v>10056</v>
      </c>
      <c r="G1748" s="7" t="s">
        <v>28</v>
      </c>
      <c r="H1748" s="7" t="s">
        <v>42</v>
      </c>
      <c r="I1748" s="7" t="s">
        <v>10053</v>
      </c>
      <c r="J1748" s="7" t="s">
        <v>1903</v>
      </c>
      <c r="K1748" s="7" t="s">
        <v>10054</v>
      </c>
      <c r="L1748" s="12">
        <v>1</v>
      </c>
      <c r="M1748" s="7" t="s">
        <v>1892</v>
      </c>
    </row>
    <row r="1749" spans="2:13" ht="21.75" customHeight="1" x14ac:dyDescent="0.35">
      <c r="B1749" s="11">
        <v>89</v>
      </c>
      <c r="C1749" s="5" t="s">
        <v>9798</v>
      </c>
      <c r="D1749" s="11">
        <v>86</v>
      </c>
      <c r="E1749" s="5" t="s">
        <v>10057</v>
      </c>
      <c r="F1749" s="5" t="s">
        <v>10058</v>
      </c>
      <c r="G1749" s="5" t="s">
        <v>727</v>
      </c>
      <c r="H1749" s="5" t="s">
        <v>37</v>
      </c>
      <c r="I1749" s="5" t="s">
        <v>51</v>
      </c>
      <c r="J1749" s="5" t="s">
        <v>2617</v>
      </c>
      <c r="K1749" s="5" t="s">
        <v>10059</v>
      </c>
      <c r="L1749" s="11">
        <v>1</v>
      </c>
      <c r="M1749" s="5" t="s">
        <v>1892</v>
      </c>
    </row>
    <row r="1750" spans="2:13" ht="37.5" customHeight="1" x14ac:dyDescent="0.35">
      <c r="B1750" s="12">
        <v>89</v>
      </c>
      <c r="C1750" s="7" t="s">
        <v>9798</v>
      </c>
      <c r="D1750" s="12">
        <v>87</v>
      </c>
      <c r="E1750" s="7" t="s">
        <v>10060</v>
      </c>
      <c r="F1750" s="7" t="s">
        <v>10061</v>
      </c>
      <c r="G1750" s="7" t="s">
        <v>761</v>
      </c>
      <c r="H1750" s="7" t="s">
        <v>44</v>
      </c>
      <c r="I1750" s="7" t="s">
        <v>49</v>
      </c>
      <c r="J1750" s="7" t="s">
        <v>233</v>
      </c>
      <c r="K1750" s="7" t="s">
        <v>5524</v>
      </c>
      <c r="L1750" s="12">
        <v>1</v>
      </c>
      <c r="M1750" s="7" t="s">
        <v>1892</v>
      </c>
    </row>
    <row r="1751" spans="2:13" ht="52.5" customHeight="1" x14ac:dyDescent="0.35">
      <c r="B1751" s="11">
        <v>89</v>
      </c>
      <c r="C1751" s="5" t="s">
        <v>9798</v>
      </c>
      <c r="D1751" s="11">
        <v>88</v>
      </c>
      <c r="E1751" s="5" t="s">
        <v>10062</v>
      </c>
      <c r="F1751" s="5" t="s">
        <v>10063</v>
      </c>
      <c r="G1751" s="5" t="s">
        <v>1560</v>
      </c>
      <c r="H1751" s="5" t="s">
        <v>10064</v>
      </c>
      <c r="I1751" s="5" t="s">
        <v>10065</v>
      </c>
      <c r="J1751" s="5" t="s">
        <v>10066</v>
      </c>
      <c r="K1751" s="5" t="s">
        <v>10067</v>
      </c>
      <c r="L1751" s="11">
        <v>3</v>
      </c>
      <c r="M1751" s="5" t="s">
        <v>1892</v>
      </c>
    </row>
    <row r="1752" spans="2:13" ht="21.75" customHeight="1" x14ac:dyDescent="0.35">
      <c r="B1752" s="12">
        <v>89</v>
      </c>
      <c r="C1752" s="7" t="s">
        <v>9798</v>
      </c>
      <c r="D1752" s="12">
        <v>89</v>
      </c>
      <c r="E1752" s="7" t="s">
        <v>10068</v>
      </c>
      <c r="F1752" s="7" t="s">
        <v>10069</v>
      </c>
      <c r="G1752" s="7" t="s">
        <v>1290</v>
      </c>
      <c r="H1752" s="7" t="s">
        <v>39</v>
      </c>
      <c r="I1752" s="7" t="s">
        <v>57</v>
      </c>
      <c r="J1752" s="7" t="s">
        <v>1107</v>
      </c>
      <c r="K1752" s="7" t="s">
        <v>10070</v>
      </c>
      <c r="L1752" s="12">
        <v>1</v>
      </c>
      <c r="M1752" s="7" t="s">
        <v>1892</v>
      </c>
    </row>
    <row r="1753" spans="2:13" ht="37.5" customHeight="1" x14ac:dyDescent="0.35">
      <c r="B1753" s="11">
        <v>89</v>
      </c>
      <c r="C1753" s="5" t="s">
        <v>9798</v>
      </c>
      <c r="D1753" s="11">
        <v>90</v>
      </c>
      <c r="E1753" s="5" t="s">
        <v>10071</v>
      </c>
      <c r="F1753" s="5" t="s">
        <v>10072</v>
      </c>
      <c r="G1753" s="5" t="s">
        <v>10073</v>
      </c>
      <c r="H1753" s="5" t="s">
        <v>294</v>
      </c>
      <c r="I1753" s="5" t="s">
        <v>5327</v>
      </c>
      <c r="J1753" s="5" t="s">
        <v>10074</v>
      </c>
      <c r="K1753" s="5" t="s">
        <v>10075</v>
      </c>
      <c r="L1753" s="11">
        <v>2</v>
      </c>
      <c r="M1753" s="5" t="s">
        <v>1892</v>
      </c>
    </row>
    <row r="1754" spans="2:13" ht="37.5" customHeight="1" x14ac:dyDescent="0.35">
      <c r="B1754" s="12">
        <v>89</v>
      </c>
      <c r="C1754" s="7" t="s">
        <v>9798</v>
      </c>
      <c r="D1754" s="12">
        <v>91</v>
      </c>
      <c r="E1754" s="7" t="s">
        <v>10076</v>
      </c>
      <c r="F1754" s="7" t="s">
        <v>10077</v>
      </c>
      <c r="G1754" s="7" t="s">
        <v>736</v>
      </c>
      <c r="H1754" s="7" t="s">
        <v>37</v>
      </c>
      <c r="I1754" s="7" t="s">
        <v>55</v>
      </c>
      <c r="J1754" s="7" t="s">
        <v>1988</v>
      </c>
      <c r="K1754" s="7" t="s">
        <v>9720</v>
      </c>
      <c r="L1754" s="12">
        <v>1</v>
      </c>
      <c r="M1754" s="7" t="s">
        <v>1892</v>
      </c>
    </row>
    <row r="1755" spans="2:13" ht="37.5" customHeight="1" x14ac:dyDescent="0.35">
      <c r="B1755" s="11">
        <v>89</v>
      </c>
      <c r="C1755" s="5" t="s">
        <v>9798</v>
      </c>
      <c r="D1755" s="11">
        <v>92</v>
      </c>
      <c r="E1755" s="5" t="s">
        <v>10078</v>
      </c>
      <c r="F1755" s="5" t="s">
        <v>10079</v>
      </c>
      <c r="G1755" s="5" t="s">
        <v>921</v>
      </c>
      <c r="H1755" s="5" t="s">
        <v>4034</v>
      </c>
      <c r="I1755" s="5" t="s">
        <v>7152</v>
      </c>
      <c r="J1755" s="5" t="s">
        <v>10080</v>
      </c>
      <c r="K1755" s="5" t="s">
        <v>10081</v>
      </c>
      <c r="L1755" s="11">
        <v>2</v>
      </c>
      <c r="M1755" s="5" t="s">
        <v>1892</v>
      </c>
    </row>
    <row r="1756" spans="2:13" ht="37.5" customHeight="1" x14ac:dyDescent="0.35">
      <c r="B1756" s="12">
        <v>89</v>
      </c>
      <c r="C1756" s="7" t="s">
        <v>9798</v>
      </c>
      <c r="D1756" s="12">
        <v>93</v>
      </c>
      <c r="E1756" s="7" t="s">
        <v>10082</v>
      </c>
      <c r="F1756" s="7" t="s">
        <v>10083</v>
      </c>
      <c r="G1756" s="7" t="s">
        <v>212</v>
      </c>
      <c r="H1756" s="7" t="s">
        <v>4580</v>
      </c>
      <c r="I1756" s="7" t="s">
        <v>5143</v>
      </c>
      <c r="J1756" s="7" t="s">
        <v>10084</v>
      </c>
      <c r="K1756" s="7" t="s">
        <v>10085</v>
      </c>
      <c r="L1756" s="12">
        <v>2</v>
      </c>
      <c r="M1756" s="7" t="s">
        <v>1892</v>
      </c>
    </row>
    <row r="1757" spans="2:13" ht="37.5" customHeight="1" x14ac:dyDescent="0.35">
      <c r="B1757" s="11">
        <v>89</v>
      </c>
      <c r="C1757" s="5" t="s">
        <v>9798</v>
      </c>
      <c r="D1757" s="11">
        <v>94</v>
      </c>
      <c r="E1757" s="5" t="s">
        <v>10086</v>
      </c>
      <c r="F1757" s="5" t="s">
        <v>10087</v>
      </c>
      <c r="G1757" s="5" t="s">
        <v>244</v>
      </c>
      <c r="H1757" s="5" t="s">
        <v>41</v>
      </c>
      <c r="I1757" s="5" t="s">
        <v>49</v>
      </c>
      <c r="J1757" s="5" t="s">
        <v>4098</v>
      </c>
      <c r="K1757" s="5" t="s">
        <v>9999</v>
      </c>
      <c r="L1757" s="11">
        <v>1</v>
      </c>
      <c r="M1757" s="5" t="s">
        <v>1892</v>
      </c>
    </row>
    <row r="1758" spans="2:13" ht="52.5" customHeight="1" x14ac:dyDescent="0.35">
      <c r="B1758" s="12">
        <v>89</v>
      </c>
      <c r="C1758" s="7" t="s">
        <v>9798</v>
      </c>
      <c r="D1758" s="12">
        <v>95</v>
      </c>
      <c r="E1758" s="7" t="s">
        <v>10088</v>
      </c>
      <c r="F1758" s="7" t="s">
        <v>10089</v>
      </c>
      <c r="G1758" s="7" t="s">
        <v>7268</v>
      </c>
      <c r="H1758" s="7" t="s">
        <v>10090</v>
      </c>
      <c r="I1758" s="7" t="s">
        <v>7152</v>
      </c>
      <c r="J1758" s="7" t="s">
        <v>10080</v>
      </c>
      <c r="K1758" s="7" t="s">
        <v>10091</v>
      </c>
      <c r="L1758" s="12">
        <v>3</v>
      </c>
      <c r="M1758" s="7" t="s">
        <v>1892</v>
      </c>
    </row>
    <row r="1759" spans="2:13" ht="37.5" customHeight="1" x14ac:dyDescent="0.35">
      <c r="B1759" s="11">
        <v>89</v>
      </c>
      <c r="C1759" s="5" t="s">
        <v>9798</v>
      </c>
      <c r="D1759" s="11">
        <v>96</v>
      </c>
      <c r="E1759" s="5" t="s">
        <v>10092</v>
      </c>
      <c r="F1759" s="5" t="s">
        <v>10093</v>
      </c>
      <c r="G1759" s="5" t="s">
        <v>1710</v>
      </c>
      <c r="H1759" s="5" t="s">
        <v>36</v>
      </c>
      <c r="I1759" s="5" t="s">
        <v>48</v>
      </c>
      <c r="J1759" s="5" t="s">
        <v>9308</v>
      </c>
      <c r="K1759" s="5" t="s">
        <v>9828</v>
      </c>
      <c r="L1759" s="11">
        <v>1</v>
      </c>
      <c r="M1759" s="5" t="s">
        <v>1892</v>
      </c>
    </row>
    <row r="1760" spans="2:13" ht="37.5" customHeight="1" x14ac:dyDescent="0.35">
      <c r="B1760" s="12">
        <v>89</v>
      </c>
      <c r="C1760" s="7" t="s">
        <v>9798</v>
      </c>
      <c r="D1760" s="12">
        <v>97</v>
      </c>
      <c r="E1760" s="7" t="s">
        <v>10094</v>
      </c>
      <c r="F1760" s="7" t="s">
        <v>10095</v>
      </c>
      <c r="G1760" s="7" t="s">
        <v>698</v>
      </c>
      <c r="H1760" s="7" t="s">
        <v>36</v>
      </c>
      <c r="I1760" s="7" t="s">
        <v>48</v>
      </c>
      <c r="J1760" s="7" t="s">
        <v>9308</v>
      </c>
      <c r="K1760" s="7" t="s">
        <v>9828</v>
      </c>
      <c r="L1760" s="12">
        <v>1</v>
      </c>
      <c r="M1760" s="7" t="s">
        <v>1892</v>
      </c>
    </row>
    <row r="1761" spans="2:13" ht="37.5" customHeight="1" x14ac:dyDescent="0.35">
      <c r="B1761" s="11">
        <v>89</v>
      </c>
      <c r="C1761" s="5" t="s">
        <v>9798</v>
      </c>
      <c r="D1761" s="11">
        <v>98</v>
      </c>
      <c r="E1761" s="5" t="s">
        <v>10096</v>
      </c>
      <c r="F1761" s="5" t="s">
        <v>10097</v>
      </c>
      <c r="G1761" s="5" t="s">
        <v>851</v>
      </c>
      <c r="H1761" s="5" t="s">
        <v>36</v>
      </c>
      <c r="I1761" s="5" t="s">
        <v>48</v>
      </c>
      <c r="J1761" s="5" t="s">
        <v>9308</v>
      </c>
      <c r="K1761" s="5" t="s">
        <v>9828</v>
      </c>
      <c r="L1761" s="11">
        <v>1</v>
      </c>
      <c r="M1761" s="5" t="s">
        <v>1892</v>
      </c>
    </row>
    <row r="1762" spans="2:13" ht="21.75" customHeight="1" x14ac:dyDescent="0.35">
      <c r="B1762" s="12">
        <v>89</v>
      </c>
      <c r="C1762" s="7" t="s">
        <v>9798</v>
      </c>
      <c r="D1762" s="12">
        <v>99</v>
      </c>
      <c r="E1762" s="7" t="s">
        <v>10098</v>
      </c>
      <c r="F1762" s="7" t="s">
        <v>10099</v>
      </c>
      <c r="G1762" s="7" t="s">
        <v>541</v>
      </c>
      <c r="H1762" s="7" t="s">
        <v>36</v>
      </c>
      <c r="I1762" s="7" t="s">
        <v>48</v>
      </c>
      <c r="J1762" s="7" t="s">
        <v>10014</v>
      </c>
      <c r="K1762" s="7" t="s">
        <v>10015</v>
      </c>
      <c r="L1762" s="12">
        <v>1</v>
      </c>
      <c r="M1762" s="7" t="s">
        <v>1892</v>
      </c>
    </row>
    <row r="1763" spans="2:13" ht="21.75" customHeight="1" x14ac:dyDescent="0.35">
      <c r="B1763" s="11">
        <v>89</v>
      </c>
      <c r="C1763" s="5" t="s">
        <v>9798</v>
      </c>
      <c r="D1763" s="11">
        <v>100</v>
      </c>
      <c r="E1763" s="5" t="s">
        <v>10100</v>
      </c>
      <c r="F1763" s="5" t="s">
        <v>10101</v>
      </c>
      <c r="G1763" s="5" t="s">
        <v>862</v>
      </c>
      <c r="H1763" s="5" t="s">
        <v>36</v>
      </c>
      <c r="I1763" s="5" t="s">
        <v>48</v>
      </c>
      <c r="J1763" s="5" t="s">
        <v>9308</v>
      </c>
      <c r="K1763" s="5" t="s">
        <v>9828</v>
      </c>
      <c r="L1763" s="11">
        <v>1</v>
      </c>
      <c r="M1763" s="5" t="s">
        <v>1892</v>
      </c>
    </row>
    <row r="1764" spans="2:13" ht="21.75" customHeight="1" x14ac:dyDescent="0.35">
      <c r="B1764" s="12">
        <v>89</v>
      </c>
      <c r="C1764" s="7" t="s">
        <v>9798</v>
      </c>
      <c r="D1764" s="12">
        <v>101</v>
      </c>
      <c r="E1764" s="7" t="s">
        <v>10102</v>
      </c>
      <c r="F1764" s="7" t="s">
        <v>10103</v>
      </c>
      <c r="G1764" s="7" t="s">
        <v>442</v>
      </c>
      <c r="H1764" s="7" t="s">
        <v>42</v>
      </c>
      <c r="I1764" s="7" t="s">
        <v>5023</v>
      </c>
      <c r="J1764" s="7" t="s">
        <v>10104</v>
      </c>
      <c r="K1764" s="7" t="s">
        <v>10105</v>
      </c>
      <c r="L1764" s="12">
        <v>1</v>
      </c>
      <c r="M1764" s="7" t="s">
        <v>1892</v>
      </c>
    </row>
    <row r="1765" spans="2:13" ht="21.75" customHeight="1" x14ac:dyDescent="0.35">
      <c r="B1765" s="11">
        <v>89</v>
      </c>
      <c r="C1765" s="5" t="s">
        <v>9798</v>
      </c>
      <c r="D1765" s="11">
        <v>102</v>
      </c>
      <c r="E1765" s="5" t="s">
        <v>10106</v>
      </c>
      <c r="F1765" s="5" t="s">
        <v>10107</v>
      </c>
      <c r="G1765" s="5" t="s">
        <v>26</v>
      </c>
      <c r="H1765" s="5" t="s">
        <v>39</v>
      </c>
      <c r="I1765" s="5" t="s">
        <v>57</v>
      </c>
      <c r="J1765" s="5" t="s">
        <v>4948</v>
      </c>
      <c r="K1765" s="5" t="s">
        <v>10108</v>
      </c>
      <c r="L1765" s="11">
        <v>1</v>
      </c>
      <c r="M1765" s="5" t="s">
        <v>1892</v>
      </c>
    </row>
    <row r="1766" spans="2:13" ht="37.5" customHeight="1" x14ac:dyDescent="0.35">
      <c r="B1766" s="12">
        <v>89</v>
      </c>
      <c r="C1766" s="7" t="s">
        <v>9798</v>
      </c>
      <c r="D1766" s="12">
        <v>103</v>
      </c>
      <c r="E1766" s="7" t="s">
        <v>10109</v>
      </c>
      <c r="F1766" s="7" t="s">
        <v>10110</v>
      </c>
      <c r="G1766" s="7" t="s">
        <v>1196</v>
      </c>
      <c r="H1766" s="7" t="s">
        <v>4752</v>
      </c>
      <c r="I1766" s="7" t="s">
        <v>5583</v>
      </c>
      <c r="J1766" s="7" t="s">
        <v>10111</v>
      </c>
      <c r="K1766" s="7" t="s">
        <v>10112</v>
      </c>
      <c r="L1766" s="12">
        <v>2</v>
      </c>
      <c r="M1766" s="7" t="s">
        <v>1892</v>
      </c>
    </row>
    <row r="1767" spans="2:13" ht="37.5" customHeight="1" x14ac:dyDescent="0.35">
      <c r="B1767" s="11">
        <v>89</v>
      </c>
      <c r="C1767" s="5" t="s">
        <v>9798</v>
      </c>
      <c r="D1767" s="11">
        <v>104</v>
      </c>
      <c r="E1767" s="5" t="s">
        <v>10113</v>
      </c>
      <c r="F1767" s="5" t="s">
        <v>10114</v>
      </c>
      <c r="G1767" s="5" t="s">
        <v>31</v>
      </c>
      <c r="H1767" s="5" t="s">
        <v>4752</v>
      </c>
      <c r="I1767" s="5" t="s">
        <v>5583</v>
      </c>
      <c r="J1767" s="5" t="s">
        <v>10111</v>
      </c>
      <c r="K1767" s="5" t="s">
        <v>10112</v>
      </c>
      <c r="L1767" s="11">
        <v>2</v>
      </c>
      <c r="M1767" s="5" t="s">
        <v>1892</v>
      </c>
    </row>
    <row r="1768" spans="2:13" ht="37.5" customHeight="1" x14ac:dyDescent="0.35">
      <c r="B1768" s="12">
        <v>89</v>
      </c>
      <c r="C1768" s="7" t="s">
        <v>9798</v>
      </c>
      <c r="D1768" s="12">
        <v>105</v>
      </c>
      <c r="E1768" s="7" t="s">
        <v>10115</v>
      </c>
      <c r="F1768" s="7" t="s">
        <v>10116</v>
      </c>
      <c r="G1768" s="7" t="s">
        <v>1294</v>
      </c>
      <c r="H1768" s="7" t="s">
        <v>39</v>
      </c>
      <c r="I1768" s="7" t="s">
        <v>57</v>
      </c>
      <c r="J1768" s="7" t="s">
        <v>1107</v>
      </c>
      <c r="K1768" s="7" t="s">
        <v>10070</v>
      </c>
      <c r="L1768" s="12">
        <v>1</v>
      </c>
      <c r="M1768" s="7" t="s">
        <v>1892</v>
      </c>
    </row>
    <row r="1769" spans="2:13" ht="37.5" customHeight="1" x14ac:dyDescent="0.35">
      <c r="B1769" s="11">
        <v>89</v>
      </c>
      <c r="C1769" s="5" t="s">
        <v>9798</v>
      </c>
      <c r="D1769" s="11">
        <v>106</v>
      </c>
      <c r="E1769" s="5" t="s">
        <v>10117</v>
      </c>
      <c r="F1769" s="5" t="s">
        <v>10118</v>
      </c>
      <c r="G1769" s="5" t="s">
        <v>837</v>
      </c>
      <c r="H1769" s="5" t="s">
        <v>4752</v>
      </c>
      <c r="I1769" s="5" t="s">
        <v>5583</v>
      </c>
      <c r="J1769" s="5" t="s">
        <v>10119</v>
      </c>
      <c r="K1769" s="5" t="s">
        <v>10120</v>
      </c>
      <c r="L1769" s="11">
        <v>2</v>
      </c>
      <c r="M1769" s="5" t="s">
        <v>1892</v>
      </c>
    </row>
    <row r="1770" spans="2:13" ht="37.5" customHeight="1" x14ac:dyDescent="0.35">
      <c r="B1770" s="12">
        <v>89</v>
      </c>
      <c r="C1770" s="7" t="s">
        <v>9798</v>
      </c>
      <c r="D1770" s="12">
        <v>107</v>
      </c>
      <c r="E1770" s="7" t="s">
        <v>10121</v>
      </c>
      <c r="F1770" s="7" t="s">
        <v>10122</v>
      </c>
      <c r="G1770" s="7" t="s">
        <v>244</v>
      </c>
      <c r="H1770" s="7" t="s">
        <v>37</v>
      </c>
      <c r="I1770" s="7" t="s">
        <v>55</v>
      </c>
      <c r="J1770" s="7" t="s">
        <v>1988</v>
      </c>
      <c r="K1770" s="7" t="s">
        <v>9720</v>
      </c>
      <c r="L1770" s="12">
        <v>1</v>
      </c>
      <c r="M1770" s="7" t="s">
        <v>1892</v>
      </c>
    </row>
    <row r="1771" spans="2:13" ht="21.75" customHeight="1" x14ac:dyDescent="0.35">
      <c r="B1771" s="11">
        <v>89</v>
      </c>
      <c r="C1771" s="5" t="s">
        <v>9798</v>
      </c>
      <c r="D1771" s="11">
        <v>108</v>
      </c>
      <c r="E1771" s="5" t="s">
        <v>10123</v>
      </c>
      <c r="F1771" s="5" t="s">
        <v>10124</v>
      </c>
      <c r="G1771" s="5" t="s">
        <v>794</v>
      </c>
      <c r="H1771" s="5" t="s">
        <v>37</v>
      </c>
      <c r="I1771" s="5" t="s">
        <v>55</v>
      </c>
      <c r="J1771" s="5" t="s">
        <v>5410</v>
      </c>
      <c r="K1771" s="5" t="s">
        <v>10125</v>
      </c>
      <c r="L1771" s="11">
        <v>1</v>
      </c>
      <c r="M1771" s="5" t="s">
        <v>1892</v>
      </c>
    </row>
    <row r="1772" spans="2:13" ht="37.5" customHeight="1" x14ac:dyDescent="0.35">
      <c r="B1772" s="12">
        <v>89</v>
      </c>
      <c r="C1772" s="7" t="s">
        <v>9798</v>
      </c>
      <c r="D1772" s="12">
        <v>109</v>
      </c>
      <c r="E1772" s="7" t="s">
        <v>10126</v>
      </c>
      <c r="F1772" s="7" t="s">
        <v>10127</v>
      </c>
      <c r="G1772" s="7" t="s">
        <v>897</v>
      </c>
      <c r="H1772" s="7" t="s">
        <v>1355</v>
      </c>
      <c r="I1772" s="7" t="s">
        <v>5310</v>
      </c>
      <c r="J1772" s="7" t="s">
        <v>9913</v>
      </c>
      <c r="K1772" s="7" t="s">
        <v>9914</v>
      </c>
      <c r="L1772" s="12">
        <v>2</v>
      </c>
      <c r="M1772" s="7" t="s">
        <v>1892</v>
      </c>
    </row>
    <row r="1773" spans="2:13" ht="37.5" customHeight="1" x14ac:dyDescent="0.35">
      <c r="B1773" s="11">
        <v>89</v>
      </c>
      <c r="C1773" s="5" t="s">
        <v>9798</v>
      </c>
      <c r="D1773" s="11">
        <v>110</v>
      </c>
      <c r="E1773" s="5" t="s">
        <v>10128</v>
      </c>
      <c r="F1773" s="5" t="s">
        <v>10129</v>
      </c>
      <c r="G1773" s="5" t="s">
        <v>733</v>
      </c>
      <c r="H1773" s="5" t="s">
        <v>42</v>
      </c>
      <c r="I1773" s="5" t="s">
        <v>5023</v>
      </c>
      <c r="J1773" s="5" t="s">
        <v>9046</v>
      </c>
      <c r="K1773" s="5" t="s">
        <v>10130</v>
      </c>
      <c r="L1773" s="11">
        <v>1</v>
      </c>
      <c r="M1773" s="5" t="s">
        <v>1892</v>
      </c>
    </row>
    <row r="1774" spans="2:13" ht="21.75" customHeight="1" x14ac:dyDescent="0.35">
      <c r="B1774" s="12">
        <v>89</v>
      </c>
      <c r="C1774" s="7" t="s">
        <v>9798</v>
      </c>
      <c r="D1774" s="12">
        <v>111</v>
      </c>
      <c r="E1774" s="7" t="s">
        <v>10131</v>
      </c>
      <c r="F1774" s="7" t="s">
        <v>10132</v>
      </c>
      <c r="G1774" s="7" t="s">
        <v>1647</v>
      </c>
      <c r="H1774" s="7" t="s">
        <v>36</v>
      </c>
      <c r="I1774" s="7" t="s">
        <v>48</v>
      </c>
      <c r="J1774" s="7" t="s">
        <v>9308</v>
      </c>
      <c r="K1774" s="7" t="s">
        <v>9828</v>
      </c>
      <c r="L1774" s="12">
        <v>1</v>
      </c>
      <c r="M1774" s="7" t="s">
        <v>1892</v>
      </c>
    </row>
    <row r="1775" spans="2:13" ht="37.5" customHeight="1" x14ac:dyDescent="0.35">
      <c r="B1775" s="11">
        <v>89</v>
      </c>
      <c r="C1775" s="5" t="s">
        <v>9798</v>
      </c>
      <c r="D1775" s="11">
        <v>112</v>
      </c>
      <c r="E1775" s="5" t="s">
        <v>10133</v>
      </c>
      <c r="F1775" s="5" t="s">
        <v>10134</v>
      </c>
      <c r="G1775" s="5" t="s">
        <v>616</v>
      </c>
      <c r="H1775" s="5" t="s">
        <v>36</v>
      </c>
      <c r="I1775" s="5" t="s">
        <v>48</v>
      </c>
      <c r="J1775" s="5" t="s">
        <v>9308</v>
      </c>
      <c r="K1775" s="5" t="s">
        <v>9828</v>
      </c>
      <c r="L1775" s="11">
        <v>1</v>
      </c>
      <c r="M1775" s="5" t="s">
        <v>1892</v>
      </c>
    </row>
    <row r="1776" spans="2:13" ht="21.75" customHeight="1" x14ac:dyDescent="0.35">
      <c r="B1776" s="12">
        <v>89</v>
      </c>
      <c r="C1776" s="7" t="s">
        <v>9798</v>
      </c>
      <c r="D1776" s="12">
        <v>113</v>
      </c>
      <c r="E1776" s="7" t="s">
        <v>10135</v>
      </c>
      <c r="F1776" s="7" t="s">
        <v>10136</v>
      </c>
      <c r="G1776" s="7" t="s">
        <v>686</v>
      </c>
      <c r="H1776" s="7" t="s">
        <v>36</v>
      </c>
      <c r="I1776" s="7" t="s">
        <v>48</v>
      </c>
      <c r="J1776" s="7" t="s">
        <v>9308</v>
      </c>
      <c r="K1776" s="7" t="s">
        <v>9828</v>
      </c>
      <c r="L1776" s="12">
        <v>1</v>
      </c>
      <c r="M1776" s="7" t="s">
        <v>1892</v>
      </c>
    </row>
    <row r="1777" spans="2:13" ht="37.5" customHeight="1" x14ac:dyDescent="0.35">
      <c r="B1777" s="11">
        <v>89</v>
      </c>
      <c r="C1777" s="5" t="s">
        <v>9798</v>
      </c>
      <c r="D1777" s="11">
        <v>114</v>
      </c>
      <c r="E1777" s="5" t="s">
        <v>10137</v>
      </c>
      <c r="F1777" s="5" t="s">
        <v>10138</v>
      </c>
      <c r="G1777" s="5" t="s">
        <v>1226</v>
      </c>
      <c r="H1777" s="5" t="s">
        <v>7297</v>
      </c>
      <c r="I1777" s="5" t="s">
        <v>5225</v>
      </c>
      <c r="J1777" s="5" t="s">
        <v>10139</v>
      </c>
      <c r="K1777" s="5" t="s">
        <v>10140</v>
      </c>
      <c r="L1777" s="11">
        <v>2</v>
      </c>
      <c r="M1777" s="5" t="s">
        <v>1892</v>
      </c>
    </row>
    <row r="1778" spans="2:13" ht="21.75" customHeight="1" x14ac:dyDescent="0.35">
      <c r="B1778" s="12">
        <v>89</v>
      </c>
      <c r="C1778" s="7" t="s">
        <v>9798</v>
      </c>
      <c r="D1778" s="12">
        <v>115</v>
      </c>
      <c r="E1778" s="7" t="s">
        <v>10141</v>
      </c>
      <c r="F1778" s="7" t="s">
        <v>10142</v>
      </c>
      <c r="G1778" s="7" t="s">
        <v>905</v>
      </c>
      <c r="H1778" s="7" t="s">
        <v>36</v>
      </c>
      <c r="I1778" s="7" t="s">
        <v>48</v>
      </c>
      <c r="J1778" s="7" t="s">
        <v>9308</v>
      </c>
      <c r="K1778" s="7" t="s">
        <v>9828</v>
      </c>
      <c r="L1778" s="12">
        <v>1</v>
      </c>
      <c r="M1778" s="7" t="s">
        <v>1892</v>
      </c>
    </row>
    <row r="1779" spans="2:13" ht="21.75" customHeight="1" x14ac:dyDescent="0.35">
      <c r="B1779" s="11">
        <v>89</v>
      </c>
      <c r="C1779" s="5" t="s">
        <v>9798</v>
      </c>
      <c r="D1779" s="11">
        <v>116</v>
      </c>
      <c r="E1779" s="5" t="s">
        <v>10143</v>
      </c>
      <c r="F1779" s="5" t="s">
        <v>10144</v>
      </c>
      <c r="G1779" s="5" t="s">
        <v>905</v>
      </c>
      <c r="H1779" s="5" t="s">
        <v>37</v>
      </c>
      <c r="I1779" s="5" t="s">
        <v>55</v>
      </c>
      <c r="J1779" s="5" t="s">
        <v>1988</v>
      </c>
      <c r="K1779" s="5" t="s">
        <v>9720</v>
      </c>
      <c r="L1779" s="11">
        <v>1</v>
      </c>
      <c r="M1779" s="5" t="s">
        <v>1892</v>
      </c>
    </row>
    <row r="1780" spans="2:13" ht="37.5" customHeight="1" x14ac:dyDescent="0.35">
      <c r="B1780" s="12">
        <v>89</v>
      </c>
      <c r="C1780" s="7" t="s">
        <v>9798</v>
      </c>
      <c r="D1780" s="12">
        <v>117</v>
      </c>
      <c r="E1780" s="7" t="s">
        <v>10145</v>
      </c>
      <c r="F1780" s="7" t="s">
        <v>10146</v>
      </c>
      <c r="G1780" s="7" t="s">
        <v>638</v>
      </c>
      <c r="H1780" s="7" t="s">
        <v>5123</v>
      </c>
      <c r="I1780" s="7" t="s">
        <v>5327</v>
      </c>
      <c r="J1780" s="7" t="s">
        <v>4601</v>
      </c>
      <c r="K1780" s="7" t="s">
        <v>10147</v>
      </c>
      <c r="L1780" s="12">
        <v>2</v>
      </c>
      <c r="M1780" s="7" t="s">
        <v>1892</v>
      </c>
    </row>
    <row r="1781" spans="2:13" ht="37.5" customHeight="1" x14ac:dyDescent="0.35">
      <c r="B1781" s="11">
        <v>89</v>
      </c>
      <c r="C1781" s="5" t="s">
        <v>9798</v>
      </c>
      <c r="D1781" s="11">
        <v>118</v>
      </c>
      <c r="E1781" s="5" t="s">
        <v>10148</v>
      </c>
      <c r="F1781" s="5" t="s">
        <v>10149</v>
      </c>
      <c r="G1781" s="5" t="s">
        <v>552</v>
      </c>
      <c r="H1781" s="5" t="s">
        <v>36</v>
      </c>
      <c r="I1781" s="5" t="s">
        <v>48</v>
      </c>
      <c r="J1781" s="5" t="s">
        <v>10014</v>
      </c>
      <c r="K1781" s="5" t="s">
        <v>10015</v>
      </c>
      <c r="L1781" s="11">
        <v>1</v>
      </c>
      <c r="M1781" s="5" t="s">
        <v>1892</v>
      </c>
    </row>
    <row r="1782" spans="2:13" ht="37.5" customHeight="1" x14ac:dyDescent="0.35">
      <c r="B1782" s="12">
        <v>89</v>
      </c>
      <c r="C1782" s="7" t="s">
        <v>9798</v>
      </c>
      <c r="D1782" s="12">
        <v>119</v>
      </c>
      <c r="E1782" s="7" t="s">
        <v>10150</v>
      </c>
      <c r="F1782" s="7" t="s">
        <v>10151</v>
      </c>
      <c r="G1782" s="7" t="s">
        <v>282</v>
      </c>
      <c r="H1782" s="7" t="s">
        <v>36</v>
      </c>
      <c r="I1782" s="7" t="s">
        <v>48</v>
      </c>
      <c r="J1782" s="7" t="s">
        <v>10014</v>
      </c>
      <c r="K1782" s="7" t="s">
        <v>10015</v>
      </c>
      <c r="L1782" s="12">
        <v>1</v>
      </c>
      <c r="M1782" s="7" t="s">
        <v>1892</v>
      </c>
    </row>
    <row r="1783" spans="2:13" ht="37.5" customHeight="1" x14ac:dyDescent="0.35">
      <c r="B1783" s="11">
        <v>89</v>
      </c>
      <c r="C1783" s="5" t="s">
        <v>9798</v>
      </c>
      <c r="D1783" s="11">
        <v>120</v>
      </c>
      <c r="E1783" s="5" t="s">
        <v>10152</v>
      </c>
      <c r="F1783" s="5" t="s">
        <v>10153</v>
      </c>
      <c r="G1783" s="5" t="s">
        <v>33</v>
      </c>
      <c r="H1783" s="5" t="s">
        <v>36</v>
      </c>
      <c r="I1783" s="5" t="s">
        <v>48</v>
      </c>
      <c r="J1783" s="5" t="s">
        <v>10014</v>
      </c>
      <c r="K1783" s="5" t="s">
        <v>10015</v>
      </c>
      <c r="L1783" s="11">
        <v>1</v>
      </c>
      <c r="M1783" s="5" t="s">
        <v>1892</v>
      </c>
    </row>
    <row r="1784" spans="2:13" ht="37.5" customHeight="1" x14ac:dyDescent="0.35">
      <c r="B1784" s="12">
        <v>89</v>
      </c>
      <c r="C1784" s="7" t="s">
        <v>9798</v>
      </c>
      <c r="D1784" s="12">
        <v>121</v>
      </c>
      <c r="E1784" s="7" t="s">
        <v>10154</v>
      </c>
      <c r="F1784" s="7" t="s">
        <v>10155</v>
      </c>
      <c r="G1784" s="7" t="s">
        <v>678</v>
      </c>
      <c r="H1784" s="7" t="s">
        <v>36</v>
      </c>
      <c r="I1784" s="7" t="s">
        <v>48</v>
      </c>
      <c r="J1784" s="7" t="s">
        <v>9308</v>
      </c>
      <c r="K1784" s="7" t="s">
        <v>9828</v>
      </c>
      <c r="L1784" s="12">
        <v>1</v>
      </c>
      <c r="M1784" s="7" t="s">
        <v>1892</v>
      </c>
    </row>
    <row r="1785" spans="2:13" ht="21.75" customHeight="1" x14ac:dyDescent="0.35">
      <c r="B1785" s="11">
        <v>89</v>
      </c>
      <c r="C1785" s="5" t="s">
        <v>9798</v>
      </c>
      <c r="D1785" s="11">
        <v>122</v>
      </c>
      <c r="E1785" s="5" t="s">
        <v>10156</v>
      </c>
      <c r="F1785" s="5" t="s">
        <v>10157</v>
      </c>
      <c r="G1785" s="5" t="s">
        <v>2768</v>
      </c>
      <c r="H1785" s="5" t="s">
        <v>36</v>
      </c>
      <c r="I1785" s="5" t="s">
        <v>48</v>
      </c>
      <c r="J1785" s="5" t="s">
        <v>9308</v>
      </c>
      <c r="K1785" s="5" t="s">
        <v>9828</v>
      </c>
      <c r="L1785" s="11">
        <v>1</v>
      </c>
      <c r="M1785" s="5" t="s">
        <v>1892</v>
      </c>
    </row>
    <row r="1786" spans="2:13" ht="37.5" customHeight="1" x14ac:dyDescent="0.35">
      <c r="B1786" s="12">
        <v>89</v>
      </c>
      <c r="C1786" s="7" t="s">
        <v>9798</v>
      </c>
      <c r="D1786" s="12">
        <v>123</v>
      </c>
      <c r="E1786" s="7" t="s">
        <v>10158</v>
      </c>
      <c r="F1786" s="7" t="s">
        <v>10159</v>
      </c>
      <c r="G1786" s="7" t="s">
        <v>7919</v>
      </c>
      <c r="H1786" s="7" t="s">
        <v>36</v>
      </c>
      <c r="I1786" s="7" t="s">
        <v>48</v>
      </c>
      <c r="J1786" s="7" t="s">
        <v>9308</v>
      </c>
      <c r="K1786" s="7" t="s">
        <v>9828</v>
      </c>
      <c r="L1786" s="12">
        <v>1</v>
      </c>
      <c r="M1786" s="7" t="s">
        <v>1892</v>
      </c>
    </row>
    <row r="1787" spans="2:13" ht="21.75" customHeight="1" x14ac:dyDescent="0.35">
      <c r="B1787" s="11">
        <v>89</v>
      </c>
      <c r="C1787" s="5" t="s">
        <v>9798</v>
      </c>
      <c r="D1787" s="11">
        <v>124</v>
      </c>
      <c r="E1787" s="5" t="s">
        <v>10160</v>
      </c>
      <c r="F1787" s="5" t="s">
        <v>10161</v>
      </c>
      <c r="G1787" s="5" t="s">
        <v>32</v>
      </c>
      <c r="H1787" s="5" t="s">
        <v>36</v>
      </c>
      <c r="I1787" s="5" t="s">
        <v>48</v>
      </c>
      <c r="J1787" s="5" t="s">
        <v>10014</v>
      </c>
      <c r="K1787" s="5" t="s">
        <v>10015</v>
      </c>
      <c r="L1787" s="11">
        <v>1</v>
      </c>
      <c r="M1787" s="5" t="s">
        <v>1892</v>
      </c>
    </row>
    <row r="1788" spans="2:13" ht="21.75" customHeight="1" x14ac:dyDescent="0.35">
      <c r="B1788" s="12">
        <v>89</v>
      </c>
      <c r="C1788" s="7" t="s">
        <v>9798</v>
      </c>
      <c r="D1788" s="12">
        <v>125</v>
      </c>
      <c r="E1788" s="7" t="s">
        <v>10162</v>
      </c>
      <c r="F1788" s="7" t="s">
        <v>10163</v>
      </c>
      <c r="G1788" s="7" t="s">
        <v>625</v>
      </c>
      <c r="H1788" s="7" t="s">
        <v>36</v>
      </c>
      <c r="I1788" s="7" t="s">
        <v>48</v>
      </c>
      <c r="J1788" s="7" t="s">
        <v>10014</v>
      </c>
      <c r="K1788" s="7" t="s">
        <v>10015</v>
      </c>
      <c r="L1788" s="12">
        <v>1</v>
      </c>
      <c r="M1788" s="7" t="s">
        <v>1892</v>
      </c>
    </row>
    <row r="1789" spans="2:13" ht="21.75" customHeight="1" x14ac:dyDescent="0.35">
      <c r="B1789" s="11">
        <v>89</v>
      </c>
      <c r="C1789" s="5" t="s">
        <v>9798</v>
      </c>
      <c r="D1789" s="11">
        <v>126</v>
      </c>
      <c r="E1789" s="5" t="s">
        <v>10164</v>
      </c>
      <c r="F1789" s="5" t="s">
        <v>10165</v>
      </c>
      <c r="G1789" s="5" t="s">
        <v>1180</v>
      </c>
      <c r="H1789" s="5" t="s">
        <v>36</v>
      </c>
      <c r="I1789" s="5" t="s">
        <v>48</v>
      </c>
      <c r="J1789" s="5" t="s">
        <v>9308</v>
      </c>
      <c r="K1789" s="5" t="s">
        <v>9828</v>
      </c>
      <c r="L1789" s="11">
        <v>1</v>
      </c>
      <c r="M1789" s="5" t="s">
        <v>1892</v>
      </c>
    </row>
    <row r="1790" spans="2:13" ht="21.75" customHeight="1" x14ac:dyDescent="0.35">
      <c r="B1790" s="12">
        <v>89</v>
      </c>
      <c r="C1790" s="7" t="s">
        <v>9798</v>
      </c>
      <c r="D1790" s="12">
        <v>127</v>
      </c>
      <c r="E1790" s="7" t="s">
        <v>10166</v>
      </c>
      <c r="F1790" s="7" t="s">
        <v>10167</v>
      </c>
      <c r="G1790" s="7" t="s">
        <v>1784</v>
      </c>
      <c r="H1790" s="7" t="s">
        <v>36</v>
      </c>
      <c r="I1790" s="7" t="s">
        <v>48</v>
      </c>
      <c r="J1790" s="7" t="s">
        <v>10014</v>
      </c>
      <c r="K1790" s="7" t="s">
        <v>10015</v>
      </c>
      <c r="L1790" s="12">
        <v>1</v>
      </c>
      <c r="M1790" s="7" t="s">
        <v>1892</v>
      </c>
    </row>
    <row r="1791" spans="2:13" ht="21.75" customHeight="1" x14ac:dyDescent="0.35">
      <c r="B1791" s="11">
        <v>89</v>
      </c>
      <c r="C1791" s="5" t="s">
        <v>9798</v>
      </c>
      <c r="D1791" s="11">
        <v>128</v>
      </c>
      <c r="E1791" s="5" t="s">
        <v>10168</v>
      </c>
      <c r="F1791" s="5" t="s">
        <v>10169</v>
      </c>
      <c r="G1791" s="5" t="s">
        <v>2768</v>
      </c>
      <c r="H1791" s="5" t="s">
        <v>36</v>
      </c>
      <c r="I1791" s="5" t="s">
        <v>48</v>
      </c>
      <c r="J1791" s="5" t="s">
        <v>10014</v>
      </c>
      <c r="K1791" s="5" t="s">
        <v>10015</v>
      </c>
      <c r="L1791" s="11">
        <v>1</v>
      </c>
      <c r="M1791" s="5" t="s">
        <v>1892</v>
      </c>
    </row>
    <row r="1792" spans="2:13" ht="21.75" customHeight="1" x14ac:dyDescent="0.35">
      <c r="B1792" s="12">
        <v>89</v>
      </c>
      <c r="C1792" s="7" t="s">
        <v>9798</v>
      </c>
      <c r="D1792" s="12">
        <v>129</v>
      </c>
      <c r="E1792" s="7" t="s">
        <v>10170</v>
      </c>
      <c r="F1792" s="7" t="s">
        <v>10171</v>
      </c>
      <c r="G1792" s="7" t="s">
        <v>956</v>
      </c>
      <c r="H1792" s="7" t="s">
        <v>41</v>
      </c>
      <c r="I1792" s="7" t="s">
        <v>49</v>
      </c>
      <c r="J1792" s="7" t="s">
        <v>233</v>
      </c>
      <c r="K1792" s="7" t="s">
        <v>5172</v>
      </c>
      <c r="L1792" s="12">
        <v>1</v>
      </c>
      <c r="M1792" s="7" t="s">
        <v>1892</v>
      </c>
    </row>
    <row r="1793" spans="2:13" ht="21.75" customHeight="1" x14ac:dyDescent="0.35">
      <c r="B1793" s="11">
        <v>89</v>
      </c>
      <c r="C1793" s="5" t="s">
        <v>9798</v>
      </c>
      <c r="D1793" s="11">
        <v>130</v>
      </c>
      <c r="E1793" s="5" t="s">
        <v>10172</v>
      </c>
      <c r="F1793" s="5" t="s">
        <v>10173</v>
      </c>
      <c r="G1793" s="5" t="s">
        <v>813</v>
      </c>
      <c r="H1793" s="5" t="s">
        <v>36</v>
      </c>
      <c r="I1793" s="5" t="s">
        <v>48</v>
      </c>
      <c r="J1793" s="5" t="s">
        <v>9308</v>
      </c>
      <c r="K1793" s="5" t="s">
        <v>9828</v>
      </c>
      <c r="L1793" s="11">
        <v>1</v>
      </c>
      <c r="M1793" s="5" t="s">
        <v>1892</v>
      </c>
    </row>
    <row r="1794" spans="2:13" ht="21.75" customHeight="1" x14ac:dyDescent="0.35">
      <c r="B1794" s="12">
        <v>89</v>
      </c>
      <c r="C1794" s="7" t="s">
        <v>9798</v>
      </c>
      <c r="D1794" s="12">
        <v>131</v>
      </c>
      <c r="E1794" s="7" t="s">
        <v>10174</v>
      </c>
      <c r="F1794" s="7" t="s">
        <v>10175</v>
      </c>
      <c r="G1794" s="7" t="s">
        <v>6225</v>
      </c>
      <c r="H1794" s="7" t="s">
        <v>36</v>
      </c>
      <c r="I1794" s="7" t="s">
        <v>48</v>
      </c>
      <c r="J1794" s="7" t="s">
        <v>9308</v>
      </c>
      <c r="K1794" s="7" t="s">
        <v>9828</v>
      </c>
      <c r="L1794" s="12">
        <v>1</v>
      </c>
      <c r="M1794" s="7" t="s">
        <v>1892</v>
      </c>
    </row>
    <row r="1795" spans="2:13" ht="37.5" customHeight="1" x14ac:dyDescent="0.35">
      <c r="B1795" s="11">
        <v>89</v>
      </c>
      <c r="C1795" s="5" t="s">
        <v>9798</v>
      </c>
      <c r="D1795" s="11">
        <v>132</v>
      </c>
      <c r="E1795" s="5" t="s">
        <v>10176</v>
      </c>
      <c r="F1795" s="5" t="s">
        <v>10177</v>
      </c>
      <c r="G1795" s="5" t="s">
        <v>345</v>
      </c>
      <c r="H1795" s="5" t="s">
        <v>43</v>
      </c>
      <c r="I1795" s="5" t="s">
        <v>10178</v>
      </c>
      <c r="J1795" s="5" t="s">
        <v>10179</v>
      </c>
      <c r="K1795" s="5" t="s">
        <v>10180</v>
      </c>
      <c r="L1795" s="11">
        <v>1</v>
      </c>
      <c r="M1795" s="5" t="s">
        <v>1892</v>
      </c>
    </row>
    <row r="1796" spans="2:13" ht="21.75" customHeight="1" x14ac:dyDescent="0.35">
      <c r="B1796" s="12">
        <v>89</v>
      </c>
      <c r="C1796" s="7" t="s">
        <v>9798</v>
      </c>
      <c r="D1796" s="12">
        <v>133</v>
      </c>
      <c r="E1796" s="7" t="s">
        <v>10181</v>
      </c>
      <c r="F1796" s="7" t="s">
        <v>10182</v>
      </c>
      <c r="G1796" s="7" t="s">
        <v>6668</v>
      </c>
      <c r="H1796" s="7" t="s">
        <v>36</v>
      </c>
      <c r="I1796" s="7" t="s">
        <v>48</v>
      </c>
      <c r="J1796" s="7" t="s">
        <v>9308</v>
      </c>
      <c r="K1796" s="7" t="s">
        <v>9828</v>
      </c>
      <c r="L1796" s="12">
        <v>1</v>
      </c>
      <c r="M1796" s="7" t="s">
        <v>1892</v>
      </c>
    </row>
    <row r="1797" spans="2:13" ht="37.5" customHeight="1" x14ac:dyDescent="0.35">
      <c r="B1797" s="11">
        <v>89</v>
      </c>
      <c r="C1797" s="5" t="s">
        <v>9798</v>
      </c>
      <c r="D1797" s="11">
        <v>134</v>
      </c>
      <c r="E1797" s="5" t="s">
        <v>10183</v>
      </c>
      <c r="F1797" s="5" t="s">
        <v>10184</v>
      </c>
      <c r="G1797" s="5" t="s">
        <v>1953</v>
      </c>
      <c r="H1797" s="5" t="s">
        <v>36</v>
      </c>
      <c r="I1797" s="5" t="s">
        <v>48</v>
      </c>
      <c r="J1797" s="5" t="s">
        <v>10185</v>
      </c>
      <c r="K1797" s="5" t="s">
        <v>10186</v>
      </c>
      <c r="L1797" s="11">
        <v>1</v>
      </c>
      <c r="M1797" s="5" t="s">
        <v>1892</v>
      </c>
    </row>
    <row r="1798" spans="2:13" ht="37.5" customHeight="1" x14ac:dyDescent="0.35">
      <c r="B1798" s="12">
        <v>89</v>
      </c>
      <c r="C1798" s="7" t="s">
        <v>9798</v>
      </c>
      <c r="D1798" s="12">
        <v>135</v>
      </c>
      <c r="E1798" s="7" t="s">
        <v>10187</v>
      </c>
      <c r="F1798" s="7" t="s">
        <v>10188</v>
      </c>
      <c r="G1798" s="7" t="s">
        <v>595</v>
      </c>
      <c r="H1798" s="7" t="s">
        <v>36</v>
      </c>
      <c r="I1798" s="7" t="s">
        <v>48</v>
      </c>
      <c r="J1798" s="7" t="s">
        <v>10014</v>
      </c>
      <c r="K1798" s="7" t="s">
        <v>10015</v>
      </c>
      <c r="L1798" s="12">
        <v>1</v>
      </c>
      <c r="M1798" s="7" t="s">
        <v>1892</v>
      </c>
    </row>
    <row r="1799" spans="2:13" ht="21.75" customHeight="1" x14ac:dyDescent="0.35">
      <c r="B1799" s="11">
        <v>89</v>
      </c>
      <c r="C1799" s="5" t="s">
        <v>9798</v>
      </c>
      <c r="D1799" s="11">
        <v>136</v>
      </c>
      <c r="E1799" s="5" t="s">
        <v>10189</v>
      </c>
      <c r="F1799" s="5" t="s">
        <v>10190</v>
      </c>
      <c r="G1799" s="5" t="s">
        <v>856</v>
      </c>
      <c r="H1799" s="5" t="s">
        <v>36</v>
      </c>
      <c r="I1799" s="5" t="s">
        <v>48</v>
      </c>
      <c r="J1799" s="5" t="s">
        <v>10014</v>
      </c>
      <c r="K1799" s="5" t="s">
        <v>10015</v>
      </c>
      <c r="L1799" s="11">
        <v>1</v>
      </c>
      <c r="M1799" s="5" t="s">
        <v>1892</v>
      </c>
    </row>
    <row r="1800" spans="2:13" ht="21.75" customHeight="1" x14ac:dyDescent="0.35">
      <c r="B1800" s="12">
        <v>89</v>
      </c>
      <c r="C1800" s="7" t="s">
        <v>9798</v>
      </c>
      <c r="D1800" s="12">
        <v>137</v>
      </c>
      <c r="E1800" s="7" t="s">
        <v>10191</v>
      </c>
      <c r="F1800" s="7" t="s">
        <v>10192</v>
      </c>
      <c r="G1800" s="7" t="s">
        <v>749</v>
      </c>
      <c r="H1800" s="7" t="s">
        <v>36</v>
      </c>
      <c r="I1800" s="7" t="s">
        <v>48</v>
      </c>
      <c r="J1800" s="7" t="s">
        <v>10014</v>
      </c>
      <c r="K1800" s="7" t="s">
        <v>10015</v>
      </c>
      <c r="L1800" s="12">
        <v>1</v>
      </c>
      <c r="M1800" s="7" t="s">
        <v>1892</v>
      </c>
    </row>
    <row r="1801" spans="2:13" ht="37.5" customHeight="1" x14ac:dyDescent="0.35">
      <c r="B1801" s="11">
        <v>89</v>
      </c>
      <c r="C1801" s="5" t="s">
        <v>9798</v>
      </c>
      <c r="D1801" s="11">
        <v>138</v>
      </c>
      <c r="E1801" s="5" t="s">
        <v>10193</v>
      </c>
      <c r="F1801" s="5" t="s">
        <v>10194</v>
      </c>
      <c r="G1801" s="5" t="s">
        <v>30</v>
      </c>
      <c r="H1801" s="5" t="s">
        <v>4720</v>
      </c>
      <c r="I1801" s="5" t="s">
        <v>5225</v>
      </c>
      <c r="J1801" s="5" t="s">
        <v>10195</v>
      </c>
      <c r="K1801" s="5" t="s">
        <v>10196</v>
      </c>
      <c r="L1801" s="11">
        <v>2</v>
      </c>
      <c r="M1801" s="5" t="s">
        <v>1892</v>
      </c>
    </row>
    <row r="1802" spans="2:13" ht="37.5" customHeight="1" x14ac:dyDescent="0.35">
      <c r="B1802" s="12">
        <v>89</v>
      </c>
      <c r="C1802" s="7" t="s">
        <v>9798</v>
      </c>
      <c r="D1802" s="12">
        <v>139</v>
      </c>
      <c r="E1802" s="7" t="s">
        <v>10197</v>
      </c>
      <c r="F1802" s="7" t="s">
        <v>10198</v>
      </c>
      <c r="G1802" s="7" t="s">
        <v>10199</v>
      </c>
      <c r="H1802" s="7" t="s">
        <v>41</v>
      </c>
      <c r="I1802" s="7" t="s">
        <v>49</v>
      </c>
      <c r="J1802" s="7" t="s">
        <v>233</v>
      </c>
      <c r="K1802" s="7" t="s">
        <v>5172</v>
      </c>
      <c r="L1802" s="12">
        <v>1</v>
      </c>
      <c r="M1802" s="7" t="s">
        <v>1892</v>
      </c>
    </row>
    <row r="1803" spans="2:13" ht="37.5" customHeight="1" x14ac:dyDescent="0.35">
      <c r="B1803" s="11">
        <v>89</v>
      </c>
      <c r="C1803" s="5" t="s">
        <v>9798</v>
      </c>
      <c r="D1803" s="11">
        <v>140</v>
      </c>
      <c r="E1803" s="5" t="s">
        <v>10071</v>
      </c>
      <c r="F1803" s="5" t="s">
        <v>10200</v>
      </c>
      <c r="G1803" s="5" t="s">
        <v>10201</v>
      </c>
      <c r="H1803" s="5" t="s">
        <v>41</v>
      </c>
      <c r="I1803" s="5" t="s">
        <v>49</v>
      </c>
      <c r="J1803" s="5" t="s">
        <v>233</v>
      </c>
      <c r="K1803" s="5" t="s">
        <v>5172</v>
      </c>
      <c r="L1803" s="11">
        <v>1</v>
      </c>
      <c r="M1803" s="5" t="s">
        <v>1892</v>
      </c>
    </row>
    <row r="1804" spans="2:13" ht="21.75" customHeight="1" x14ac:dyDescent="0.35">
      <c r="B1804" s="12">
        <v>89</v>
      </c>
      <c r="C1804" s="7" t="s">
        <v>9798</v>
      </c>
      <c r="D1804" s="12">
        <v>141</v>
      </c>
      <c r="E1804" s="7" t="s">
        <v>10202</v>
      </c>
      <c r="F1804" s="7" t="s">
        <v>10203</v>
      </c>
      <c r="G1804" s="7" t="s">
        <v>2261</v>
      </c>
      <c r="H1804" s="7" t="s">
        <v>36</v>
      </c>
      <c r="I1804" s="7" t="s">
        <v>48</v>
      </c>
      <c r="J1804" s="7" t="s">
        <v>9308</v>
      </c>
      <c r="K1804" s="7" t="s">
        <v>9828</v>
      </c>
      <c r="L1804" s="12">
        <v>1</v>
      </c>
      <c r="M1804" s="7" t="s">
        <v>1892</v>
      </c>
    </row>
    <row r="1805" spans="2:13" ht="37.5" customHeight="1" x14ac:dyDescent="0.35">
      <c r="B1805" s="11">
        <v>89</v>
      </c>
      <c r="C1805" s="5" t="s">
        <v>9798</v>
      </c>
      <c r="D1805" s="11">
        <v>142</v>
      </c>
      <c r="E1805" s="5" t="s">
        <v>10204</v>
      </c>
      <c r="F1805" s="5" t="s">
        <v>10205</v>
      </c>
      <c r="G1805" s="5" t="s">
        <v>358</v>
      </c>
      <c r="H1805" s="5" t="s">
        <v>42</v>
      </c>
      <c r="I1805" s="5" t="s">
        <v>5023</v>
      </c>
      <c r="J1805" s="5" t="s">
        <v>10104</v>
      </c>
      <c r="K1805" s="5" t="s">
        <v>10105</v>
      </c>
      <c r="L1805" s="11">
        <v>1</v>
      </c>
      <c r="M1805" s="5" t="s">
        <v>1892</v>
      </c>
    </row>
    <row r="1806" spans="2:13" ht="21.75" customHeight="1" x14ac:dyDescent="0.35">
      <c r="B1806" s="12">
        <v>89</v>
      </c>
      <c r="C1806" s="7" t="s">
        <v>9798</v>
      </c>
      <c r="D1806" s="12">
        <v>143</v>
      </c>
      <c r="E1806" s="7" t="s">
        <v>10206</v>
      </c>
      <c r="F1806" s="7" t="s">
        <v>10207</v>
      </c>
      <c r="G1806" s="7" t="s">
        <v>2229</v>
      </c>
      <c r="H1806" s="7" t="s">
        <v>40</v>
      </c>
      <c r="I1806" s="7" t="s">
        <v>54</v>
      </c>
      <c r="J1806" s="7" t="s">
        <v>233</v>
      </c>
      <c r="K1806" s="7" t="s">
        <v>9416</v>
      </c>
      <c r="L1806" s="12">
        <v>1</v>
      </c>
      <c r="M1806" s="7" t="s">
        <v>1892</v>
      </c>
    </row>
    <row r="1807" spans="2:13" ht="37.5" customHeight="1" x14ac:dyDescent="0.35">
      <c r="B1807" s="11">
        <v>89</v>
      </c>
      <c r="C1807" s="5" t="s">
        <v>9798</v>
      </c>
      <c r="D1807" s="11">
        <v>144</v>
      </c>
      <c r="E1807" s="5" t="s">
        <v>10208</v>
      </c>
      <c r="F1807" s="5" t="s">
        <v>10209</v>
      </c>
      <c r="G1807" s="5" t="s">
        <v>1603</v>
      </c>
      <c r="H1807" s="5" t="s">
        <v>4393</v>
      </c>
      <c r="I1807" s="5" t="s">
        <v>5387</v>
      </c>
      <c r="J1807" s="5" t="s">
        <v>10210</v>
      </c>
      <c r="K1807" s="5" t="s">
        <v>10211</v>
      </c>
      <c r="L1807" s="11">
        <v>2</v>
      </c>
      <c r="M1807" s="5" t="s">
        <v>1892</v>
      </c>
    </row>
    <row r="1808" spans="2:13" ht="37.5" customHeight="1" x14ac:dyDescent="0.35">
      <c r="B1808" s="12">
        <v>89</v>
      </c>
      <c r="C1808" s="7" t="s">
        <v>9798</v>
      </c>
      <c r="D1808" s="12">
        <v>145</v>
      </c>
      <c r="E1808" s="7" t="s">
        <v>10212</v>
      </c>
      <c r="F1808" s="7" t="s">
        <v>10213</v>
      </c>
      <c r="G1808" s="7" t="s">
        <v>2529</v>
      </c>
      <c r="H1808" s="7" t="s">
        <v>4720</v>
      </c>
      <c r="I1808" s="7" t="s">
        <v>5225</v>
      </c>
      <c r="J1808" s="7" t="s">
        <v>10214</v>
      </c>
      <c r="K1808" s="7" t="s">
        <v>10215</v>
      </c>
      <c r="L1808" s="12">
        <v>2</v>
      </c>
      <c r="M1808" s="7" t="s">
        <v>1892</v>
      </c>
    </row>
    <row r="1809" spans="2:13" ht="21.75" customHeight="1" x14ac:dyDescent="0.35">
      <c r="B1809" s="11">
        <v>89</v>
      </c>
      <c r="C1809" s="5" t="s">
        <v>9798</v>
      </c>
      <c r="D1809" s="11">
        <v>146</v>
      </c>
      <c r="E1809" s="5" t="s">
        <v>10216</v>
      </c>
      <c r="F1809" s="5" t="s">
        <v>10217</v>
      </c>
      <c r="G1809" s="5" t="s">
        <v>1781</v>
      </c>
      <c r="H1809" s="5" t="s">
        <v>36</v>
      </c>
      <c r="I1809" s="5" t="s">
        <v>48</v>
      </c>
      <c r="J1809" s="5" t="s">
        <v>10218</v>
      </c>
      <c r="K1809" s="5" t="s">
        <v>10219</v>
      </c>
      <c r="L1809" s="11">
        <v>1</v>
      </c>
      <c r="M1809" s="5" t="s">
        <v>1892</v>
      </c>
    </row>
    <row r="1810" spans="2:13" ht="37.5" customHeight="1" x14ac:dyDescent="0.35">
      <c r="B1810" s="12">
        <v>89</v>
      </c>
      <c r="C1810" s="7" t="s">
        <v>9798</v>
      </c>
      <c r="D1810" s="12">
        <v>147</v>
      </c>
      <c r="E1810" s="7" t="s">
        <v>10220</v>
      </c>
      <c r="F1810" s="7" t="s">
        <v>10221</v>
      </c>
      <c r="G1810" s="7" t="s">
        <v>848</v>
      </c>
      <c r="H1810" s="7" t="s">
        <v>36</v>
      </c>
      <c r="I1810" s="7" t="s">
        <v>48</v>
      </c>
      <c r="J1810" s="7" t="s">
        <v>10014</v>
      </c>
      <c r="K1810" s="7" t="s">
        <v>10015</v>
      </c>
      <c r="L1810" s="12">
        <v>1</v>
      </c>
      <c r="M1810" s="7" t="s">
        <v>1892</v>
      </c>
    </row>
    <row r="1811" spans="2:13" ht="37.5" customHeight="1" x14ac:dyDescent="0.35">
      <c r="B1811" s="11">
        <v>89</v>
      </c>
      <c r="C1811" s="5" t="s">
        <v>9798</v>
      </c>
      <c r="D1811" s="11">
        <v>148</v>
      </c>
      <c r="E1811" s="5" t="s">
        <v>10222</v>
      </c>
      <c r="F1811" s="5" t="s">
        <v>10223</v>
      </c>
      <c r="G1811" s="5" t="s">
        <v>1196</v>
      </c>
      <c r="H1811" s="5" t="s">
        <v>4662</v>
      </c>
      <c r="I1811" s="5" t="s">
        <v>5152</v>
      </c>
      <c r="J1811" s="5" t="s">
        <v>10224</v>
      </c>
      <c r="K1811" s="5" t="s">
        <v>10225</v>
      </c>
      <c r="L1811" s="11">
        <v>2</v>
      </c>
      <c r="M1811" s="5" t="s">
        <v>1892</v>
      </c>
    </row>
    <row r="1812" spans="2:13" ht="37.5" customHeight="1" x14ac:dyDescent="0.35">
      <c r="B1812" s="12">
        <v>89</v>
      </c>
      <c r="C1812" s="7" t="s">
        <v>9798</v>
      </c>
      <c r="D1812" s="12">
        <v>149</v>
      </c>
      <c r="E1812" s="7" t="s">
        <v>10226</v>
      </c>
      <c r="F1812" s="7" t="s">
        <v>10227</v>
      </c>
      <c r="G1812" s="7" t="s">
        <v>2126</v>
      </c>
      <c r="H1812" s="7" t="s">
        <v>36</v>
      </c>
      <c r="I1812" s="7" t="s">
        <v>48</v>
      </c>
      <c r="J1812" s="7" t="s">
        <v>9308</v>
      </c>
      <c r="K1812" s="7" t="s">
        <v>9828</v>
      </c>
      <c r="L1812" s="12">
        <v>1</v>
      </c>
      <c r="M1812" s="7" t="s">
        <v>1892</v>
      </c>
    </row>
    <row r="1813" spans="2:13" ht="37.5" customHeight="1" x14ac:dyDescent="0.35">
      <c r="B1813" s="11">
        <v>89</v>
      </c>
      <c r="C1813" s="5" t="s">
        <v>9798</v>
      </c>
      <c r="D1813" s="11">
        <v>150</v>
      </c>
      <c r="E1813" s="5" t="s">
        <v>10228</v>
      </c>
      <c r="F1813" s="5" t="s">
        <v>10229</v>
      </c>
      <c r="G1813" s="5" t="s">
        <v>962</v>
      </c>
      <c r="H1813" s="5" t="s">
        <v>36</v>
      </c>
      <c r="I1813" s="5" t="s">
        <v>48</v>
      </c>
      <c r="J1813" s="5" t="s">
        <v>10014</v>
      </c>
      <c r="K1813" s="5" t="s">
        <v>10015</v>
      </c>
      <c r="L1813" s="11">
        <v>1</v>
      </c>
      <c r="M1813" s="5" t="s">
        <v>1892</v>
      </c>
    </row>
    <row r="1814" spans="2:13" ht="21.75" customHeight="1" x14ac:dyDescent="0.35">
      <c r="B1814" s="12">
        <v>89</v>
      </c>
      <c r="C1814" s="7" t="s">
        <v>9798</v>
      </c>
      <c r="D1814" s="12">
        <v>151</v>
      </c>
      <c r="E1814" s="7" t="s">
        <v>10230</v>
      </c>
      <c r="F1814" s="7" t="s">
        <v>10231</v>
      </c>
      <c r="G1814" s="7" t="s">
        <v>26</v>
      </c>
      <c r="H1814" s="7" t="s">
        <v>36</v>
      </c>
      <c r="I1814" s="7" t="s">
        <v>48</v>
      </c>
      <c r="J1814" s="7" t="s">
        <v>10014</v>
      </c>
      <c r="K1814" s="7" t="s">
        <v>10015</v>
      </c>
      <c r="L1814" s="12">
        <v>1</v>
      </c>
      <c r="M1814" s="7" t="s">
        <v>1892</v>
      </c>
    </row>
    <row r="1815" spans="2:13" ht="67.5" customHeight="1" x14ac:dyDescent="0.35">
      <c r="B1815" s="11">
        <v>89</v>
      </c>
      <c r="C1815" s="5" t="s">
        <v>9798</v>
      </c>
      <c r="D1815" s="11">
        <v>152</v>
      </c>
      <c r="E1815" s="5" t="s">
        <v>10232</v>
      </c>
      <c r="F1815" s="5" t="s">
        <v>10233</v>
      </c>
      <c r="G1815" s="5" t="s">
        <v>10234</v>
      </c>
      <c r="H1815" s="5" t="s">
        <v>10235</v>
      </c>
      <c r="I1815" s="5" t="s">
        <v>10236</v>
      </c>
      <c r="J1815" s="5" t="s">
        <v>10237</v>
      </c>
      <c r="K1815" s="5" t="s">
        <v>10238</v>
      </c>
      <c r="L1815" s="11">
        <v>4</v>
      </c>
      <c r="M1815" s="5" t="s">
        <v>1892</v>
      </c>
    </row>
    <row r="1816" spans="2:13" ht="37.5" customHeight="1" x14ac:dyDescent="0.35">
      <c r="B1816" s="12">
        <v>89</v>
      </c>
      <c r="C1816" s="7" t="s">
        <v>9798</v>
      </c>
      <c r="D1816" s="12">
        <v>153</v>
      </c>
      <c r="E1816" s="7" t="s">
        <v>10239</v>
      </c>
      <c r="F1816" s="7" t="s">
        <v>10240</v>
      </c>
      <c r="G1816" s="7" t="s">
        <v>9781</v>
      </c>
      <c r="H1816" s="7" t="s">
        <v>306</v>
      </c>
      <c r="I1816" s="7" t="s">
        <v>5332</v>
      </c>
      <c r="J1816" s="7" t="s">
        <v>10241</v>
      </c>
      <c r="K1816" s="7" t="s">
        <v>10242</v>
      </c>
      <c r="L1816" s="12">
        <v>2</v>
      </c>
      <c r="M1816" s="7" t="s">
        <v>1892</v>
      </c>
    </row>
    <row r="1817" spans="2:13" ht="37.5" customHeight="1" x14ac:dyDescent="0.35">
      <c r="B1817" s="11">
        <v>89</v>
      </c>
      <c r="C1817" s="5" t="s">
        <v>9798</v>
      </c>
      <c r="D1817" s="11">
        <v>154</v>
      </c>
      <c r="E1817" s="5" t="s">
        <v>10243</v>
      </c>
      <c r="F1817" s="5" t="s">
        <v>10244</v>
      </c>
      <c r="G1817" s="5" t="s">
        <v>761</v>
      </c>
      <c r="H1817" s="5" t="s">
        <v>42</v>
      </c>
      <c r="I1817" s="5" t="s">
        <v>49</v>
      </c>
      <c r="J1817" s="5" t="s">
        <v>10104</v>
      </c>
      <c r="K1817" s="5" t="s">
        <v>10245</v>
      </c>
      <c r="L1817" s="11">
        <v>1</v>
      </c>
      <c r="M1817" s="5" t="s">
        <v>1892</v>
      </c>
    </row>
    <row r="1818" spans="2:13" ht="21.75" customHeight="1" x14ac:dyDescent="0.35">
      <c r="B1818" s="12">
        <v>89</v>
      </c>
      <c r="C1818" s="7" t="s">
        <v>9798</v>
      </c>
      <c r="D1818" s="12">
        <v>155</v>
      </c>
      <c r="E1818" s="7" t="s">
        <v>10246</v>
      </c>
      <c r="F1818" s="7" t="s">
        <v>10247</v>
      </c>
      <c r="G1818" s="7" t="s">
        <v>3065</v>
      </c>
      <c r="H1818" s="7" t="s">
        <v>45</v>
      </c>
      <c r="I1818" s="7" t="s">
        <v>55</v>
      </c>
      <c r="J1818" s="7" t="s">
        <v>331</v>
      </c>
      <c r="K1818" s="7" t="s">
        <v>10248</v>
      </c>
      <c r="L1818" s="12">
        <v>1</v>
      </c>
      <c r="M1818" s="7" t="s">
        <v>1892</v>
      </c>
    </row>
    <row r="1819" spans="2:13" ht="37.5" customHeight="1" x14ac:dyDescent="0.35">
      <c r="B1819" s="11">
        <v>89</v>
      </c>
      <c r="C1819" s="5" t="s">
        <v>9798</v>
      </c>
      <c r="D1819" s="11">
        <v>156</v>
      </c>
      <c r="E1819" s="5" t="s">
        <v>10249</v>
      </c>
      <c r="F1819" s="5" t="s">
        <v>10250</v>
      </c>
      <c r="G1819" s="5" t="s">
        <v>428</v>
      </c>
      <c r="H1819" s="5" t="s">
        <v>41</v>
      </c>
      <c r="I1819" s="5" t="s">
        <v>49</v>
      </c>
      <c r="J1819" s="5" t="s">
        <v>4098</v>
      </c>
      <c r="K1819" s="5" t="s">
        <v>9999</v>
      </c>
      <c r="L1819" s="11">
        <v>1</v>
      </c>
      <c r="M1819" s="5" t="s">
        <v>1892</v>
      </c>
    </row>
    <row r="1820" spans="2:13" ht="21.75" customHeight="1" x14ac:dyDescent="0.35">
      <c r="B1820" s="12">
        <v>89</v>
      </c>
      <c r="C1820" s="7" t="s">
        <v>9798</v>
      </c>
      <c r="D1820" s="12">
        <v>157</v>
      </c>
      <c r="E1820" s="7" t="s">
        <v>10251</v>
      </c>
      <c r="F1820" s="7" t="s">
        <v>10252</v>
      </c>
      <c r="G1820" s="7" t="s">
        <v>686</v>
      </c>
      <c r="H1820" s="7" t="s">
        <v>44</v>
      </c>
      <c r="I1820" s="7" t="s">
        <v>49</v>
      </c>
      <c r="J1820" s="7" t="s">
        <v>1004</v>
      </c>
      <c r="K1820" s="7" t="s">
        <v>5350</v>
      </c>
      <c r="L1820" s="12">
        <v>1</v>
      </c>
      <c r="M1820" s="7" t="s">
        <v>1892</v>
      </c>
    </row>
    <row r="1821" spans="2:13" ht="52.5" customHeight="1" x14ac:dyDescent="0.35">
      <c r="B1821" s="11">
        <v>89</v>
      </c>
      <c r="C1821" s="5" t="s">
        <v>9798</v>
      </c>
      <c r="D1821" s="11">
        <v>158</v>
      </c>
      <c r="E1821" s="5" t="s">
        <v>10253</v>
      </c>
      <c r="F1821" s="5" t="s">
        <v>10254</v>
      </c>
      <c r="G1821" s="5" t="s">
        <v>24</v>
      </c>
      <c r="H1821" s="5" t="s">
        <v>4760</v>
      </c>
      <c r="I1821" s="5" t="s">
        <v>7037</v>
      </c>
      <c r="J1821" s="5" t="s">
        <v>10255</v>
      </c>
      <c r="K1821" s="5" t="s">
        <v>10256</v>
      </c>
      <c r="L1821" s="11">
        <v>3</v>
      </c>
      <c r="M1821" s="5" t="s">
        <v>1892</v>
      </c>
    </row>
    <row r="1822" spans="2:13" ht="21.75" customHeight="1" x14ac:dyDescent="0.35">
      <c r="B1822" s="12">
        <v>89</v>
      </c>
      <c r="C1822" s="7" t="s">
        <v>9798</v>
      </c>
      <c r="D1822" s="12">
        <v>159</v>
      </c>
      <c r="E1822" s="7" t="s">
        <v>10257</v>
      </c>
      <c r="F1822" s="7" t="s">
        <v>10258</v>
      </c>
      <c r="G1822" s="7" t="s">
        <v>788</v>
      </c>
      <c r="H1822" s="7" t="s">
        <v>39</v>
      </c>
      <c r="I1822" s="7" t="s">
        <v>57</v>
      </c>
      <c r="J1822" s="7" t="s">
        <v>10259</v>
      </c>
      <c r="K1822" s="7" t="s">
        <v>10260</v>
      </c>
      <c r="L1822" s="12">
        <v>1</v>
      </c>
      <c r="M1822" s="7" t="s">
        <v>1892</v>
      </c>
    </row>
    <row r="1823" spans="2:13" ht="37.5" customHeight="1" x14ac:dyDescent="0.35">
      <c r="B1823" s="11">
        <v>89</v>
      </c>
      <c r="C1823" s="5" t="s">
        <v>9798</v>
      </c>
      <c r="D1823" s="11">
        <v>160</v>
      </c>
      <c r="E1823" s="5" t="s">
        <v>10261</v>
      </c>
      <c r="F1823" s="5" t="s">
        <v>10262</v>
      </c>
      <c r="G1823" s="5" t="s">
        <v>698</v>
      </c>
      <c r="H1823" s="5" t="s">
        <v>8736</v>
      </c>
      <c r="I1823" s="5" t="s">
        <v>8737</v>
      </c>
      <c r="J1823" s="5" t="s">
        <v>10263</v>
      </c>
      <c r="K1823" s="5" t="s">
        <v>10264</v>
      </c>
      <c r="L1823" s="11">
        <v>2</v>
      </c>
      <c r="M1823" s="5" t="s">
        <v>1892</v>
      </c>
    </row>
    <row r="1824" spans="2:13" ht="21.75" customHeight="1" x14ac:dyDescent="0.35">
      <c r="B1824" s="12">
        <v>89</v>
      </c>
      <c r="C1824" s="7" t="s">
        <v>9798</v>
      </c>
      <c r="D1824" s="12">
        <v>161</v>
      </c>
      <c r="E1824" s="7" t="s">
        <v>10265</v>
      </c>
      <c r="F1824" s="7" t="s">
        <v>10266</v>
      </c>
      <c r="G1824" s="7" t="s">
        <v>791</v>
      </c>
      <c r="H1824" s="7" t="s">
        <v>41</v>
      </c>
      <c r="I1824" s="7" t="s">
        <v>49</v>
      </c>
      <c r="J1824" s="7" t="s">
        <v>4098</v>
      </c>
      <c r="K1824" s="7" t="s">
        <v>9999</v>
      </c>
      <c r="L1824" s="12">
        <v>1</v>
      </c>
      <c r="M1824" s="7" t="s">
        <v>1892</v>
      </c>
    </row>
    <row r="1825" spans="2:13" ht="21.75" customHeight="1" x14ac:dyDescent="0.35">
      <c r="B1825" s="11">
        <v>89</v>
      </c>
      <c r="C1825" s="5" t="s">
        <v>9798</v>
      </c>
      <c r="D1825" s="11">
        <v>162</v>
      </c>
      <c r="E1825" s="5" t="s">
        <v>10267</v>
      </c>
      <c r="F1825" s="5" t="s">
        <v>10268</v>
      </c>
      <c r="G1825" s="5" t="s">
        <v>151</v>
      </c>
      <c r="H1825" s="5" t="s">
        <v>41</v>
      </c>
      <c r="I1825" s="5" t="s">
        <v>49</v>
      </c>
      <c r="J1825" s="5" t="s">
        <v>4098</v>
      </c>
      <c r="K1825" s="5" t="s">
        <v>9999</v>
      </c>
      <c r="L1825" s="11">
        <v>1</v>
      </c>
      <c r="M1825" s="5" t="s">
        <v>1892</v>
      </c>
    </row>
    <row r="1826" spans="2:13" ht="37.5" customHeight="1" x14ac:dyDescent="0.35">
      <c r="B1826" s="12">
        <v>89</v>
      </c>
      <c r="C1826" s="7" t="s">
        <v>9798</v>
      </c>
      <c r="D1826" s="12">
        <v>163</v>
      </c>
      <c r="E1826" s="7" t="s">
        <v>10269</v>
      </c>
      <c r="F1826" s="7" t="s">
        <v>10270</v>
      </c>
      <c r="G1826" s="7" t="s">
        <v>279</v>
      </c>
      <c r="H1826" s="7" t="s">
        <v>5142</v>
      </c>
      <c r="I1826" s="7" t="s">
        <v>5143</v>
      </c>
      <c r="J1826" s="7" t="s">
        <v>10271</v>
      </c>
      <c r="K1826" s="7" t="s">
        <v>10272</v>
      </c>
      <c r="L1826" s="12">
        <v>2</v>
      </c>
      <c r="M1826" s="7" t="s">
        <v>1892</v>
      </c>
    </row>
    <row r="1827" spans="2:13" ht="37.5" customHeight="1" x14ac:dyDescent="0.35">
      <c r="B1827" s="11">
        <v>89</v>
      </c>
      <c r="C1827" s="5" t="s">
        <v>9798</v>
      </c>
      <c r="D1827" s="11">
        <v>164</v>
      </c>
      <c r="E1827" s="5" t="s">
        <v>10273</v>
      </c>
      <c r="F1827" s="5" t="s">
        <v>10274</v>
      </c>
      <c r="G1827" s="5" t="s">
        <v>1787</v>
      </c>
      <c r="H1827" s="5" t="s">
        <v>5142</v>
      </c>
      <c r="I1827" s="5" t="s">
        <v>5143</v>
      </c>
      <c r="J1827" s="5" t="s">
        <v>10275</v>
      </c>
      <c r="K1827" s="5" t="s">
        <v>10276</v>
      </c>
      <c r="L1827" s="11">
        <v>2</v>
      </c>
      <c r="M1827" s="5" t="s">
        <v>1892</v>
      </c>
    </row>
    <row r="1828" spans="2:13" ht="37.5" customHeight="1" x14ac:dyDescent="0.35">
      <c r="B1828" s="12">
        <v>89</v>
      </c>
      <c r="C1828" s="7" t="s">
        <v>9798</v>
      </c>
      <c r="D1828" s="12">
        <v>165</v>
      </c>
      <c r="E1828" s="7" t="s">
        <v>10277</v>
      </c>
      <c r="F1828" s="7" t="s">
        <v>10278</v>
      </c>
      <c r="G1828" s="7" t="s">
        <v>816</v>
      </c>
      <c r="H1828" s="7" t="s">
        <v>36</v>
      </c>
      <c r="I1828" s="7" t="s">
        <v>48</v>
      </c>
      <c r="J1828" s="7" t="s">
        <v>9308</v>
      </c>
      <c r="K1828" s="7" t="s">
        <v>9828</v>
      </c>
      <c r="L1828" s="12">
        <v>1</v>
      </c>
      <c r="M1828" s="7" t="s">
        <v>1892</v>
      </c>
    </row>
    <row r="1829" spans="2:13" ht="37.5" customHeight="1" x14ac:dyDescent="0.35">
      <c r="B1829" s="11">
        <v>89</v>
      </c>
      <c r="C1829" s="5" t="s">
        <v>9798</v>
      </c>
      <c r="D1829" s="11">
        <v>166</v>
      </c>
      <c r="E1829" s="5" t="s">
        <v>10279</v>
      </c>
      <c r="F1829" s="5" t="s">
        <v>10280</v>
      </c>
      <c r="G1829" s="5" t="s">
        <v>645</v>
      </c>
      <c r="H1829" s="5" t="s">
        <v>10281</v>
      </c>
      <c r="I1829" s="5" t="s">
        <v>10282</v>
      </c>
      <c r="J1829" s="5" t="s">
        <v>240</v>
      </c>
      <c r="K1829" s="5" t="s">
        <v>10283</v>
      </c>
      <c r="L1829" s="11">
        <v>2</v>
      </c>
      <c r="M1829" s="5" t="s">
        <v>1892</v>
      </c>
    </row>
    <row r="1830" spans="2:13" ht="37.5" customHeight="1" x14ac:dyDescent="0.35">
      <c r="B1830" s="12">
        <v>89</v>
      </c>
      <c r="C1830" s="7" t="s">
        <v>9798</v>
      </c>
      <c r="D1830" s="12">
        <v>167</v>
      </c>
      <c r="E1830" s="7" t="s">
        <v>10284</v>
      </c>
      <c r="F1830" s="7" t="s">
        <v>10285</v>
      </c>
      <c r="G1830" s="7" t="s">
        <v>831</v>
      </c>
      <c r="H1830" s="7" t="s">
        <v>306</v>
      </c>
      <c r="I1830" s="7" t="s">
        <v>5143</v>
      </c>
      <c r="J1830" s="7" t="s">
        <v>10111</v>
      </c>
      <c r="K1830" s="7" t="s">
        <v>10286</v>
      </c>
      <c r="L1830" s="12">
        <v>2</v>
      </c>
      <c r="M1830" s="7" t="s">
        <v>1892</v>
      </c>
    </row>
    <row r="1831" spans="2:13" ht="37.5" customHeight="1" x14ac:dyDescent="0.35">
      <c r="B1831" s="11">
        <v>89</v>
      </c>
      <c r="C1831" s="5" t="s">
        <v>9798</v>
      </c>
      <c r="D1831" s="11">
        <v>168</v>
      </c>
      <c r="E1831" s="5" t="s">
        <v>10287</v>
      </c>
      <c r="F1831" s="5" t="s">
        <v>10288</v>
      </c>
      <c r="G1831" s="5" t="s">
        <v>973</v>
      </c>
      <c r="H1831" s="5" t="s">
        <v>306</v>
      </c>
      <c r="I1831" s="5" t="s">
        <v>5332</v>
      </c>
      <c r="J1831" s="5" t="s">
        <v>10241</v>
      </c>
      <c r="K1831" s="5" t="s">
        <v>10242</v>
      </c>
      <c r="L1831" s="11">
        <v>2</v>
      </c>
      <c r="M1831" s="5" t="s">
        <v>1892</v>
      </c>
    </row>
    <row r="1832" spans="2:13" ht="37.5" customHeight="1" x14ac:dyDescent="0.35">
      <c r="B1832" s="12">
        <v>89</v>
      </c>
      <c r="C1832" s="7" t="s">
        <v>9798</v>
      </c>
      <c r="D1832" s="12">
        <v>169</v>
      </c>
      <c r="E1832" s="7" t="s">
        <v>10289</v>
      </c>
      <c r="F1832" s="7" t="s">
        <v>10290</v>
      </c>
      <c r="G1832" s="7" t="s">
        <v>4680</v>
      </c>
      <c r="H1832" s="7" t="s">
        <v>41</v>
      </c>
      <c r="I1832" s="7" t="s">
        <v>49</v>
      </c>
      <c r="J1832" s="7" t="s">
        <v>4098</v>
      </c>
      <c r="K1832" s="7" t="s">
        <v>9999</v>
      </c>
      <c r="L1832" s="12">
        <v>1</v>
      </c>
      <c r="M1832" s="7" t="s">
        <v>1892</v>
      </c>
    </row>
    <row r="1833" spans="2:13" ht="21.75" customHeight="1" x14ac:dyDescent="0.35">
      <c r="B1833" s="11">
        <v>89</v>
      </c>
      <c r="C1833" s="5" t="s">
        <v>9798</v>
      </c>
      <c r="D1833" s="11">
        <v>170</v>
      </c>
      <c r="E1833" s="5" t="s">
        <v>10291</v>
      </c>
      <c r="F1833" s="5" t="s">
        <v>10292</v>
      </c>
      <c r="G1833" s="5" t="s">
        <v>877</v>
      </c>
      <c r="H1833" s="5" t="s">
        <v>41</v>
      </c>
      <c r="I1833" s="5" t="s">
        <v>49</v>
      </c>
      <c r="J1833" s="5" t="s">
        <v>4098</v>
      </c>
      <c r="K1833" s="5" t="s">
        <v>9999</v>
      </c>
      <c r="L1833" s="11">
        <v>1</v>
      </c>
      <c r="M1833" s="5" t="s">
        <v>1892</v>
      </c>
    </row>
    <row r="1834" spans="2:13" ht="21.75" customHeight="1" x14ac:dyDescent="0.35">
      <c r="B1834" s="12">
        <v>89</v>
      </c>
      <c r="C1834" s="7" t="s">
        <v>9798</v>
      </c>
      <c r="D1834" s="12">
        <v>171</v>
      </c>
      <c r="E1834" s="7" t="s">
        <v>10293</v>
      </c>
      <c r="F1834" s="7" t="s">
        <v>10294</v>
      </c>
      <c r="G1834" s="7" t="s">
        <v>1172</v>
      </c>
      <c r="H1834" s="7" t="s">
        <v>36</v>
      </c>
      <c r="I1834" s="7" t="s">
        <v>48</v>
      </c>
      <c r="J1834" s="7" t="s">
        <v>10014</v>
      </c>
      <c r="K1834" s="7" t="s">
        <v>10015</v>
      </c>
      <c r="L1834" s="12">
        <v>1</v>
      </c>
      <c r="M1834" s="7" t="s">
        <v>1892</v>
      </c>
    </row>
    <row r="1835" spans="2:13" ht="37.5" customHeight="1" x14ac:dyDescent="0.35">
      <c r="B1835" s="11">
        <v>89</v>
      </c>
      <c r="C1835" s="5" t="s">
        <v>9798</v>
      </c>
      <c r="D1835" s="11">
        <v>172</v>
      </c>
      <c r="E1835" s="5" t="s">
        <v>10295</v>
      </c>
      <c r="F1835" s="5" t="s">
        <v>10296</v>
      </c>
      <c r="G1835" s="5" t="s">
        <v>1790</v>
      </c>
      <c r="H1835" s="5" t="s">
        <v>1521</v>
      </c>
      <c r="I1835" s="5" t="s">
        <v>5310</v>
      </c>
      <c r="J1835" s="5" t="s">
        <v>10297</v>
      </c>
      <c r="K1835" s="5" t="s">
        <v>10298</v>
      </c>
      <c r="L1835" s="11">
        <v>2</v>
      </c>
      <c r="M1835" s="5" t="s">
        <v>1892</v>
      </c>
    </row>
    <row r="1836" spans="2:13" ht="37.5" customHeight="1" x14ac:dyDescent="0.35">
      <c r="B1836" s="12">
        <v>89</v>
      </c>
      <c r="C1836" s="7" t="s">
        <v>9798</v>
      </c>
      <c r="D1836" s="12">
        <v>173</v>
      </c>
      <c r="E1836" s="7" t="s">
        <v>10299</v>
      </c>
      <c r="F1836" s="7" t="s">
        <v>10300</v>
      </c>
      <c r="G1836" s="7" t="s">
        <v>1226</v>
      </c>
      <c r="H1836" s="7" t="s">
        <v>39</v>
      </c>
      <c r="I1836" s="7" t="s">
        <v>57</v>
      </c>
      <c r="J1836" s="7" t="s">
        <v>10021</v>
      </c>
      <c r="K1836" s="7" t="s">
        <v>10022</v>
      </c>
      <c r="L1836" s="12">
        <v>1</v>
      </c>
      <c r="M1836" s="7" t="s">
        <v>1892</v>
      </c>
    </row>
    <row r="1837" spans="2:13" ht="37.5" customHeight="1" x14ac:dyDescent="0.35">
      <c r="B1837" s="11">
        <v>89</v>
      </c>
      <c r="C1837" s="5" t="s">
        <v>9798</v>
      </c>
      <c r="D1837" s="11">
        <v>174</v>
      </c>
      <c r="E1837" s="5" t="s">
        <v>10301</v>
      </c>
      <c r="F1837" s="5" t="s">
        <v>10302</v>
      </c>
      <c r="G1837" s="5" t="s">
        <v>1161</v>
      </c>
      <c r="H1837" s="5" t="s">
        <v>39</v>
      </c>
      <c r="I1837" s="5" t="s">
        <v>57</v>
      </c>
      <c r="J1837" s="5" t="s">
        <v>10021</v>
      </c>
      <c r="K1837" s="5" t="s">
        <v>10022</v>
      </c>
      <c r="L1837" s="11">
        <v>1</v>
      </c>
      <c r="M1837" s="5" t="s">
        <v>1892</v>
      </c>
    </row>
    <row r="1838" spans="2:13" ht="21.75" customHeight="1" x14ac:dyDescent="0.35">
      <c r="B1838" s="12">
        <v>89</v>
      </c>
      <c r="C1838" s="7" t="s">
        <v>9798</v>
      </c>
      <c r="D1838" s="12">
        <v>175</v>
      </c>
      <c r="E1838" s="7" t="s">
        <v>10303</v>
      </c>
      <c r="F1838" s="7" t="s">
        <v>10304</v>
      </c>
      <c r="G1838" s="7" t="s">
        <v>3190</v>
      </c>
      <c r="H1838" s="7" t="s">
        <v>38</v>
      </c>
      <c r="I1838" s="7" t="s">
        <v>49</v>
      </c>
      <c r="J1838" s="7" t="s">
        <v>233</v>
      </c>
      <c r="K1838" s="7" t="s">
        <v>10305</v>
      </c>
      <c r="L1838" s="12">
        <v>1</v>
      </c>
      <c r="M1838" s="7" t="s">
        <v>1892</v>
      </c>
    </row>
    <row r="1839" spans="2:13" ht="21.75" customHeight="1" x14ac:dyDescent="0.35">
      <c r="B1839" s="11">
        <v>89</v>
      </c>
      <c r="C1839" s="5" t="s">
        <v>9798</v>
      </c>
      <c r="D1839" s="11">
        <v>176</v>
      </c>
      <c r="E1839" s="5" t="s">
        <v>10306</v>
      </c>
      <c r="F1839" s="5" t="s">
        <v>10307</v>
      </c>
      <c r="G1839" s="5" t="s">
        <v>1180</v>
      </c>
      <c r="H1839" s="5" t="s">
        <v>36</v>
      </c>
      <c r="I1839" s="5" t="s">
        <v>48</v>
      </c>
      <c r="J1839" s="5" t="s">
        <v>10014</v>
      </c>
      <c r="K1839" s="5" t="s">
        <v>10015</v>
      </c>
      <c r="L1839" s="11">
        <v>1</v>
      </c>
      <c r="M1839" s="5" t="s">
        <v>1892</v>
      </c>
    </row>
    <row r="1840" spans="2:13" ht="21.75" customHeight="1" x14ac:dyDescent="0.35">
      <c r="B1840" s="12">
        <v>89</v>
      </c>
      <c r="C1840" s="7" t="s">
        <v>9798</v>
      </c>
      <c r="D1840" s="12">
        <v>177</v>
      </c>
      <c r="E1840" s="7" t="s">
        <v>10308</v>
      </c>
      <c r="F1840" s="7" t="s">
        <v>10309</v>
      </c>
      <c r="G1840" s="7" t="s">
        <v>10310</v>
      </c>
      <c r="H1840" s="7" t="s">
        <v>37</v>
      </c>
      <c r="I1840" s="7" t="s">
        <v>55</v>
      </c>
      <c r="J1840" s="7" t="s">
        <v>1579</v>
      </c>
      <c r="K1840" s="7" t="s">
        <v>5370</v>
      </c>
      <c r="L1840" s="12">
        <v>1</v>
      </c>
      <c r="M1840" s="7" t="s">
        <v>1892</v>
      </c>
    </row>
    <row r="1841" spans="2:13" ht="37.5" customHeight="1" x14ac:dyDescent="0.35">
      <c r="B1841" s="11">
        <v>89</v>
      </c>
      <c r="C1841" s="5" t="s">
        <v>9798</v>
      </c>
      <c r="D1841" s="11">
        <v>178</v>
      </c>
      <c r="E1841" s="5" t="s">
        <v>10311</v>
      </c>
      <c r="F1841" s="5" t="s">
        <v>10312</v>
      </c>
      <c r="G1841" s="5" t="s">
        <v>967</v>
      </c>
      <c r="H1841" s="5" t="s">
        <v>36</v>
      </c>
      <c r="I1841" s="5" t="s">
        <v>48</v>
      </c>
      <c r="J1841" s="5" t="s">
        <v>10014</v>
      </c>
      <c r="K1841" s="5" t="s">
        <v>10015</v>
      </c>
      <c r="L1841" s="11">
        <v>1</v>
      </c>
      <c r="M1841" s="5" t="s">
        <v>1892</v>
      </c>
    </row>
    <row r="1842" spans="2:13" ht="37.5" customHeight="1" x14ac:dyDescent="0.35">
      <c r="B1842" s="12">
        <v>89</v>
      </c>
      <c r="C1842" s="7" t="s">
        <v>9798</v>
      </c>
      <c r="D1842" s="12">
        <v>179</v>
      </c>
      <c r="E1842" s="7" t="s">
        <v>10313</v>
      </c>
      <c r="F1842" s="7" t="s">
        <v>10314</v>
      </c>
      <c r="G1842" s="7" t="s">
        <v>3283</v>
      </c>
      <c r="H1842" s="7" t="s">
        <v>36</v>
      </c>
      <c r="I1842" s="7" t="s">
        <v>48</v>
      </c>
      <c r="J1842" s="7" t="s">
        <v>9308</v>
      </c>
      <c r="K1842" s="7" t="s">
        <v>9828</v>
      </c>
      <c r="L1842" s="12">
        <v>1</v>
      </c>
      <c r="M1842" s="7" t="s">
        <v>1892</v>
      </c>
    </row>
    <row r="1843" spans="2:13" ht="21.75" customHeight="1" x14ac:dyDescent="0.35">
      <c r="B1843" s="11">
        <v>89</v>
      </c>
      <c r="C1843" s="5" t="s">
        <v>9798</v>
      </c>
      <c r="D1843" s="11">
        <v>180</v>
      </c>
      <c r="E1843" s="5" t="s">
        <v>10315</v>
      </c>
      <c r="F1843" s="5" t="s">
        <v>10316</v>
      </c>
      <c r="G1843" s="5" t="s">
        <v>1855</v>
      </c>
      <c r="H1843" s="5" t="s">
        <v>39</v>
      </c>
      <c r="I1843" s="5" t="s">
        <v>57</v>
      </c>
      <c r="J1843" s="5" t="s">
        <v>10317</v>
      </c>
      <c r="K1843" s="5" t="s">
        <v>10318</v>
      </c>
      <c r="L1843" s="11">
        <v>1</v>
      </c>
      <c r="M1843" s="5" t="s">
        <v>1892</v>
      </c>
    </row>
    <row r="1844" spans="2:13" ht="21.75" customHeight="1" x14ac:dyDescent="0.35">
      <c r="B1844" s="12">
        <v>89</v>
      </c>
      <c r="C1844" s="7" t="s">
        <v>9798</v>
      </c>
      <c r="D1844" s="12">
        <v>181</v>
      </c>
      <c r="E1844" s="7" t="s">
        <v>10319</v>
      </c>
      <c r="F1844" s="7" t="s">
        <v>10320</v>
      </c>
      <c r="G1844" s="7" t="s">
        <v>3997</v>
      </c>
      <c r="H1844" s="7" t="s">
        <v>42</v>
      </c>
      <c r="I1844" s="7" t="s">
        <v>7639</v>
      </c>
      <c r="J1844" s="7" t="s">
        <v>10104</v>
      </c>
      <c r="K1844" s="7" t="s">
        <v>10321</v>
      </c>
      <c r="L1844" s="12">
        <v>1</v>
      </c>
      <c r="M1844" s="7" t="s">
        <v>1892</v>
      </c>
    </row>
    <row r="1845" spans="2:13" ht="37.5" customHeight="1" x14ac:dyDescent="0.35">
      <c r="B1845" s="11">
        <v>89</v>
      </c>
      <c r="C1845" s="5" t="s">
        <v>9798</v>
      </c>
      <c r="D1845" s="11">
        <v>182</v>
      </c>
      <c r="E1845" s="5" t="s">
        <v>10322</v>
      </c>
      <c r="F1845" s="5" t="s">
        <v>10323</v>
      </c>
      <c r="G1845" s="5" t="s">
        <v>3283</v>
      </c>
      <c r="H1845" s="5" t="s">
        <v>36</v>
      </c>
      <c r="I1845" s="5" t="s">
        <v>48</v>
      </c>
      <c r="J1845" s="5" t="s">
        <v>10185</v>
      </c>
      <c r="K1845" s="5" t="s">
        <v>10186</v>
      </c>
      <c r="L1845" s="11">
        <v>1</v>
      </c>
      <c r="M1845" s="5" t="s">
        <v>1892</v>
      </c>
    </row>
    <row r="1846" spans="2:13" ht="37.5" customHeight="1" x14ac:dyDescent="0.35">
      <c r="B1846" s="12">
        <v>89</v>
      </c>
      <c r="C1846" s="7" t="s">
        <v>9798</v>
      </c>
      <c r="D1846" s="12">
        <v>183</v>
      </c>
      <c r="E1846" s="7" t="s">
        <v>10324</v>
      </c>
      <c r="F1846" s="7" t="s">
        <v>10325</v>
      </c>
      <c r="G1846" s="7" t="s">
        <v>1873</v>
      </c>
      <c r="H1846" s="7" t="s">
        <v>9152</v>
      </c>
      <c r="I1846" s="7" t="s">
        <v>10326</v>
      </c>
      <c r="J1846" s="7" t="s">
        <v>10185</v>
      </c>
      <c r="K1846" s="7" t="s">
        <v>10327</v>
      </c>
      <c r="L1846" s="12">
        <v>2</v>
      </c>
      <c r="M1846" s="7" t="s">
        <v>1892</v>
      </c>
    </row>
    <row r="1847" spans="2:13" ht="37.5" customHeight="1" x14ac:dyDescent="0.35">
      <c r="B1847" s="11">
        <v>89</v>
      </c>
      <c r="C1847" s="5" t="s">
        <v>9798</v>
      </c>
      <c r="D1847" s="11">
        <v>184</v>
      </c>
      <c r="E1847" s="5" t="s">
        <v>10328</v>
      </c>
      <c r="F1847" s="5" t="s">
        <v>10329</v>
      </c>
      <c r="G1847" s="5" t="s">
        <v>4850</v>
      </c>
      <c r="H1847" s="5" t="s">
        <v>36</v>
      </c>
      <c r="I1847" s="5" t="s">
        <v>48</v>
      </c>
      <c r="J1847" s="5" t="s">
        <v>10185</v>
      </c>
      <c r="K1847" s="5" t="s">
        <v>10186</v>
      </c>
      <c r="L1847" s="11">
        <v>1</v>
      </c>
      <c r="M1847" s="5" t="s">
        <v>1892</v>
      </c>
    </row>
    <row r="1848" spans="2:13" ht="37.5" customHeight="1" x14ac:dyDescent="0.35">
      <c r="B1848" s="12">
        <v>89</v>
      </c>
      <c r="C1848" s="7" t="s">
        <v>9798</v>
      </c>
      <c r="D1848" s="12">
        <v>185</v>
      </c>
      <c r="E1848" s="7" t="s">
        <v>10330</v>
      </c>
      <c r="F1848" s="7" t="s">
        <v>10331</v>
      </c>
      <c r="G1848" s="7" t="s">
        <v>4857</v>
      </c>
      <c r="H1848" s="7" t="s">
        <v>36</v>
      </c>
      <c r="I1848" s="7" t="s">
        <v>48</v>
      </c>
      <c r="J1848" s="7" t="s">
        <v>10185</v>
      </c>
      <c r="K1848" s="7" t="s">
        <v>10186</v>
      </c>
      <c r="L1848" s="12">
        <v>1</v>
      </c>
      <c r="M1848" s="7" t="s">
        <v>1892</v>
      </c>
    </row>
    <row r="1849" spans="2:13" ht="21.75" customHeight="1" x14ac:dyDescent="0.35">
      <c r="B1849" s="11">
        <v>89</v>
      </c>
      <c r="C1849" s="5" t="s">
        <v>9798</v>
      </c>
      <c r="D1849" s="11">
        <v>186</v>
      </c>
      <c r="E1849" s="5" t="s">
        <v>10332</v>
      </c>
      <c r="F1849" s="5" t="s">
        <v>10333</v>
      </c>
      <c r="G1849" s="5" t="s">
        <v>2135</v>
      </c>
      <c r="H1849" s="5" t="s">
        <v>39</v>
      </c>
      <c r="I1849" s="5" t="s">
        <v>57</v>
      </c>
      <c r="J1849" s="5" t="s">
        <v>10185</v>
      </c>
      <c r="K1849" s="5" t="s">
        <v>10334</v>
      </c>
      <c r="L1849" s="11">
        <v>1</v>
      </c>
      <c r="M1849" s="5" t="s">
        <v>1892</v>
      </c>
    </row>
    <row r="1850" spans="2:13" ht="37.5" customHeight="1" x14ac:dyDescent="0.35">
      <c r="B1850" s="12">
        <v>90</v>
      </c>
      <c r="C1850" s="7" t="s">
        <v>10335</v>
      </c>
      <c r="D1850" s="12">
        <v>1</v>
      </c>
      <c r="E1850" s="7" t="s">
        <v>10336</v>
      </c>
      <c r="F1850" s="7" t="s">
        <v>10337</v>
      </c>
      <c r="G1850" s="7" t="s">
        <v>4879</v>
      </c>
      <c r="H1850" s="7" t="s">
        <v>41</v>
      </c>
      <c r="I1850" s="7" t="s">
        <v>49</v>
      </c>
      <c r="J1850" s="7" t="s">
        <v>213</v>
      </c>
      <c r="K1850" s="7" t="s">
        <v>214</v>
      </c>
      <c r="L1850" s="12">
        <v>1</v>
      </c>
      <c r="M1850" s="7" t="s">
        <v>1892</v>
      </c>
    </row>
    <row r="1851" spans="2:13" ht="37.5" customHeight="1" x14ac:dyDescent="0.35">
      <c r="B1851" s="11">
        <v>91</v>
      </c>
      <c r="C1851" s="5" t="s">
        <v>10338</v>
      </c>
      <c r="D1851" s="11">
        <v>1</v>
      </c>
      <c r="E1851" s="5" t="s">
        <v>10339</v>
      </c>
      <c r="F1851" s="5" t="s">
        <v>10340</v>
      </c>
      <c r="G1851" s="5" t="s">
        <v>497</v>
      </c>
      <c r="H1851" s="5" t="s">
        <v>36</v>
      </c>
      <c r="I1851" s="5" t="s">
        <v>5409</v>
      </c>
      <c r="J1851" s="5" t="s">
        <v>663</v>
      </c>
      <c r="K1851" s="5" t="s">
        <v>10341</v>
      </c>
      <c r="L1851" s="11">
        <v>1</v>
      </c>
      <c r="M1851" s="5" t="s">
        <v>1892</v>
      </c>
    </row>
    <row r="1852" spans="2:13" ht="52.5" customHeight="1" x14ac:dyDescent="0.35">
      <c r="B1852" s="12">
        <v>92</v>
      </c>
      <c r="C1852" s="7" t="s">
        <v>10342</v>
      </c>
      <c r="D1852" s="12">
        <v>1</v>
      </c>
      <c r="E1852" s="7" t="s">
        <v>10343</v>
      </c>
      <c r="F1852" s="7" t="s">
        <v>10344</v>
      </c>
      <c r="G1852" s="7" t="s">
        <v>25</v>
      </c>
      <c r="H1852" s="7" t="s">
        <v>7601</v>
      </c>
      <c r="I1852" s="7" t="s">
        <v>10345</v>
      </c>
      <c r="J1852" s="7" t="s">
        <v>10346</v>
      </c>
      <c r="K1852" s="7" t="s">
        <v>10347</v>
      </c>
      <c r="L1852" s="12">
        <v>2</v>
      </c>
      <c r="M1852" s="7" t="s">
        <v>1892</v>
      </c>
    </row>
    <row r="1853" spans="2:13" ht="52.5" customHeight="1" x14ac:dyDescent="0.35">
      <c r="B1853" s="11">
        <v>92</v>
      </c>
      <c r="C1853" s="5" t="s">
        <v>10342</v>
      </c>
      <c r="D1853" s="11">
        <v>2</v>
      </c>
      <c r="E1853" s="5" t="s">
        <v>10348</v>
      </c>
      <c r="F1853" s="5" t="s">
        <v>10349</v>
      </c>
      <c r="G1853" s="5" t="s">
        <v>566</v>
      </c>
      <c r="H1853" s="5" t="s">
        <v>218</v>
      </c>
      <c r="I1853" s="5" t="s">
        <v>5036</v>
      </c>
      <c r="J1853" s="5" t="s">
        <v>10350</v>
      </c>
      <c r="K1853" s="5" t="s">
        <v>10351</v>
      </c>
      <c r="L1853" s="11">
        <v>2</v>
      </c>
      <c r="M1853" s="5" t="s">
        <v>1892</v>
      </c>
    </row>
    <row r="1854" spans="2:13" ht="37.5" customHeight="1" x14ac:dyDescent="0.35">
      <c r="B1854" s="12">
        <v>93</v>
      </c>
      <c r="C1854" s="7" t="s">
        <v>10352</v>
      </c>
      <c r="D1854" s="12">
        <v>1</v>
      </c>
      <c r="E1854" s="7" t="s">
        <v>10353</v>
      </c>
      <c r="F1854" s="7" t="s">
        <v>10354</v>
      </c>
      <c r="G1854" s="7" t="s">
        <v>2919</v>
      </c>
      <c r="H1854" s="7" t="s">
        <v>36</v>
      </c>
      <c r="I1854" s="7" t="s">
        <v>48</v>
      </c>
      <c r="J1854" s="7" t="s">
        <v>5510</v>
      </c>
      <c r="K1854" s="7" t="s">
        <v>10355</v>
      </c>
      <c r="L1854" s="12">
        <v>1</v>
      </c>
      <c r="M1854" s="7" t="s">
        <v>1892</v>
      </c>
    </row>
    <row r="1855" spans="2:13" ht="37.5" customHeight="1" x14ac:dyDescent="0.35">
      <c r="B1855" s="11">
        <v>94</v>
      </c>
      <c r="C1855" s="5" t="s">
        <v>10356</v>
      </c>
      <c r="D1855" s="11">
        <v>1</v>
      </c>
      <c r="E1855" s="5" t="s">
        <v>10357</v>
      </c>
      <c r="F1855" s="5" t="s">
        <v>10358</v>
      </c>
      <c r="G1855" s="5" t="s">
        <v>25</v>
      </c>
      <c r="H1855" s="5" t="s">
        <v>4752</v>
      </c>
      <c r="I1855" s="5" t="s">
        <v>5583</v>
      </c>
      <c r="J1855" s="5" t="s">
        <v>10359</v>
      </c>
      <c r="K1855" s="5" t="s">
        <v>10360</v>
      </c>
      <c r="L1855" s="11">
        <v>2</v>
      </c>
      <c r="M1855" s="5" t="s">
        <v>1892</v>
      </c>
    </row>
    <row r="1856" spans="2:13" ht="37.5" customHeight="1" x14ac:dyDescent="0.35">
      <c r="B1856" s="12">
        <v>94</v>
      </c>
      <c r="C1856" s="7" t="s">
        <v>10356</v>
      </c>
      <c r="D1856" s="12">
        <v>2</v>
      </c>
      <c r="E1856" s="7" t="s">
        <v>10361</v>
      </c>
      <c r="F1856" s="7" t="s">
        <v>10362</v>
      </c>
      <c r="G1856" s="7" t="s">
        <v>32</v>
      </c>
      <c r="H1856" s="7" t="s">
        <v>4752</v>
      </c>
      <c r="I1856" s="7" t="s">
        <v>5583</v>
      </c>
      <c r="J1856" s="7" t="s">
        <v>10363</v>
      </c>
      <c r="K1856" s="7" t="s">
        <v>10364</v>
      </c>
      <c r="L1856" s="12">
        <v>2</v>
      </c>
      <c r="M1856" s="7" t="s">
        <v>1892</v>
      </c>
    </row>
    <row r="1857" spans="2:13" ht="52.5" customHeight="1" x14ac:dyDescent="0.35">
      <c r="B1857" s="11"/>
      <c r="C1857" s="5" t="s">
        <v>10365</v>
      </c>
      <c r="D1857" s="11">
        <v>3</v>
      </c>
      <c r="E1857" s="5" t="s">
        <v>10366</v>
      </c>
      <c r="F1857" s="5" t="s">
        <v>10367</v>
      </c>
      <c r="G1857" s="5" t="s">
        <v>1127</v>
      </c>
      <c r="H1857" s="5" t="s">
        <v>36</v>
      </c>
      <c r="I1857" s="5" t="s">
        <v>48</v>
      </c>
      <c r="J1857" s="5" t="s">
        <v>10368</v>
      </c>
      <c r="K1857" s="5" t="s">
        <v>10369</v>
      </c>
      <c r="L1857" s="11">
        <v>1</v>
      </c>
      <c r="M1857" s="5"/>
    </row>
    <row r="1858" spans="2:13" ht="52.5" customHeight="1" x14ac:dyDescent="0.35">
      <c r="B1858" s="12"/>
      <c r="C1858" s="7" t="s">
        <v>10365</v>
      </c>
      <c r="D1858" s="12">
        <v>4</v>
      </c>
      <c r="E1858" s="7" t="s">
        <v>10370</v>
      </c>
      <c r="F1858" s="7" t="s">
        <v>10371</v>
      </c>
      <c r="G1858" s="7" t="s">
        <v>552</v>
      </c>
      <c r="H1858" s="7" t="s">
        <v>36</v>
      </c>
      <c r="I1858" s="7" t="s">
        <v>48</v>
      </c>
      <c r="J1858" s="7" t="s">
        <v>10368</v>
      </c>
      <c r="K1858" s="7" t="s">
        <v>10369</v>
      </c>
      <c r="L1858" s="12">
        <v>1</v>
      </c>
      <c r="M1858" s="7"/>
    </row>
    <row r="1859" spans="2:13" ht="52.5" customHeight="1" x14ac:dyDescent="0.35">
      <c r="B1859" s="11"/>
      <c r="C1859" s="5" t="s">
        <v>10365</v>
      </c>
      <c r="D1859" s="11">
        <v>5</v>
      </c>
      <c r="E1859" s="5" t="s">
        <v>10372</v>
      </c>
      <c r="F1859" s="5" t="s">
        <v>10373</v>
      </c>
      <c r="G1859" s="5" t="s">
        <v>831</v>
      </c>
      <c r="H1859" s="5" t="s">
        <v>37</v>
      </c>
      <c r="I1859" s="5" t="s">
        <v>51</v>
      </c>
      <c r="J1859" s="5" t="s">
        <v>5056</v>
      </c>
      <c r="K1859" s="5" t="s">
        <v>5299</v>
      </c>
      <c r="L1859" s="11">
        <v>1</v>
      </c>
      <c r="M1859" s="5"/>
    </row>
    <row r="1860" spans="2:13" ht="52.5" customHeight="1" x14ac:dyDescent="0.35">
      <c r="B1860" s="12"/>
      <c r="C1860" s="7" t="s">
        <v>10365</v>
      </c>
      <c r="D1860" s="12">
        <v>6</v>
      </c>
      <c r="E1860" s="7" t="s">
        <v>10374</v>
      </c>
      <c r="F1860" s="7" t="s">
        <v>10375</v>
      </c>
      <c r="G1860" s="7" t="s">
        <v>1244</v>
      </c>
      <c r="H1860" s="7" t="s">
        <v>42</v>
      </c>
      <c r="I1860" s="7" t="s">
        <v>10376</v>
      </c>
      <c r="J1860" s="7" t="s">
        <v>6755</v>
      </c>
      <c r="K1860" s="7" t="s">
        <v>10377</v>
      </c>
      <c r="L1860" s="12">
        <v>1</v>
      </c>
      <c r="M1860" s="7"/>
    </row>
    <row r="1861" spans="2:13" ht="52.5" customHeight="1" x14ac:dyDescent="0.35">
      <c r="B1861" s="11"/>
      <c r="C1861" s="5" t="s">
        <v>10365</v>
      </c>
      <c r="D1861" s="11">
        <v>7</v>
      </c>
      <c r="E1861" s="5" t="s">
        <v>10378</v>
      </c>
      <c r="F1861" s="5" t="s">
        <v>10379</v>
      </c>
      <c r="G1861" s="5" t="s">
        <v>557</v>
      </c>
      <c r="H1861" s="5" t="s">
        <v>37</v>
      </c>
      <c r="I1861" s="5" t="s">
        <v>51</v>
      </c>
      <c r="J1861" s="5" t="s">
        <v>10380</v>
      </c>
      <c r="K1861" s="5" t="s">
        <v>10381</v>
      </c>
      <c r="L1861" s="11">
        <v>1</v>
      </c>
      <c r="M1861" s="5"/>
    </row>
    <row r="1862" spans="2:13" ht="52.5" customHeight="1" x14ac:dyDescent="0.35">
      <c r="B1862" s="12"/>
      <c r="C1862" s="7" t="s">
        <v>10365</v>
      </c>
      <c r="D1862" s="12">
        <v>8</v>
      </c>
      <c r="E1862" s="7" t="s">
        <v>10382</v>
      </c>
      <c r="F1862" s="7" t="s">
        <v>10383</v>
      </c>
      <c r="G1862" s="7" t="s">
        <v>192</v>
      </c>
      <c r="H1862" s="7" t="s">
        <v>37</v>
      </c>
      <c r="I1862" s="7" t="s">
        <v>51</v>
      </c>
      <c r="J1862" s="7" t="s">
        <v>4308</v>
      </c>
      <c r="K1862" s="7" t="s">
        <v>10384</v>
      </c>
      <c r="L1862" s="12">
        <v>1</v>
      </c>
      <c r="M1862" s="7"/>
    </row>
    <row r="1863" spans="2:13" ht="52.5" customHeight="1" x14ac:dyDescent="0.35">
      <c r="B1863" s="11"/>
      <c r="C1863" s="5" t="s">
        <v>10365</v>
      </c>
      <c r="D1863" s="11">
        <v>9</v>
      </c>
      <c r="E1863" s="5" t="s">
        <v>10385</v>
      </c>
      <c r="F1863" s="5" t="s">
        <v>10386</v>
      </c>
      <c r="G1863" s="5" t="s">
        <v>4507</v>
      </c>
      <c r="H1863" s="5" t="s">
        <v>36</v>
      </c>
      <c r="I1863" s="5" t="s">
        <v>48</v>
      </c>
      <c r="J1863" s="5" t="s">
        <v>10387</v>
      </c>
      <c r="K1863" s="5" t="s">
        <v>10388</v>
      </c>
      <c r="L1863" s="11">
        <v>1</v>
      </c>
      <c r="M1863" s="5"/>
    </row>
    <row r="1864" spans="2:13" ht="52.5" customHeight="1" x14ac:dyDescent="0.35">
      <c r="B1864" s="12"/>
      <c r="C1864" s="7" t="s">
        <v>10365</v>
      </c>
      <c r="D1864" s="12">
        <v>10</v>
      </c>
      <c r="E1864" s="7" t="s">
        <v>10389</v>
      </c>
      <c r="F1864" s="7" t="s">
        <v>10390</v>
      </c>
      <c r="G1864" s="7" t="s">
        <v>33</v>
      </c>
      <c r="H1864" s="7" t="s">
        <v>36</v>
      </c>
      <c r="I1864" s="7" t="s">
        <v>48</v>
      </c>
      <c r="J1864" s="7" t="s">
        <v>10387</v>
      </c>
      <c r="K1864" s="7" t="s">
        <v>10388</v>
      </c>
      <c r="L1864" s="12">
        <v>1</v>
      </c>
      <c r="M1864" s="7"/>
    </row>
    <row r="1865" spans="2:13" ht="37.5" customHeight="1" x14ac:dyDescent="0.35">
      <c r="B1865" s="11">
        <v>95</v>
      </c>
      <c r="C1865" s="5" t="s">
        <v>10391</v>
      </c>
      <c r="D1865" s="11">
        <v>1</v>
      </c>
      <c r="E1865" s="5" t="s">
        <v>10392</v>
      </c>
      <c r="F1865" s="5" t="s">
        <v>10393</v>
      </c>
      <c r="G1865" s="5" t="s">
        <v>1294</v>
      </c>
      <c r="H1865" s="5" t="s">
        <v>10394</v>
      </c>
      <c r="I1865" s="5" t="s">
        <v>10395</v>
      </c>
      <c r="J1865" s="5" t="s">
        <v>1041</v>
      </c>
      <c r="K1865" s="5" t="s">
        <v>10396</v>
      </c>
      <c r="L1865" s="11">
        <v>2</v>
      </c>
      <c r="M1865" s="5" t="s">
        <v>1892</v>
      </c>
    </row>
    <row r="1866" spans="2:13" ht="97.5" customHeight="1" x14ac:dyDescent="0.35">
      <c r="B1866" s="12">
        <v>96</v>
      </c>
      <c r="C1866" s="7" t="s">
        <v>10397</v>
      </c>
      <c r="D1866" s="12">
        <v>1</v>
      </c>
      <c r="E1866" s="7" t="s">
        <v>10398</v>
      </c>
      <c r="F1866" s="7" t="s">
        <v>10399</v>
      </c>
      <c r="G1866" s="7" t="s">
        <v>4908</v>
      </c>
      <c r="H1866" s="7" t="s">
        <v>42</v>
      </c>
      <c r="I1866" s="7" t="s">
        <v>4657</v>
      </c>
      <c r="J1866" s="7" t="s">
        <v>194</v>
      </c>
      <c r="K1866" s="7" t="s">
        <v>5060</v>
      </c>
      <c r="L1866" s="12">
        <v>1</v>
      </c>
      <c r="M1866" s="7" t="s">
        <v>1892</v>
      </c>
    </row>
    <row r="1867" spans="2:13" ht="97.5" customHeight="1" x14ac:dyDescent="0.35">
      <c r="B1867" s="11">
        <v>96</v>
      </c>
      <c r="C1867" s="5" t="s">
        <v>10397</v>
      </c>
      <c r="D1867" s="11">
        <v>2</v>
      </c>
      <c r="E1867" s="5" t="s">
        <v>10400</v>
      </c>
      <c r="F1867" s="5" t="s">
        <v>10401</v>
      </c>
      <c r="G1867" s="5" t="s">
        <v>2229</v>
      </c>
      <c r="H1867" s="5" t="s">
        <v>42</v>
      </c>
      <c r="I1867" s="5" t="s">
        <v>4657</v>
      </c>
      <c r="J1867" s="5" t="s">
        <v>194</v>
      </c>
      <c r="K1867" s="5" t="s">
        <v>5060</v>
      </c>
      <c r="L1867" s="11">
        <v>1</v>
      </c>
      <c r="M1867" s="5" t="s">
        <v>1892</v>
      </c>
    </row>
    <row r="1868" spans="2:13" ht="97.5" customHeight="1" x14ac:dyDescent="0.35">
      <c r="B1868" s="12">
        <v>96</v>
      </c>
      <c r="C1868" s="7" t="s">
        <v>10397</v>
      </c>
      <c r="D1868" s="12">
        <v>3</v>
      </c>
      <c r="E1868" s="7" t="s">
        <v>10402</v>
      </c>
      <c r="F1868" s="7" t="s">
        <v>10403</v>
      </c>
      <c r="G1868" s="7" t="s">
        <v>973</v>
      </c>
      <c r="H1868" s="7" t="s">
        <v>37</v>
      </c>
      <c r="I1868" s="7" t="s">
        <v>51</v>
      </c>
      <c r="J1868" s="7" t="s">
        <v>5056</v>
      </c>
      <c r="K1868" s="7" t="s">
        <v>5299</v>
      </c>
      <c r="L1868" s="12">
        <v>1</v>
      </c>
      <c r="M1868" s="7" t="s">
        <v>1892</v>
      </c>
    </row>
    <row r="1869" spans="2:13" ht="97.5" customHeight="1" x14ac:dyDescent="0.35">
      <c r="B1869" s="11">
        <v>96</v>
      </c>
      <c r="C1869" s="5" t="s">
        <v>10397</v>
      </c>
      <c r="D1869" s="11">
        <v>4</v>
      </c>
      <c r="E1869" s="5" t="s">
        <v>10404</v>
      </c>
      <c r="F1869" s="5" t="s">
        <v>10405</v>
      </c>
      <c r="G1869" s="5" t="s">
        <v>32</v>
      </c>
      <c r="H1869" s="5" t="s">
        <v>42</v>
      </c>
      <c r="I1869" s="5" t="s">
        <v>49</v>
      </c>
      <c r="J1869" s="5" t="s">
        <v>10406</v>
      </c>
      <c r="K1869" s="5" t="s">
        <v>10407</v>
      </c>
      <c r="L1869" s="11">
        <v>1</v>
      </c>
      <c r="M1869" s="5" t="s">
        <v>1892</v>
      </c>
    </row>
    <row r="1870" spans="2:13" ht="97.5" customHeight="1" x14ac:dyDescent="0.35">
      <c r="B1870" s="12">
        <v>96</v>
      </c>
      <c r="C1870" s="7" t="s">
        <v>10397</v>
      </c>
      <c r="D1870" s="12">
        <v>5</v>
      </c>
      <c r="E1870" s="7" t="s">
        <v>10408</v>
      </c>
      <c r="F1870" s="7" t="s">
        <v>10409</v>
      </c>
      <c r="G1870" s="7" t="s">
        <v>212</v>
      </c>
      <c r="H1870" s="7" t="s">
        <v>41</v>
      </c>
      <c r="I1870" s="7" t="s">
        <v>49</v>
      </c>
      <c r="J1870" s="7" t="s">
        <v>4098</v>
      </c>
      <c r="K1870" s="7" t="s">
        <v>9999</v>
      </c>
      <c r="L1870" s="12">
        <v>1</v>
      </c>
      <c r="M1870" s="7" t="s">
        <v>1892</v>
      </c>
    </row>
    <row r="1871" spans="2:13" ht="97.5" customHeight="1" x14ac:dyDescent="0.35">
      <c r="B1871" s="11">
        <v>96</v>
      </c>
      <c r="C1871" s="5" t="s">
        <v>10397</v>
      </c>
      <c r="D1871" s="11">
        <v>6</v>
      </c>
      <c r="E1871" s="5" t="s">
        <v>10410</v>
      </c>
      <c r="F1871" s="5" t="s">
        <v>10411</v>
      </c>
      <c r="G1871" s="5" t="s">
        <v>831</v>
      </c>
      <c r="H1871" s="5" t="s">
        <v>37</v>
      </c>
      <c r="I1871" s="5" t="s">
        <v>55</v>
      </c>
      <c r="J1871" s="5" t="s">
        <v>4308</v>
      </c>
      <c r="K1871" s="5" t="s">
        <v>10412</v>
      </c>
      <c r="L1871" s="11">
        <v>1</v>
      </c>
      <c r="M1871" s="5" t="s">
        <v>1892</v>
      </c>
    </row>
    <row r="1872" spans="2:13" ht="97.5" customHeight="1" x14ac:dyDescent="0.35">
      <c r="B1872" s="12">
        <v>96</v>
      </c>
      <c r="C1872" s="7" t="s">
        <v>10397</v>
      </c>
      <c r="D1872" s="12">
        <v>7</v>
      </c>
      <c r="E1872" s="7" t="s">
        <v>10413</v>
      </c>
      <c r="F1872" s="7" t="s">
        <v>10414</v>
      </c>
      <c r="G1872" s="7" t="s">
        <v>3283</v>
      </c>
      <c r="H1872" s="7" t="s">
        <v>37</v>
      </c>
      <c r="I1872" s="7" t="s">
        <v>7683</v>
      </c>
      <c r="J1872" s="7" t="s">
        <v>1579</v>
      </c>
      <c r="K1872" s="7" t="s">
        <v>10415</v>
      </c>
      <c r="L1872" s="12">
        <v>1</v>
      </c>
      <c r="M1872" s="7" t="s">
        <v>1892</v>
      </c>
    </row>
    <row r="1873" spans="2:13" ht="97.5" customHeight="1" x14ac:dyDescent="0.35">
      <c r="B1873" s="11">
        <v>96</v>
      </c>
      <c r="C1873" s="5" t="s">
        <v>10397</v>
      </c>
      <c r="D1873" s="11">
        <v>8</v>
      </c>
      <c r="E1873" s="5" t="s">
        <v>10416</v>
      </c>
      <c r="F1873" s="5" t="s">
        <v>10417</v>
      </c>
      <c r="G1873" s="5" t="s">
        <v>1435</v>
      </c>
      <c r="H1873" s="5" t="s">
        <v>37</v>
      </c>
      <c r="I1873" s="5" t="s">
        <v>51</v>
      </c>
      <c r="J1873" s="5" t="s">
        <v>2617</v>
      </c>
      <c r="K1873" s="5" t="s">
        <v>10059</v>
      </c>
      <c r="L1873" s="11">
        <v>1</v>
      </c>
      <c r="M1873" s="5" t="s">
        <v>1892</v>
      </c>
    </row>
    <row r="1874" spans="2:13" ht="97.5" customHeight="1" x14ac:dyDescent="0.35">
      <c r="B1874" s="12">
        <v>96</v>
      </c>
      <c r="C1874" s="7" t="s">
        <v>10397</v>
      </c>
      <c r="D1874" s="12">
        <v>9</v>
      </c>
      <c r="E1874" s="7" t="s">
        <v>10418</v>
      </c>
      <c r="F1874" s="7" t="s">
        <v>10419</v>
      </c>
      <c r="G1874" s="7" t="s">
        <v>300</v>
      </c>
      <c r="H1874" s="7" t="s">
        <v>37</v>
      </c>
      <c r="I1874" s="7" t="s">
        <v>51</v>
      </c>
      <c r="J1874" s="7" t="s">
        <v>2617</v>
      </c>
      <c r="K1874" s="7" t="s">
        <v>10059</v>
      </c>
      <c r="L1874" s="12">
        <v>1</v>
      </c>
      <c r="M1874" s="7" t="s">
        <v>1892</v>
      </c>
    </row>
    <row r="1875" spans="2:13" ht="97.5" customHeight="1" x14ac:dyDescent="0.35">
      <c r="B1875" s="11">
        <v>96</v>
      </c>
      <c r="C1875" s="5" t="s">
        <v>10397</v>
      </c>
      <c r="D1875" s="11">
        <v>10</v>
      </c>
      <c r="E1875" s="5" t="s">
        <v>10420</v>
      </c>
      <c r="F1875" s="5" t="s">
        <v>10421</v>
      </c>
      <c r="G1875" s="5" t="s">
        <v>1252</v>
      </c>
      <c r="H1875" s="5" t="s">
        <v>40</v>
      </c>
      <c r="I1875" s="5" t="s">
        <v>54</v>
      </c>
      <c r="J1875" s="5" t="s">
        <v>10422</v>
      </c>
      <c r="K1875" s="5" t="s">
        <v>10423</v>
      </c>
      <c r="L1875" s="11">
        <v>1</v>
      </c>
      <c r="M1875" s="5" t="s">
        <v>1892</v>
      </c>
    </row>
    <row r="1876" spans="2:13" ht="97.5" customHeight="1" x14ac:dyDescent="0.35">
      <c r="B1876" s="12">
        <v>96</v>
      </c>
      <c r="C1876" s="7" t="s">
        <v>10397</v>
      </c>
      <c r="D1876" s="12">
        <v>11</v>
      </c>
      <c r="E1876" s="7" t="s">
        <v>10424</v>
      </c>
      <c r="F1876" s="7" t="s">
        <v>10425</v>
      </c>
      <c r="G1876" s="7" t="s">
        <v>192</v>
      </c>
      <c r="H1876" s="7" t="s">
        <v>37</v>
      </c>
      <c r="I1876" s="7" t="s">
        <v>51</v>
      </c>
      <c r="J1876" s="7" t="s">
        <v>4948</v>
      </c>
      <c r="K1876" s="7" t="s">
        <v>10426</v>
      </c>
      <c r="L1876" s="12">
        <v>1</v>
      </c>
      <c r="M1876" s="7" t="s">
        <v>1892</v>
      </c>
    </row>
    <row r="1877" spans="2:13" ht="97.5" customHeight="1" x14ac:dyDescent="0.35">
      <c r="B1877" s="11">
        <v>96</v>
      </c>
      <c r="C1877" s="5" t="s">
        <v>10397</v>
      </c>
      <c r="D1877" s="11">
        <v>12</v>
      </c>
      <c r="E1877" s="5" t="s">
        <v>10427</v>
      </c>
      <c r="F1877" s="5" t="s">
        <v>10428</v>
      </c>
      <c r="G1877" s="5" t="s">
        <v>557</v>
      </c>
      <c r="H1877" s="5" t="s">
        <v>36</v>
      </c>
      <c r="I1877" s="5" t="s">
        <v>48</v>
      </c>
      <c r="J1877" s="5" t="s">
        <v>10429</v>
      </c>
      <c r="K1877" s="5" t="s">
        <v>10430</v>
      </c>
      <c r="L1877" s="11">
        <v>1</v>
      </c>
      <c r="M1877" s="5" t="s">
        <v>1892</v>
      </c>
    </row>
    <row r="1878" spans="2:13" ht="97.5" customHeight="1" x14ac:dyDescent="0.35">
      <c r="B1878" s="12">
        <v>96</v>
      </c>
      <c r="C1878" s="7" t="s">
        <v>10397</v>
      </c>
      <c r="D1878" s="12">
        <v>13</v>
      </c>
      <c r="E1878" s="7" t="s">
        <v>10431</v>
      </c>
      <c r="F1878" s="7" t="s">
        <v>10432</v>
      </c>
      <c r="G1878" s="7" t="s">
        <v>2685</v>
      </c>
      <c r="H1878" s="7" t="s">
        <v>36</v>
      </c>
      <c r="I1878" s="7" t="s">
        <v>48</v>
      </c>
      <c r="J1878" s="7" t="s">
        <v>3415</v>
      </c>
      <c r="K1878" s="7" t="s">
        <v>10433</v>
      </c>
      <c r="L1878" s="12">
        <v>1</v>
      </c>
      <c r="M1878" s="7" t="s">
        <v>1892</v>
      </c>
    </row>
    <row r="1879" spans="2:13" ht="37.5" customHeight="1" x14ac:dyDescent="0.35">
      <c r="B1879" s="11">
        <v>97</v>
      </c>
      <c r="C1879" s="5" t="s">
        <v>10434</v>
      </c>
      <c r="D1879" s="11">
        <v>1</v>
      </c>
      <c r="E1879" s="5" t="s">
        <v>10435</v>
      </c>
      <c r="F1879" s="5" t="s">
        <v>10436</v>
      </c>
      <c r="G1879" s="5" t="s">
        <v>573</v>
      </c>
      <c r="H1879" s="5" t="s">
        <v>6286</v>
      </c>
      <c r="I1879" s="5" t="s">
        <v>10437</v>
      </c>
      <c r="J1879" s="5" t="s">
        <v>10438</v>
      </c>
      <c r="K1879" s="5" t="s">
        <v>10439</v>
      </c>
      <c r="L1879" s="11">
        <v>2</v>
      </c>
      <c r="M1879" s="5" t="s">
        <v>9329</v>
      </c>
    </row>
    <row r="1880" spans="2:13" ht="21.75" customHeight="1" x14ac:dyDescent="0.35">
      <c r="B1880" s="12">
        <v>97</v>
      </c>
      <c r="C1880" s="7" t="s">
        <v>10434</v>
      </c>
      <c r="D1880" s="12">
        <v>2</v>
      </c>
      <c r="E1880" s="7" t="s">
        <v>10440</v>
      </c>
      <c r="F1880" s="7" t="s">
        <v>10441</v>
      </c>
      <c r="G1880" s="7" t="s">
        <v>27</v>
      </c>
      <c r="H1880" s="7" t="s">
        <v>36</v>
      </c>
      <c r="I1880" s="7" t="s">
        <v>5409</v>
      </c>
      <c r="J1880" s="7" t="s">
        <v>7044</v>
      </c>
      <c r="K1880" s="7" t="s">
        <v>7265</v>
      </c>
      <c r="L1880" s="12">
        <v>1</v>
      </c>
      <c r="M1880" s="7" t="s">
        <v>9329</v>
      </c>
    </row>
    <row r="1881" spans="2:13" ht="21.75" customHeight="1" x14ac:dyDescent="0.35">
      <c r="B1881" s="11">
        <v>97</v>
      </c>
      <c r="C1881" s="5" t="s">
        <v>10434</v>
      </c>
      <c r="D1881" s="11">
        <v>3</v>
      </c>
      <c r="E1881" s="5" t="s">
        <v>10442</v>
      </c>
      <c r="F1881" s="5" t="s">
        <v>10443</v>
      </c>
      <c r="G1881" s="5" t="s">
        <v>800</v>
      </c>
      <c r="H1881" s="5" t="s">
        <v>41</v>
      </c>
      <c r="I1881" s="5" t="s">
        <v>49</v>
      </c>
      <c r="J1881" s="5" t="s">
        <v>213</v>
      </c>
      <c r="K1881" s="5" t="s">
        <v>214</v>
      </c>
      <c r="L1881" s="11">
        <v>1</v>
      </c>
      <c r="M1881" s="5" t="s">
        <v>9329</v>
      </c>
    </row>
    <row r="1882" spans="2:13" ht="21.75" customHeight="1" x14ac:dyDescent="0.35">
      <c r="B1882" s="12">
        <v>97</v>
      </c>
      <c r="C1882" s="7" t="s">
        <v>10434</v>
      </c>
      <c r="D1882" s="12">
        <v>4</v>
      </c>
      <c r="E1882" s="7" t="s">
        <v>10444</v>
      </c>
      <c r="F1882" s="7" t="s">
        <v>10445</v>
      </c>
      <c r="G1882" s="7" t="s">
        <v>32</v>
      </c>
      <c r="H1882" s="7" t="s">
        <v>36</v>
      </c>
      <c r="I1882" s="7" t="s">
        <v>48</v>
      </c>
      <c r="J1882" s="7" t="s">
        <v>7044</v>
      </c>
      <c r="K1882" s="7" t="s">
        <v>7120</v>
      </c>
      <c r="L1882" s="12">
        <v>1</v>
      </c>
      <c r="M1882" s="7" t="s">
        <v>9329</v>
      </c>
    </row>
    <row r="1883" spans="2:13" ht="37.5" customHeight="1" x14ac:dyDescent="0.35">
      <c r="B1883" s="11">
        <v>97</v>
      </c>
      <c r="C1883" s="5" t="s">
        <v>10434</v>
      </c>
      <c r="D1883" s="11">
        <v>5</v>
      </c>
      <c r="E1883" s="5" t="s">
        <v>10446</v>
      </c>
      <c r="F1883" s="5" t="s">
        <v>10447</v>
      </c>
      <c r="G1883" s="5" t="s">
        <v>439</v>
      </c>
      <c r="H1883" s="5" t="s">
        <v>42</v>
      </c>
      <c r="I1883" s="5" t="s">
        <v>5023</v>
      </c>
      <c r="J1883" s="5" t="s">
        <v>10448</v>
      </c>
      <c r="K1883" s="5" t="s">
        <v>10449</v>
      </c>
      <c r="L1883" s="11">
        <v>1</v>
      </c>
      <c r="M1883" s="5" t="s">
        <v>9329</v>
      </c>
    </row>
    <row r="1884" spans="2:13" ht="21.75" customHeight="1" x14ac:dyDescent="0.35">
      <c r="B1884" s="12"/>
      <c r="C1884" s="7" t="s">
        <v>10450</v>
      </c>
      <c r="D1884" s="12">
        <v>6</v>
      </c>
      <c r="E1884" s="7" t="s">
        <v>10451</v>
      </c>
      <c r="F1884" s="7" t="s">
        <v>10452</v>
      </c>
      <c r="G1884" s="7" t="s">
        <v>26</v>
      </c>
      <c r="H1884" s="7" t="s">
        <v>36</v>
      </c>
      <c r="I1884" s="7" t="s">
        <v>48</v>
      </c>
      <c r="J1884" s="7" t="s">
        <v>7044</v>
      </c>
      <c r="K1884" s="7" t="s">
        <v>7120</v>
      </c>
      <c r="L1884" s="12">
        <v>1</v>
      </c>
      <c r="M1884" s="7"/>
    </row>
    <row r="1885" spans="2:13" ht="37.5" customHeight="1" x14ac:dyDescent="0.35">
      <c r="B1885" s="11"/>
      <c r="C1885" s="5" t="s">
        <v>10450</v>
      </c>
      <c r="D1885" s="11">
        <v>7</v>
      </c>
      <c r="E1885" s="5" t="s">
        <v>10453</v>
      </c>
      <c r="F1885" s="5" t="s">
        <v>10454</v>
      </c>
      <c r="G1885" s="5" t="s">
        <v>993</v>
      </c>
      <c r="H1885" s="5" t="s">
        <v>41</v>
      </c>
      <c r="I1885" s="5" t="s">
        <v>49</v>
      </c>
      <c r="J1885" s="5" t="s">
        <v>213</v>
      </c>
      <c r="K1885" s="5" t="s">
        <v>214</v>
      </c>
      <c r="L1885" s="11">
        <v>1</v>
      </c>
      <c r="M1885" s="5"/>
    </row>
    <row r="1886" spans="2:13" ht="37.5" customHeight="1" x14ac:dyDescent="0.35">
      <c r="B1886" s="12"/>
      <c r="C1886" s="7" t="s">
        <v>10450</v>
      </c>
      <c r="D1886" s="12">
        <v>8</v>
      </c>
      <c r="E1886" s="7" t="s">
        <v>10455</v>
      </c>
      <c r="F1886" s="7" t="s">
        <v>10456</v>
      </c>
      <c r="G1886" s="7" t="s">
        <v>939</v>
      </c>
      <c r="H1886" s="7" t="s">
        <v>37</v>
      </c>
      <c r="I1886" s="7" t="s">
        <v>193</v>
      </c>
      <c r="J1886" s="7" t="s">
        <v>1107</v>
      </c>
      <c r="K1886" s="7" t="s">
        <v>10457</v>
      </c>
      <c r="L1886" s="12">
        <v>1</v>
      </c>
      <c r="M1886" s="7"/>
    </row>
    <row r="1887" spans="2:13" ht="37.5" customHeight="1" x14ac:dyDescent="0.35">
      <c r="B1887" s="11"/>
      <c r="C1887" s="5" t="s">
        <v>10450</v>
      </c>
      <c r="D1887" s="11">
        <v>9</v>
      </c>
      <c r="E1887" s="5" t="s">
        <v>10458</v>
      </c>
      <c r="F1887" s="5" t="s">
        <v>10459</v>
      </c>
      <c r="G1887" s="5" t="s">
        <v>279</v>
      </c>
      <c r="H1887" s="5" t="s">
        <v>294</v>
      </c>
      <c r="I1887" s="5" t="s">
        <v>4971</v>
      </c>
      <c r="J1887" s="5" t="s">
        <v>10460</v>
      </c>
      <c r="K1887" s="5" t="s">
        <v>10461</v>
      </c>
      <c r="L1887" s="11">
        <v>2</v>
      </c>
      <c r="M1887" s="5"/>
    </row>
    <row r="1888" spans="2:13" ht="37.5" customHeight="1" x14ac:dyDescent="0.35">
      <c r="B1888" s="12"/>
      <c r="C1888" s="7" t="s">
        <v>10450</v>
      </c>
      <c r="D1888" s="12">
        <v>10</v>
      </c>
      <c r="E1888" s="7" t="s">
        <v>10462</v>
      </c>
      <c r="F1888" s="7" t="s">
        <v>10463</v>
      </c>
      <c r="G1888" s="7" t="s">
        <v>24</v>
      </c>
      <c r="H1888" s="7" t="s">
        <v>41</v>
      </c>
      <c r="I1888" s="7" t="s">
        <v>49</v>
      </c>
      <c r="J1888" s="7" t="s">
        <v>10464</v>
      </c>
      <c r="K1888" s="7" t="s">
        <v>10465</v>
      </c>
      <c r="L1888" s="12">
        <v>1</v>
      </c>
      <c r="M1888" s="7"/>
    </row>
    <row r="1889" spans="2:13" ht="37.5" customHeight="1" x14ac:dyDescent="0.35">
      <c r="B1889" s="11"/>
      <c r="C1889" s="5" t="s">
        <v>10450</v>
      </c>
      <c r="D1889" s="11">
        <v>11</v>
      </c>
      <c r="E1889" s="5" t="s">
        <v>10466</v>
      </c>
      <c r="F1889" s="5" t="s">
        <v>10467</v>
      </c>
      <c r="G1889" s="5" t="s">
        <v>7083</v>
      </c>
      <c r="H1889" s="5" t="s">
        <v>36</v>
      </c>
      <c r="I1889" s="5" t="s">
        <v>48</v>
      </c>
      <c r="J1889" s="5" t="s">
        <v>1579</v>
      </c>
      <c r="K1889" s="5" t="s">
        <v>9015</v>
      </c>
      <c r="L1889" s="11">
        <v>1</v>
      </c>
      <c r="M1889" s="5"/>
    </row>
    <row r="1890" spans="2:13" ht="37.5" customHeight="1" x14ac:dyDescent="0.35">
      <c r="B1890" s="12"/>
      <c r="C1890" s="7" t="s">
        <v>10450</v>
      </c>
      <c r="D1890" s="12">
        <v>12</v>
      </c>
      <c r="E1890" s="7" t="s">
        <v>10468</v>
      </c>
      <c r="F1890" s="7" t="s">
        <v>10469</v>
      </c>
      <c r="G1890" s="7" t="s">
        <v>560</v>
      </c>
      <c r="H1890" s="7" t="s">
        <v>42</v>
      </c>
      <c r="I1890" s="7" t="s">
        <v>5433</v>
      </c>
      <c r="J1890" s="7" t="s">
        <v>194</v>
      </c>
      <c r="K1890" s="7" t="s">
        <v>10470</v>
      </c>
      <c r="L1890" s="12">
        <v>1</v>
      </c>
      <c r="M1890" s="7"/>
    </row>
    <row r="1891" spans="2:13" ht="37.5" customHeight="1" x14ac:dyDescent="0.35">
      <c r="B1891" s="11"/>
      <c r="C1891" s="5" t="s">
        <v>10450</v>
      </c>
      <c r="D1891" s="11">
        <v>13</v>
      </c>
      <c r="E1891" s="5" t="s">
        <v>10471</v>
      </c>
      <c r="F1891" s="5" t="s">
        <v>10472</v>
      </c>
      <c r="G1891" s="5" t="s">
        <v>1793</v>
      </c>
      <c r="H1891" s="5" t="s">
        <v>42</v>
      </c>
      <c r="I1891" s="5" t="s">
        <v>245</v>
      </c>
      <c r="J1891" s="5" t="s">
        <v>331</v>
      </c>
      <c r="K1891" s="5" t="s">
        <v>10473</v>
      </c>
      <c r="L1891" s="11">
        <v>1</v>
      </c>
      <c r="M1891" s="5"/>
    </row>
    <row r="1892" spans="2:13" ht="37.5" customHeight="1" x14ac:dyDescent="0.35">
      <c r="B1892" s="12">
        <v>98</v>
      </c>
      <c r="C1892" s="7" t="s">
        <v>10474</v>
      </c>
      <c r="D1892" s="12">
        <v>1</v>
      </c>
      <c r="E1892" s="7" t="s">
        <v>10475</v>
      </c>
      <c r="F1892" s="7" t="s">
        <v>10476</v>
      </c>
      <c r="G1892" s="7" t="s">
        <v>590</v>
      </c>
      <c r="H1892" s="7" t="s">
        <v>41</v>
      </c>
      <c r="I1892" s="7" t="s">
        <v>49</v>
      </c>
      <c r="J1892" s="7" t="s">
        <v>213</v>
      </c>
      <c r="K1892" s="7" t="s">
        <v>214</v>
      </c>
      <c r="L1892" s="12">
        <v>1</v>
      </c>
      <c r="M1892" s="7" t="s">
        <v>9329</v>
      </c>
    </row>
    <row r="1893" spans="2:13" ht="37.5" customHeight="1" x14ac:dyDescent="0.35">
      <c r="B1893" s="11">
        <v>99</v>
      </c>
      <c r="C1893" s="5" t="s">
        <v>10477</v>
      </c>
      <c r="D1893" s="11">
        <v>1</v>
      </c>
      <c r="E1893" s="5" t="s">
        <v>10478</v>
      </c>
      <c r="F1893" s="5" t="s">
        <v>10479</v>
      </c>
      <c r="G1893" s="5" t="s">
        <v>1294</v>
      </c>
      <c r="H1893" s="5" t="s">
        <v>36</v>
      </c>
      <c r="I1893" s="5" t="s">
        <v>4792</v>
      </c>
      <c r="J1893" s="5" t="s">
        <v>10480</v>
      </c>
      <c r="K1893" s="5" t="s">
        <v>10481</v>
      </c>
      <c r="L1893" s="11">
        <v>2</v>
      </c>
      <c r="M1893" s="5" t="s">
        <v>5539</v>
      </c>
    </row>
    <row r="1894" spans="2:13" ht="82.5" customHeight="1" x14ac:dyDescent="0.35">
      <c r="B1894" s="12">
        <v>99</v>
      </c>
      <c r="C1894" s="7" t="s">
        <v>10477</v>
      </c>
      <c r="D1894" s="12">
        <v>2</v>
      </c>
      <c r="E1894" s="7" t="s">
        <v>10482</v>
      </c>
      <c r="F1894" s="7" t="s">
        <v>10483</v>
      </c>
      <c r="G1894" s="7" t="s">
        <v>151</v>
      </c>
      <c r="H1894" s="7" t="s">
        <v>10484</v>
      </c>
      <c r="I1894" s="7" t="s">
        <v>10485</v>
      </c>
      <c r="J1894" s="7" t="s">
        <v>10486</v>
      </c>
      <c r="K1894" s="7" t="s">
        <v>10487</v>
      </c>
      <c r="L1894" s="12">
        <v>4</v>
      </c>
      <c r="M1894" s="7" t="s">
        <v>5539</v>
      </c>
    </row>
    <row r="1895" spans="2:13" ht="37.5" customHeight="1" x14ac:dyDescent="0.35">
      <c r="B1895" s="11">
        <v>99</v>
      </c>
      <c r="C1895" s="5" t="s">
        <v>10477</v>
      </c>
      <c r="D1895" s="11">
        <v>3</v>
      </c>
      <c r="E1895" s="5" t="s">
        <v>10488</v>
      </c>
      <c r="F1895" s="5" t="s">
        <v>10489</v>
      </c>
      <c r="G1895" s="5" t="s">
        <v>185</v>
      </c>
      <c r="H1895" s="5" t="s">
        <v>36</v>
      </c>
      <c r="I1895" s="5" t="s">
        <v>1885</v>
      </c>
      <c r="J1895" s="5" t="s">
        <v>10490</v>
      </c>
      <c r="K1895" s="5" t="s">
        <v>10491</v>
      </c>
      <c r="L1895" s="11">
        <v>1</v>
      </c>
      <c r="M1895" s="5" t="s">
        <v>5539</v>
      </c>
    </row>
    <row r="1896" spans="2:13" ht="37.5" customHeight="1" x14ac:dyDescent="0.35">
      <c r="B1896" s="12">
        <v>99</v>
      </c>
      <c r="C1896" s="7" t="s">
        <v>10477</v>
      </c>
      <c r="D1896" s="12">
        <v>4</v>
      </c>
      <c r="E1896" s="7" t="s">
        <v>10492</v>
      </c>
      <c r="F1896" s="7" t="s">
        <v>10493</v>
      </c>
      <c r="G1896" s="7" t="s">
        <v>33</v>
      </c>
      <c r="H1896" s="7" t="s">
        <v>36</v>
      </c>
      <c r="I1896" s="7" t="s">
        <v>48</v>
      </c>
      <c r="J1896" s="7" t="s">
        <v>10480</v>
      </c>
      <c r="K1896" s="7" t="s">
        <v>10494</v>
      </c>
      <c r="L1896" s="12">
        <v>1</v>
      </c>
      <c r="M1896" s="7" t="s">
        <v>5539</v>
      </c>
    </row>
    <row r="1897" spans="2:13" ht="37.5" customHeight="1" x14ac:dyDescent="0.35">
      <c r="B1897" s="11">
        <v>99</v>
      </c>
      <c r="C1897" s="5" t="s">
        <v>10477</v>
      </c>
      <c r="D1897" s="11">
        <v>5</v>
      </c>
      <c r="E1897" s="5" t="s">
        <v>10495</v>
      </c>
      <c r="F1897" s="5" t="s">
        <v>10496</v>
      </c>
      <c r="G1897" s="5" t="s">
        <v>552</v>
      </c>
      <c r="H1897" s="5" t="s">
        <v>36</v>
      </c>
      <c r="I1897" s="5" t="s">
        <v>1885</v>
      </c>
      <c r="J1897" s="5" t="s">
        <v>10480</v>
      </c>
      <c r="K1897" s="5" t="s">
        <v>10497</v>
      </c>
      <c r="L1897" s="11">
        <v>1</v>
      </c>
      <c r="M1897" s="5" t="s">
        <v>5539</v>
      </c>
    </row>
    <row r="1898" spans="2:13" ht="37.5" customHeight="1" x14ac:dyDescent="0.35">
      <c r="B1898" s="12">
        <v>99</v>
      </c>
      <c r="C1898" s="7" t="s">
        <v>10477</v>
      </c>
      <c r="D1898" s="12">
        <v>6</v>
      </c>
      <c r="E1898" s="7" t="s">
        <v>10498</v>
      </c>
      <c r="F1898" s="7" t="s">
        <v>10499</v>
      </c>
      <c r="G1898" s="7" t="s">
        <v>282</v>
      </c>
      <c r="H1898" s="7" t="s">
        <v>36</v>
      </c>
      <c r="I1898" s="7" t="s">
        <v>1885</v>
      </c>
      <c r="J1898" s="7" t="s">
        <v>10480</v>
      </c>
      <c r="K1898" s="7" t="s">
        <v>10497</v>
      </c>
      <c r="L1898" s="12">
        <v>1</v>
      </c>
      <c r="M1898" s="7" t="s">
        <v>5539</v>
      </c>
    </row>
    <row r="1899" spans="2:13" ht="21.75" customHeight="1" x14ac:dyDescent="0.35">
      <c r="B1899" s="11">
        <v>99</v>
      </c>
      <c r="C1899" s="5" t="s">
        <v>10477</v>
      </c>
      <c r="D1899" s="11">
        <v>7</v>
      </c>
      <c r="E1899" s="5" t="s">
        <v>10500</v>
      </c>
      <c r="F1899" s="5" t="s">
        <v>10501</v>
      </c>
      <c r="G1899" s="5" t="s">
        <v>625</v>
      </c>
      <c r="H1899" s="5" t="s">
        <v>36</v>
      </c>
      <c r="I1899" s="5" t="s">
        <v>48</v>
      </c>
      <c r="J1899" s="5" t="s">
        <v>10480</v>
      </c>
      <c r="K1899" s="5" t="s">
        <v>10494</v>
      </c>
      <c r="L1899" s="11">
        <v>1</v>
      </c>
      <c r="M1899" s="5" t="s">
        <v>5539</v>
      </c>
    </row>
    <row r="1900" spans="2:13" ht="82.5" customHeight="1" x14ac:dyDescent="0.35">
      <c r="B1900" s="12">
        <v>100</v>
      </c>
      <c r="C1900" s="7" t="s">
        <v>10502</v>
      </c>
      <c r="D1900" s="12">
        <v>1</v>
      </c>
      <c r="E1900" s="7" t="s">
        <v>10503</v>
      </c>
      <c r="F1900" s="7" t="s">
        <v>10504</v>
      </c>
      <c r="G1900" s="7" t="s">
        <v>421</v>
      </c>
      <c r="H1900" s="7" t="s">
        <v>10505</v>
      </c>
      <c r="I1900" s="7" t="s">
        <v>10506</v>
      </c>
      <c r="J1900" s="7" t="s">
        <v>10507</v>
      </c>
      <c r="K1900" s="7" t="s">
        <v>10508</v>
      </c>
      <c r="L1900" s="12">
        <v>5</v>
      </c>
      <c r="M1900" s="7" t="s">
        <v>173</v>
      </c>
    </row>
    <row r="1901" spans="2:13" ht="52.5" customHeight="1" x14ac:dyDescent="0.35">
      <c r="B1901" s="11">
        <v>100</v>
      </c>
      <c r="C1901" s="5" t="s">
        <v>10502</v>
      </c>
      <c r="D1901" s="11">
        <v>2</v>
      </c>
      <c r="E1901" s="5" t="s">
        <v>10509</v>
      </c>
      <c r="F1901" s="5" t="s">
        <v>10510</v>
      </c>
      <c r="G1901" s="5" t="s">
        <v>24</v>
      </c>
      <c r="H1901" s="5" t="s">
        <v>10511</v>
      </c>
      <c r="I1901" s="5" t="s">
        <v>10512</v>
      </c>
      <c r="J1901" s="5" t="s">
        <v>10513</v>
      </c>
      <c r="K1901" s="5" t="s">
        <v>10514</v>
      </c>
      <c r="L1901" s="11">
        <v>3</v>
      </c>
      <c r="M1901" s="5" t="s">
        <v>173</v>
      </c>
    </row>
    <row r="1902" spans="2:13" ht="97.5" customHeight="1" x14ac:dyDescent="0.35">
      <c r="B1902" s="12">
        <v>100</v>
      </c>
      <c r="C1902" s="7" t="s">
        <v>10502</v>
      </c>
      <c r="D1902" s="12">
        <v>3</v>
      </c>
      <c r="E1902" s="7" t="s">
        <v>10515</v>
      </c>
      <c r="F1902" s="7" t="s">
        <v>10516</v>
      </c>
      <c r="G1902" s="7" t="s">
        <v>29</v>
      </c>
      <c r="H1902" s="7" t="s">
        <v>10517</v>
      </c>
      <c r="I1902" s="7" t="s">
        <v>10518</v>
      </c>
      <c r="J1902" s="7" t="s">
        <v>10519</v>
      </c>
      <c r="K1902" s="7" t="s">
        <v>10520</v>
      </c>
      <c r="L1902" s="12">
        <v>5</v>
      </c>
      <c r="M1902" s="7" t="s">
        <v>173</v>
      </c>
    </row>
    <row r="1903" spans="2:13" ht="52.5" customHeight="1" x14ac:dyDescent="0.35">
      <c r="B1903" s="11">
        <v>100</v>
      </c>
      <c r="C1903" s="5" t="s">
        <v>10502</v>
      </c>
      <c r="D1903" s="11">
        <v>4</v>
      </c>
      <c r="E1903" s="5" t="s">
        <v>10521</v>
      </c>
      <c r="F1903" s="5" t="s">
        <v>10522</v>
      </c>
      <c r="G1903" s="5" t="s">
        <v>365</v>
      </c>
      <c r="H1903" s="5" t="s">
        <v>10511</v>
      </c>
      <c r="I1903" s="5" t="s">
        <v>10512</v>
      </c>
      <c r="J1903" s="5" t="s">
        <v>10523</v>
      </c>
      <c r="K1903" s="5" t="s">
        <v>10524</v>
      </c>
      <c r="L1903" s="11">
        <v>3</v>
      </c>
      <c r="M1903" s="5" t="s">
        <v>173</v>
      </c>
    </row>
    <row r="1904" spans="2:13" ht="37.5" customHeight="1" x14ac:dyDescent="0.35">
      <c r="B1904" s="12">
        <v>100</v>
      </c>
      <c r="C1904" s="7" t="s">
        <v>10502</v>
      </c>
      <c r="D1904" s="12">
        <v>5</v>
      </c>
      <c r="E1904" s="7" t="s">
        <v>10525</v>
      </c>
      <c r="F1904" s="7" t="s">
        <v>10526</v>
      </c>
      <c r="G1904" s="7" t="s">
        <v>27</v>
      </c>
      <c r="H1904" s="7" t="s">
        <v>10527</v>
      </c>
      <c r="I1904" s="7" t="s">
        <v>10528</v>
      </c>
      <c r="J1904" s="7" t="s">
        <v>10529</v>
      </c>
      <c r="K1904" s="7" t="s">
        <v>10530</v>
      </c>
      <c r="L1904" s="12">
        <v>2</v>
      </c>
      <c r="M1904" s="7" t="s">
        <v>173</v>
      </c>
    </row>
    <row r="1905" spans="2:13" ht="37.5" customHeight="1" x14ac:dyDescent="0.35">
      <c r="B1905" s="11">
        <v>100</v>
      </c>
      <c r="C1905" s="5" t="s">
        <v>10502</v>
      </c>
      <c r="D1905" s="11">
        <v>6</v>
      </c>
      <c r="E1905" s="5" t="s">
        <v>10531</v>
      </c>
      <c r="F1905" s="5" t="s">
        <v>10532</v>
      </c>
      <c r="G1905" s="5" t="s">
        <v>279</v>
      </c>
      <c r="H1905" s="5" t="s">
        <v>8859</v>
      </c>
      <c r="I1905" s="5" t="s">
        <v>10395</v>
      </c>
      <c r="J1905" s="5" t="s">
        <v>10533</v>
      </c>
      <c r="K1905" s="5" t="s">
        <v>10534</v>
      </c>
      <c r="L1905" s="11">
        <v>2</v>
      </c>
      <c r="M1905" s="5" t="s">
        <v>173</v>
      </c>
    </row>
    <row r="1906" spans="2:13" ht="21.75" customHeight="1" x14ac:dyDescent="0.35">
      <c r="B1906" s="12">
        <v>100</v>
      </c>
      <c r="C1906" s="7" t="s">
        <v>10502</v>
      </c>
      <c r="D1906" s="12">
        <v>7</v>
      </c>
      <c r="E1906" s="7" t="s">
        <v>10535</v>
      </c>
      <c r="F1906" s="7" t="s">
        <v>10536</v>
      </c>
      <c r="G1906" s="7" t="s">
        <v>457</v>
      </c>
      <c r="H1906" s="7" t="s">
        <v>40</v>
      </c>
      <c r="I1906" s="7" t="s">
        <v>54</v>
      </c>
      <c r="J1906" s="7" t="s">
        <v>213</v>
      </c>
      <c r="K1906" s="7" t="s">
        <v>254</v>
      </c>
      <c r="L1906" s="12">
        <v>1</v>
      </c>
      <c r="M1906" s="7" t="s">
        <v>173</v>
      </c>
    </row>
    <row r="1907" spans="2:13" ht="37.5" customHeight="1" x14ac:dyDescent="0.35">
      <c r="B1907" s="11">
        <v>100</v>
      </c>
      <c r="C1907" s="5" t="s">
        <v>10502</v>
      </c>
      <c r="D1907" s="11">
        <v>8</v>
      </c>
      <c r="E1907" s="5" t="s">
        <v>10537</v>
      </c>
      <c r="F1907" s="5" t="s">
        <v>10538</v>
      </c>
      <c r="G1907" s="5" t="s">
        <v>244</v>
      </c>
      <c r="H1907" s="5" t="s">
        <v>263</v>
      </c>
      <c r="I1907" s="5" t="s">
        <v>10539</v>
      </c>
      <c r="J1907" s="5" t="s">
        <v>2257</v>
      </c>
      <c r="K1907" s="5" t="s">
        <v>10540</v>
      </c>
      <c r="L1907" s="11">
        <v>2</v>
      </c>
      <c r="M1907" s="5" t="s">
        <v>173</v>
      </c>
    </row>
    <row r="1908" spans="2:13" ht="21.75" customHeight="1" x14ac:dyDescent="0.35">
      <c r="B1908" s="12">
        <v>100</v>
      </c>
      <c r="C1908" s="7" t="s">
        <v>10502</v>
      </c>
      <c r="D1908" s="12">
        <v>9</v>
      </c>
      <c r="E1908" s="7" t="s">
        <v>10541</v>
      </c>
      <c r="F1908" s="7" t="s">
        <v>10542</v>
      </c>
      <c r="G1908" s="7" t="s">
        <v>1373</v>
      </c>
      <c r="H1908" s="7" t="s">
        <v>44</v>
      </c>
      <c r="I1908" s="7" t="s">
        <v>49</v>
      </c>
      <c r="J1908" s="7" t="s">
        <v>213</v>
      </c>
      <c r="K1908" s="7" t="s">
        <v>6308</v>
      </c>
      <c r="L1908" s="12">
        <v>1</v>
      </c>
      <c r="M1908" s="7" t="s">
        <v>173</v>
      </c>
    </row>
    <row r="1909" spans="2:13" ht="37.5" customHeight="1" x14ac:dyDescent="0.35">
      <c r="B1909" s="11">
        <v>100</v>
      </c>
      <c r="C1909" s="5" t="s">
        <v>10502</v>
      </c>
      <c r="D1909" s="11">
        <v>10</v>
      </c>
      <c r="E1909" s="5" t="s">
        <v>10543</v>
      </c>
      <c r="F1909" s="5" t="s">
        <v>10544</v>
      </c>
      <c r="G1909" s="5" t="s">
        <v>880</v>
      </c>
      <c r="H1909" s="5" t="s">
        <v>4996</v>
      </c>
      <c r="I1909" s="5" t="s">
        <v>10545</v>
      </c>
      <c r="J1909" s="5" t="s">
        <v>220</v>
      </c>
      <c r="K1909" s="5" t="s">
        <v>10546</v>
      </c>
      <c r="L1909" s="11">
        <v>2</v>
      </c>
      <c r="M1909" s="5" t="s">
        <v>173</v>
      </c>
    </row>
    <row r="1910" spans="2:13" ht="52.5" customHeight="1" x14ac:dyDescent="0.35">
      <c r="B1910" s="12">
        <v>100</v>
      </c>
      <c r="C1910" s="7" t="s">
        <v>10502</v>
      </c>
      <c r="D1910" s="12">
        <v>11</v>
      </c>
      <c r="E1910" s="7" t="s">
        <v>10547</v>
      </c>
      <c r="F1910" s="7" t="s">
        <v>10548</v>
      </c>
      <c r="G1910" s="7" t="s">
        <v>1164</v>
      </c>
      <c r="H1910" s="7" t="s">
        <v>10549</v>
      </c>
      <c r="I1910" s="7" t="s">
        <v>10550</v>
      </c>
      <c r="J1910" s="7" t="s">
        <v>2408</v>
      </c>
      <c r="K1910" s="7" t="s">
        <v>10551</v>
      </c>
      <c r="L1910" s="12">
        <v>3</v>
      </c>
      <c r="M1910" s="7" t="s">
        <v>173</v>
      </c>
    </row>
    <row r="1911" spans="2:13" ht="37.5" customHeight="1" x14ac:dyDescent="0.35">
      <c r="B1911" s="11">
        <v>100</v>
      </c>
      <c r="C1911" s="5" t="s">
        <v>10502</v>
      </c>
      <c r="D1911" s="11">
        <v>12</v>
      </c>
      <c r="E1911" s="5" t="s">
        <v>10552</v>
      </c>
      <c r="F1911" s="5" t="s">
        <v>10553</v>
      </c>
      <c r="G1911" s="5" t="s">
        <v>3643</v>
      </c>
      <c r="H1911" s="5" t="s">
        <v>1995</v>
      </c>
      <c r="I1911" s="5" t="s">
        <v>10554</v>
      </c>
      <c r="J1911" s="5" t="s">
        <v>10555</v>
      </c>
      <c r="K1911" s="5" t="s">
        <v>10556</v>
      </c>
      <c r="L1911" s="11">
        <v>2</v>
      </c>
      <c r="M1911" s="5" t="s">
        <v>173</v>
      </c>
    </row>
    <row r="1912" spans="2:13" ht="37.5" customHeight="1" x14ac:dyDescent="0.35">
      <c r="B1912" s="12">
        <v>100</v>
      </c>
      <c r="C1912" s="7" t="s">
        <v>10502</v>
      </c>
      <c r="D1912" s="12">
        <v>13</v>
      </c>
      <c r="E1912" s="7" t="s">
        <v>10557</v>
      </c>
      <c r="F1912" s="7" t="s">
        <v>10558</v>
      </c>
      <c r="G1912" s="7" t="s">
        <v>358</v>
      </c>
      <c r="H1912" s="7" t="s">
        <v>42</v>
      </c>
      <c r="I1912" s="7" t="s">
        <v>10559</v>
      </c>
      <c r="J1912" s="7" t="s">
        <v>1903</v>
      </c>
      <c r="K1912" s="7" t="s">
        <v>10560</v>
      </c>
      <c r="L1912" s="12">
        <v>1</v>
      </c>
      <c r="M1912" s="7" t="s">
        <v>173</v>
      </c>
    </row>
    <row r="1913" spans="2:13" ht="67.5" customHeight="1" x14ac:dyDescent="0.35">
      <c r="B1913" s="11">
        <v>100</v>
      </c>
      <c r="C1913" s="5" t="s">
        <v>10502</v>
      </c>
      <c r="D1913" s="11">
        <v>14</v>
      </c>
      <c r="E1913" s="5" t="s">
        <v>10561</v>
      </c>
      <c r="F1913" s="5" t="s">
        <v>10562</v>
      </c>
      <c r="G1913" s="5" t="s">
        <v>25</v>
      </c>
      <c r="H1913" s="5" t="s">
        <v>10563</v>
      </c>
      <c r="I1913" s="5" t="s">
        <v>10564</v>
      </c>
      <c r="J1913" s="5" t="s">
        <v>10565</v>
      </c>
      <c r="K1913" s="5" t="s">
        <v>10566</v>
      </c>
      <c r="L1913" s="11">
        <v>4</v>
      </c>
      <c r="M1913" s="5" t="s">
        <v>173</v>
      </c>
    </row>
    <row r="1914" spans="2:13" ht="37.5" customHeight="1" x14ac:dyDescent="0.35">
      <c r="B1914" s="12">
        <v>100</v>
      </c>
      <c r="C1914" s="7" t="s">
        <v>10502</v>
      </c>
      <c r="D1914" s="12">
        <v>15</v>
      </c>
      <c r="E1914" s="7" t="s">
        <v>10567</v>
      </c>
      <c r="F1914" s="7" t="s">
        <v>10568</v>
      </c>
      <c r="G1914" s="7" t="s">
        <v>1294</v>
      </c>
      <c r="H1914" s="7" t="s">
        <v>44</v>
      </c>
      <c r="I1914" s="7" t="s">
        <v>49</v>
      </c>
      <c r="J1914" s="7" t="s">
        <v>213</v>
      </c>
      <c r="K1914" s="7" t="s">
        <v>6308</v>
      </c>
      <c r="L1914" s="12">
        <v>1</v>
      </c>
      <c r="M1914" s="7" t="s">
        <v>173</v>
      </c>
    </row>
    <row r="1915" spans="2:13" ht="37.5" customHeight="1" x14ac:dyDescent="0.35">
      <c r="B1915" s="11">
        <v>100</v>
      </c>
      <c r="C1915" s="5" t="s">
        <v>10502</v>
      </c>
      <c r="D1915" s="11">
        <v>16</v>
      </c>
      <c r="E1915" s="5" t="s">
        <v>10569</v>
      </c>
      <c r="F1915" s="5" t="s">
        <v>10570</v>
      </c>
      <c r="G1915" s="5" t="s">
        <v>825</v>
      </c>
      <c r="H1915" s="5" t="s">
        <v>41</v>
      </c>
      <c r="I1915" s="5" t="s">
        <v>49</v>
      </c>
      <c r="J1915" s="5" t="s">
        <v>213</v>
      </c>
      <c r="K1915" s="5" t="s">
        <v>214</v>
      </c>
      <c r="L1915" s="11">
        <v>1</v>
      </c>
      <c r="M1915" s="5" t="s">
        <v>173</v>
      </c>
    </row>
    <row r="1916" spans="2:13" ht="37.5" customHeight="1" x14ac:dyDescent="0.35">
      <c r="B1916" s="12">
        <v>100</v>
      </c>
      <c r="C1916" s="7" t="s">
        <v>10502</v>
      </c>
      <c r="D1916" s="12">
        <v>17</v>
      </c>
      <c r="E1916" s="7" t="s">
        <v>10571</v>
      </c>
      <c r="F1916" s="7" t="s">
        <v>10572</v>
      </c>
      <c r="G1916" s="7" t="s">
        <v>395</v>
      </c>
      <c r="H1916" s="7" t="s">
        <v>44</v>
      </c>
      <c r="I1916" s="7" t="s">
        <v>49</v>
      </c>
      <c r="J1916" s="7" t="s">
        <v>213</v>
      </c>
      <c r="K1916" s="7" t="s">
        <v>6308</v>
      </c>
      <c r="L1916" s="12">
        <v>1</v>
      </c>
      <c r="M1916" s="7" t="s">
        <v>173</v>
      </c>
    </row>
    <row r="1917" spans="2:13" ht="21.75" customHeight="1" x14ac:dyDescent="0.35">
      <c r="B1917" s="11">
        <v>100</v>
      </c>
      <c r="C1917" s="5" t="s">
        <v>10502</v>
      </c>
      <c r="D1917" s="11">
        <v>18</v>
      </c>
      <c r="E1917" s="5" t="s">
        <v>10573</v>
      </c>
      <c r="F1917" s="5" t="s">
        <v>10574</v>
      </c>
      <c r="G1917" s="5" t="s">
        <v>2415</v>
      </c>
      <c r="H1917" s="5" t="s">
        <v>40</v>
      </c>
      <c r="I1917" s="5" t="s">
        <v>54</v>
      </c>
      <c r="J1917" s="5" t="s">
        <v>213</v>
      </c>
      <c r="K1917" s="5" t="s">
        <v>254</v>
      </c>
      <c r="L1917" s="11">
        <v>1</v>
      </c>
      <c r="M1917" s="5" t="s">
        <v>173</v>
      </c>
    </row>
    <row r="1918" spans="2:13" ht="21.75" customHeight="1" x14ac:dyDescent="0.35">
      <c r="B1918" s="12">
        <v>100</v>
      </c>
      <c r="C1918" s="7" t="s">
        <v>10502</v>
      </c>
      <c r="D1918" s="12">
        <v>19</v>
      </c>
      <c r="E1918" s="7" t="s">
        <v>10575</v>
      </c>
      <c r="F1918" s="7" t="s">
        <v>10576</v>
      </c>
      <c r="G1918" s="7" t="s">
        <v>212</v>
      </c>
      <c r="H1918" s="7" t="s">
        <v>40</v>
      </c>
      <c r="I1918" s="7" t="s">
        <v>54</v>
      </c>
      <c r="J1918" s="7" t="s">
        <v>213</v>
      </c>
      <c r="K1918" s="7" t="s">
        <v>254</v>
      </c>
      <c r="L1918" s="12">
        <v>1</v>
      </c>
      <c r="M1918" s="7" t="s">
        <v>173</v>
      </c>
    </row>
    <row r="1919" spans="2:13" ht="52.5" customHeight="1" x14ac:dyDescent="0.35">
      <c r="B1919" s="11">
        <v>100</v>
      </c>
      <c r="C1919" s="5" t="s">
        <v>10502</v>
      </c>
      <c r="D1919" s="11">
        <v>20</v>
      </c>
      <c r="E1919" s="5" t="s">
        <v>10577</v>
      </c>
      <c r="F1919" s="5" t="s">
        <v>10578</v>
      </c>
      <c r="G1919" s="5" t="s">
        <v>1513</v>
      </c>
      <c r="H1919" s="5" t="s">
        <v>3028</v>
      </c>
      <c r="I1919" s="5" t="s">
        <v>10579</v>
      </c>
      <c r="J1919" s="5" t="s">
        <v>10580</v>
      </c>
      <c r="K1919" s="5" t="s">
        <v>10581</v>
      </c>
      <c r="L1919" s="11">
        <v>2</v>
      </c>
      <c r="M1919" s="5" t="s">
        <v>173</v>
      </c>
    </row>
    <row r="1920" spans="2:13" ht="37.5" customHeight="1" x14ac:dyDescent="0.35">
      <c r="B1920" s="12">
        <v>100</v>
      </c>
      <c r="C1920" s="7" t="s">
        <v>10502</v>
      </c>
      <c r="D1920" s="12">
        <v>21</v>
      </c>
      <c r="E1920" s="7" t="s">
        <v>10582</v>
      </c>
      <c r="F1920" s="7" t="s">
        <v>10583</v>
      </c>
      <c r="G1920" s="7" t="s">
        <v>206</v>
      </c>
      <c r="H1920" s="7" t="s">
        <v>301</v>
      </c>
      <c r="I1920" s="7" t="s">
        <v>10584</v>
      </c>
      <c r="J1920" s="7" t="s">
        <v>4587</v>
      </c>
      <c r="K1920" s="7" t="s">
        <v>10585</v>
      </c>
      <c r="L1920" s="12">
        <v>2</v>
      </c>
      <c r="M1920" s="7" t="s">
        <v>173</v>
      </c>
    </row>
    <row r="1921" spans="2:13" ht="37.5" customHeight="1" x14ac:dyDescent="0.35">
      <c r="B1921" s="11">
        <v>100</v>
      </c>
      <c r="C1921" s="5" t="s">
        <v>10502</v>
      </c>
      <c r="D1921" s="11">
        <v>22</v>
      </c>
      <c r="E1921" s="5" t="s">
        <v>10586</v>
      </c>
      <c r="F1921" s="5" t="s">
        <v>10587</v>
      </c>
      <c r="G1921" s="5" t="s">
        <v>625</v>
      </c>
      <c r="H1921" s="5" t="s">
        <v>218</v>
      </c>
      <c r="I1921" s="5" t="s">
        <v>5036</v>
      </c>
      <c r="J1921" s="5" t="s">
        <v>220</v>
      </c>
      <c r="K1921" s="5" t="s">
        <v>7688</v>
      </c>
      <c r="L1921" s="11">
        <v>2</v>
      </c>
      <c r="M1921" s="5" t="s">
        <v>173</v>
      </c>
    </row>
    <row r="1922" spans="2:13" ht="37.5" customHeight="1" x14ac:dyDescent="0.35">
      <c r="B1922" s="12">
        <v>100</v>
      </c>
      <c r="C1922" s="7" t="s">
        <v>10502</v>
      </c>
      <c r="D1922" s="12">
        <v>23</v>
      </c>
      <c r="E1922" s="7" t="s">
        <v>10588</v>
      </c>
      <c r="F1922" s="7" t="s">
        <v>10589</v>
      </c>
      <c r="G1922" s="7" t="s">
        <v>573</v>
      </c>
      <c r="H1922" s="7" t="s">
        <v>5123</v>
      </c>
      <c r="I1922" s="7" t="s">
        <v>10590</v>
      </c>
      <c r="J1922" s="7" t="s">
        <v>194</v>
      </c>
      <c r="K1922" s="7" t="s">
        <v>10591</v>
      </c>
      <c r="L1922" s="12">
        <v>2</v>
      </c>
      <c r="M1922" s="7" t="s">
        <v>173</v>
      </c>
    </row>
    <row r="1923" spans="2:13" ht="37.5" customHeight="1" x14ac:dyDescent="0.35">
      <c r="B1923" s="11">
        <v>100</v>
      </c>
      <c r="C1923" s="5" t="s">
        <v>10502</v>
      </c>
      <c r="D1923" s="11">
        <v>24</v>
      </c>
      <c r="E1923" s="5" t="s">
        <v>10592</v>
      </c>
      <c r="F1923" s="5" t="s">
        <v>10593</v>
      </c>
      <c r="G1923" s="5" t="s">
        <v>566</v>
      </c>
      <c r="H1923" s="5" t="s">
        <v>37</v>
      </c>
      <c r="I1923" s="5" t="s">
        <v>51</v>
      </c>
      <c r="J1923" s="5" t="s">
        <v>194</v>
      </c>
      <c r="K1923" s="5" t="s">
        <v>5169</v>
      </c>
      <c r="L1923" s="11">
        <v>1</v>
      </c>
      <c r="M1923" s="5" t="s">
        <v>173</v>
      </c>
    </row>
    <row r="1924" spans="2:13" ht="37.5" customHeight="1" x14ac:dyDescent="0.35">
      <c r="B1924" s="12">
        <v>100</v>
      </c>
      <c r="C1924" s="7" t="s">
        <v>10502</v>
      </c>
      <c r="D1924" s="12">
        <v>25</v>
      </c>
      <c r="E1924" s="7" t="s">
        <v>10594</v>
      </c>
      <c r="F1924" s="7" t="s">
        <v>10595</v>
      </c>
      <c r="G1924" s="7" t="s">
        <v>24</v>
      </c>
      <c r="H1924" s="7" t="s">
        <v>37</v>
      </c>
      <c r="I1924" s="7" t="s">
        <v>51</v>
      </c>
      <c r="J1924" s="7" t="s">
        <v>194</v>
      </c>
      <c r="K1924" s="7" t="s">
        <v>5169</v>
      </c>
      <c r="L1924" s="12">
        <v>1</v>
      </c>
      <c r="M1924" s="7" t="s">
        <v>173</v>
      </c>
    </row>
    <row r="1925" spans="2:13" ht="21.75" customHeight="1" x14ac:dyDescent="0.35">
      <c r="B1925" s="11">
        <v>100</v>
      </c>
      <c r="C1925" s="5" t="s">
        <v>10502</v>
      </c>
      <c r="D1925" s="11">
        <v>26</v>
      </c>
      <c r="E1925" s="5" t="s">
        <v>10596</v>
      </c>
      <c r="F1925" s="5" t="s">
        <v>10597</v>
      </c>
      <c r="G1925" s="5" t="s">
        <v>32</v>
      </c>
      <c r="H1925" s="5" t="s">
        <v>41</v>
      </c>
      <c r="I1925" s="5" t="s">
        <v>49</v>
      </c>
      <c r="J1925" s="5" t="s">
        <v>213</v>
      </c>
      <c r="K1925" s="5" t="s">
        <v>214</v>
      </c>
      <c r="L1925" s="11">
        <v>1</v>
      </c>
      <c r="M1925" s="5" t="s">
        <v>173</v>
      </c>
    </row>
    <row r="1926" spans="2:13" ht="37.5" customHeight="1" x14ac:dyDescent="0.35">
      <c r="B1926" s="12">
        <v>100</v>
      </c>
      <c r="C1926" s="7" t="s">
        <v>10502</v>
      </c>
      <c r="D1926" s="12">
        <v>27</v>
      </c>
      <c r="E1926" s="7" t="s">
        <v>10598</v>
      </c>
      <c r="F1926" s="7" t="s">
        <v>10599</v>
      </c>
      <c r="G1926" s="7" t="s">
        <v>1560</v>
      </c>
      <c r="H1926" s="7" t="s">
        <v>43</v>
      </c>
      <c r="I1926" s="7" t="s">
        <v>49</v>
      </c>
      <c r="J1926" s="7" t="s">
        <v>213</v>
      </c>
      <c r="K1926" s="7" t="s">
        <v>7595</v>
      </c>
      <c r="L1926" s="12">
        <v>1</v>
      </c>
      <c r="M1926" s="7" t="s">
        <v>173</v>
      </c>
    </row>
    <row r="1927" spans="2:13" ht="37.5" customHeight="1" x14ac:dyDescent="0.35">
      <c r="B1927" s="11">
        <v>100</v>
      </c>
      <c r="C1927" s="5" t="s">
        <v>10502</v>
      </c>
      <c r="D1927" s="11">
        <v>28</v>
      </c>
      <c r="E1927" s="5" t="s">
        <v>10600</v>
      </c>
      <c r="F1927" s="5" t="s">
        <v>10601</v>
      </c>
      <c r="G1927" s="5" t="s">
        <v>698</v>
      </c>
      <c r="H1927" s="5" t="s">
        <v>40</v>
      </c>
      <c r="I1927" s="5" t="s">
        <v>54</v>
      </c>
      <c r="J1927" s="5" t="s">
        <v>213</v>
      </c>
      <c r="K1927" s="5" t="s">
        <v>254</v>
      </c>
      <c r="L1927" s="11">
        <v>1</v>
      </c>
      <c r="M1927" s="5" t="s">
        <v>173</v>
      </c>
    </row>
    <row r="1928" spans="2:13" ht="37.5" customHeight="1" x14ac:dyDescent="0.35">
      <c r="B1928" s="12">
        <v>100</v>
      </c>
      <c r="C1928" s="7" t="s">
        <v>10502</v>
      </c>
      <c r="D1928" s="12">
        <v>29</v>
      </c>
      <c r="E1928" s="7" t="s">
        <v>10602</v>
      </c>
      <c r="F1928" s="7" t="s">
        <v>10603</v>
      </c>
      <c r="G1928" s="7" t="s">
        <v>865</v>
      </c>
      <c r="H1928" s="7" t="s">
        <v>37</v>
      </c>
      <c r="I1928" s="7" t="s">
        <v>51</v>
      </c>
      <c r="J1928" s="7" t="s">
        <v>194</v>
      </c>
      <c r="K1928" s="7" t="s">
        <v>5169</v>
      </c>
      <c r="L1928" s="12">
        <v>1</v>
      </c>
      <c r="M1928" s="7" t="s">
        <v>173</v>
      </c>
    </row>
    <row r="1929" spans="2:13" ht="21.75" customHeight="1" x14ac:dyDescent="0.35">
      <c r="B1929" s="11">
        <v>100</v>
      </c>
      <c r="C1929" s="5" t="s">
        <v>10502</v>
      </c>
      <c r="D1929" s="11">
        <v>30</v>
      </c>
      <c r="E1929" s="5" t="s">
        <v>10604</v>
      </c>
      <c r="F1929" s="5" t="s">
        <v>10605</v>
      </c>
      <c r="G1929" s="5" t="s">
        <v>497</v>
      </c>
      <c r="H1929" s="5" t="s">
        <v>37</v>
      </c>
      <c r="I1929" s="5" t="s">
        <v>51</v>
      </c>
      <c r="J1929" s="5" t="s">
        <v>194</v>
      </c>
      <c r="K1929" s="5" t="s">
        <v>5169</v>
      </c>
      <c r="L1929" s="11">
        <v>1</v>
      </c>
      <c r="M1929" s="5" t="s">
        <v>173</v>
      </c>
    </row>
    <row r="1930" spans="2:13" ht="37.5" customHeight="1" x14ac:dyDescent="0.35">
      <c r="B1930" s="12">
        <v>100</v>
      </c>
      <c r="C1930" s="7" t="s">
        <v>10502</v>
      </c>
      <c r="D1930" s="12">
        <v>31</v>
      </c>
      <c r="E1930" s="7" t="s">
        <v>10606</v>
      </c>
      <c r="F1930" s="7" t="s">
        <v>10607</v>
      </c>
      <c r="G1930" s="7" t="s">
        <v>648</v>
      </c>
      <c r="H1930" s="7" t="s">
        <v>37</v>
      </c>
      <c r="I1930" s="7" t="s">
        <v>51</v>
      </c>
      <c r="J1930" s="7" t="s">
        <v>194</v>
      </c>
      <c r="K1930" s="7" t="s">
        <v>5169</v>
      </c>
      <c r="L1930" s="12">
        <v>1</v>
      </c>
      <c r="M1930" s="7" t="s">
        <v>173</v>
      </c>
    </row>
    <row r="1931" spans="2:13" ht="21.75" customHeight="1" x14ac:dyDescent="0.35">
      <c r="B1931" s="11">
        <v>100</v>
      </c>
      <c r="C1931" s="5" t="s">
        <v>10502</v>
      </c>
      <c r="D1931" s="11">
        <v>32</v>
      </c>
      <c r="E1931" s="5" t="s">
        <v>10582</v>
      </c>
      <c r="F1931" s="5" t="s">
        <v>10608</v>
      </c>
      <c r="G1931" s="5" t="s">
        <v>5476</v>
      </c>
      <c r="H1931" s="5" t="s">
        <v>37</v>
      </c>
      <c r="I1931" s="5" t="s">
        <v>51</v>
      </c>
      <c r="J1931" s="5" t="s">
        <v>194</v>
      </c>
      <c r="K1931" s="5" t="s">
        <v>5169</v>
      </c>
      <c r="L1931" s="11">
        <v>1</v>
      </c>
      <c r="M1931" s="5" t="s">
        <v>173</v>
      </c>
    </row>
    <row r="1932" spans="2:13" ht="21.75" customHeight="1" x14ac:dyDescent="0.35">
      <c r="B1932" s="12">
        <v>100</v>
      </c>
      <c r="C1932" s="7" t="s">
        <v>10502</v>
      </c>
      <c r="D1932" s="12">
        <v>33</v>
      </c>
      <c r="E1932" s="7" t="s">
        <v>10609</v>
      </c>
      <c r="F1932" s="7" t="s">
        <v>10610</v>
      </c>
      <c r="G1932" s="7" t="s">
        <v>905</v>
      </c>
      <c r="H1932" s="7" t="s">
        <v>37</v>
      </c>
      <c r="I1932" s="7" t="s">
        <v>51</v>
      </c>
      <c r="J1932" s="7" t="s">
        <v>194</v>
      </c>
      <c r="K1932" s="7" t="s">
        <v>5169</v>
      </c>
      <c r="L1932" s="12">
        <v>1</v>
      </c>
      <c r="M1932" s="7" t="s">
        <v>173</v>
      </c>
    </row>
    <row r="1933" spans="2:13" ht="21.75" customHeight="1" x14ac:dyDescent="0.35">
      <c r="B1933" s="11">
        <v>100</v>
      </c>
      <c r="C1933" s="5" t="s">
        <v>10502</v>
      </c>
      <c r="D1933" s="11">
        <v>34</v>
      </c>
      <c r="E1933" s="5" t="s">
        <v>10611</v>
      </c>
      <c r="F1933" s="5" t="s">
        <v>10612</v>
      </c>
      <c r="G1933" s="5" t="s">
        <v>635</v>
      </c>
      <c r="H1933" s="5" t="s">
        <v>44</v>
      </c>
      <c r="I1933" s="5" t="s">
        <v>49</v>
      </c>
      <c r="J1933" s="5" t="s">
        <v>213</v>
      </c>
      <c r="K1933" s="5" t="s">
        <v>6308</v>
      </c>
      <c r="L1933" s="11">
        <v>1</v>
      </c>
      <c r="M1933" s="5" t="s">
        <v>173</v>
      </c>
    </row>
    <row r="1934" spans="2:13" ht="21.75" customHeight="1" x14ac:dyDescent="0.35">
      <c r="B1934" s="12">
        <v>100</v>
      </c>
      <c r="C1934" s="7" t="s">
        <v>10502</v>
      </c>
      <c r="D1934" s="12">
        <v>35</v>
      </c>
      <c r="E1934" s="7" t="s">
        <v>10613</v>
      </c>
      <c r="F1934" s="7" t="s">
        <v>10614</v>
      </c>
      <c r="G1934" s="7" t="s">
        <v>3135</v>
      </c>
      <c r="H1934" s="7" t="s">
        <v>40</v>
      </c>
      <c r="I1934" s="7" t="s">
        <v>54</v>
      </c>
      <c r="J1934" s="7" t="s">
        <v>213</v>
      </c>
      <c r="K1934" s="7" t="s">
        <v>254</v>
      </c>
      <c r="L1934" s="12">
        <v>1</v>
      </c>
      <c r="M1934" s="7" t="s">
        <v>173</v>
      </c>
    </row>
    <row r="1935" spans="2:13" ht="37.5" customHeight="1" x14ac:dyDescent="0.35">
      <c r="B1935" s="11">
        <v>100</v>
      </c>
      <c r="C1935" s="5" t="s">
        <v>10502</v>
      </c>
      <c r="D1935" s="11">
        <v>36</v>
      </c>
      <c r="E1935" s="5" t="s">
        <v>10615</v>
      </c>
      <c r="F1935" s="5" t="s">
        <v>10616</v>
      </c>
      <c r="G1935" s="5" t="s">
        <v>26</v>
      </c>
      <c r="H1935" s="5" t="s">
        <v>10617</v>
      </c>
      <c r="I1935" s="5" t="s">
        <v>10618</v>
      </c>
      <c r="J1935" s="5" t="s">
        <v>213</v>
      </c>
      <c r="K1935" s="5" t="s">
        <v>10619</v>
      </c>
      <c r="L1935" s="11">
        <v>2</v>
      </c>
      <c r="M1935" s="5" t="s">
        <v>173</v>
      </c>
    </row>
    <row r="1936" spans="2:13" ht="37.5" customHeight="1" x14ac:dyDescent="0.35">
      <c r="B1936" s="12">
        <v>100</v>
      </c>
      <c r="C1936" s="7" t="s">
        <v>10502</v>
      </c>
      <c r="D1936" s="12">
        <v>37</v>
      </c>
      <c r="E1936" s="7" t="s">
        <v>10620</v>
      </c>
      <c r="F1936" s="7" t="s">
        <v>10621</v>
      </c>
      <c r="G1936" s="7" t="s">
        <v>653</v>
      </c>
      <c r="H1936" s="7" t="s">
        <v>38</v>
      </c>
      <c r="I1936" s="7" t="s">
        <v>268</v>
      </c>
      <c r="J1936" s="7" t="s">
        <v>1069</v>
      </c>
      <c r="K1936" s="7" t="s">
        <v>10622</v>
      </c>
      <c r="L1936" s="12">
        <v>1</v>
      </c>
      <c r="M1936" s="7" t="s">
        <v>173</v>
      </c>
    </row>
    <row r="1937" spans="2:13" ht="21.75" customHeight="1" x14ac:dyDescent="0.35">
      <c r="B1937" s="11">
        <v>100</v>
      </c>
      <c r="C1937" s="5" t="s">
        <v>10502</v>
      </c>
      <c r="D1937" s="11">
        <v>38</v>
      </c>
      <c r="E1937" s="5" t="s">
        <v>10623</v>
      </c>
      <c r="F1937" s="5" t="s">
        <v>10624</v>
      </c>
      <c r="G1937" s="5" t="s">
        <v>670</v>
      </c>
      <c r="H1937" s="5" t="s">
        <v>41</v>
      </c>
      <c r="I1937" s="5" t="s">
        <v>49</v>
      </c>
      <c r="J1937" s="5" t="s">
        <v>213</v>
      </c>
      <c r="K1937" s="5" t="s">
        <v>214</v>
      </c>
      <c r="L1937" s="11">
        <v>1</v>
      </c>
      <c r="M1937" s="5" t="s">
        <v>173</v>
      </c>
    </row>
    <row r="1938" spans="2:13" ht="21.75" customHeight="1" x14ac:dyDescent="0.35">
      <c r="B1938" s="12">
        <v>100</v>
      </c>
      <c r="C1938" s="7" t="s">
        <v>10502</v>
      </c>
      <c r="D1938" s="12">
        <v>39</v>
      </c>
      <c r="E1938" s="7" t="s">
        <v>10625</v>
      </c>
      <c r="F1938" s="7" t="s">
        <v>10626</v>
      </c>
      <c r="G1938" s="7" t="s">
        <v>1647</v>
      </c>
      <c r="H1938" s="7" t="s">
        <v>37</v>
      </c>
      <c r="I1938" s="7" t="s">
        <v>51</v>
      </c>
      <c r="J1938" s="7" t="s">
        <v>194</v>
      </c>
      <c r="K1938" s="7" t="s">
        <v>5169</v>
      </c>
      <c r="L1938" s="12">
        <v>1</v>
      </c>
      <c r="M1938" s="7" t="s">
        <v>173</v>
      </c>
    </row>
    <row r="1939" spans="2:13" ht="37.5" customHeight="1" x14ac:dyDescent="0.35">
      <c r="B1939" s="11">
        <v>100</v>
      </c>
      <c r="C1939" s="5" t="s">
        <v>10502</v>
      </c>
      <c r="D1939" s="11">
        <v>40</v>
      </c>
      <c r="E1939" s="5" t="s">
        <v>10627</v>
      </c>
      <c r="F1939" s="5" t="s">
        <v>10628</v>
      </c>
      <c r="G1939" s="5" t="s">
        <v>224</v>
      </c>
      <c r="H1939" s="5" t="s">
        <v>218</v>
      </c>
      <c r="I1939" s="5" t="s">
        <v>5036</v>
      </c>
      <c r="J1939" s="5" t="s">
        <v>220</v>
      </c>
      <c r="K1939" s="5" t="s">
        <v>7688</v>
      </c>
      <c r="L1939" s="11">
        <v>2</v>
      </c>
      <c r="M1939" s="5" t="s">
        <v>173</v>
      </c>
    </row>
    <row r="1940" spans="2:13" ht="37.5" customHeight="1" x14ac:dyDescent="0.35">
      <c r="B1940" s="12">
        <v>100</v>
      </c>
      <c r="C1940" s="7" t="s">
        <v>10502</v>
      </c>
      <c r="D1940" s="12">
        <v>41</v>
      </c>
      <c r="E1940" s="7" t="s">
        <v>10629</v>
      </c>
      <c r="F1940" s="7" t="s">
        <v>10630</v>
      </c>
      <c r="G1940" s="7" t="s">
        <v>28</v>
      </c>
      <c r="H1940" s="7" t="s">
        <v>218</v>
      </c>
      <c r="I1940" s="7" t="s">
        <v>5036</v>
      </c>
      <c r="J1940" s="7" t="s">
        <v>220</v>
      </c>
      <c r="K1940" s="7" t="s">
        <v>7688</v>
      </c>
      <c r="L1940" s="12">
        <v>2</v>
      </c>
      <c r="M1940" s="7" t="s">
        <v>173</v>
      </c>
    </row>
    <row r="1941" spans="2:13" ht="37.5" customHeight="1" x14ac:dyDescent="0.35">
      <c r="B1941" s="11">
        <v>100</v>
      </c>
      <c r="C1941" s="5" t="s">
        <v>10502</v>
      </c>
      <c r="D1941" s="11">
        <v>42</v>
      </c>
      <c r="E1941" s="5" t="s">
        <v>10631</v>
      </c>
      <c r="F1941" s="5" t="s">
        <v>10632</v>
      </c>
      <c r="G1941" s="5" t="s">
        <v>704</v>
      </c>
      <c r="H1941" s="5" t="s">
        <v>169</v>
      </c>
      <c r="I1941" s="5" t="s">
        <v>5018</v>
      </c>
      <c r="J1941" s="5" t="s">
        <v>240</v>
      </c>
      <c r="K1941" s="5" t="s">
        <v>10633</v>
      </c>
      <c r="L1941" s="11">
        <v>2</v>
      </c>
      <c r="M1941" s="5" t="s">
        <v>173</v>
      </c>
    </row>
    <row r="1942" spans="2:13" ht="21.75" customHeight="1" x14ac:dyDescent="0.35">
      <c r="B1942" s="12">
        <v>100</v>
      </c>
      <c r="C1942" s="7" t="s">
        <v>10502</v>
      </c>
      <c r="D1942" s="12">
        <v>43</v>
      </c>
      <c r="E1942" s="7" t="s">
        <v>10634</v>
      </c>
      <c r="F1942" s="7" t="s">
        <v>10635</v>
      </c>
      <c r="G1942" s="7" t="s">
        <v>810</v>
      </c>
      <c r="H1942" s="7" t="s">
        <v>41</v>
      </c>
      <c r="I1942" s="7" t="s">
        <v>49</v>
      </c>
      <c r="J1942" s="7" t="s">
        <v>213</v>
      </c>
      <c r="K1942" s="7" t="s">
        <v>214</v>
      </c>
      <c r="L1942" s="12">
        <v>1</v>
      </c>
      <c r="M1942" s="7" t="s">
        <v>173</v>
      </c>
    </row>
    <row r="1943" spans="2:13" ht="37.5" customHeight="1" x14ac:dyDescent="0.35">
      <c r="B1943" s="11">
        <v>100</v>
      </c>
      <c r="C1943" s="5" t="s">
        <v>10502</v>
      </c>
      <c r="D1943" s="11">
        <v>44</v>
      </c>
      <c r="E1943" s="5" t="s">
        <v>10636</v>
      </c>
      <c r="F1943" s="5" t="s">
        <v>10637</v>
      </c>
      <c r="G1943" s="5" t="s">
        <v>752</v>
      </c>
      <c r="H1943" s="5" t="s">
        <v>41</v>
      </c>
      <c r="I1943" s="5" t="s">
        <v>7875</v>
      </c>
      <c r="J1943" s="5" t="s">
        <v>213</v>
      </c>
      <c r="K1943" s="5" t="s">
        <v>7876</v>
      </c>
      <c r="L1943" s="11">
        <v>1</v>
      </c>
      <c r="M1943" s="5" t="s">
        <v>173</v>
      </c>
    </row>
    <row r="1944" spans="2:13" ht="21.75" customHeight="1" x14ac:dyDescent="0.35">
      <c r="B1944" s="12">
        <v>100</v>
      </c>
      <c r="C1944" s="7" t="s">
        <v>10502</v>
      </c>
      <c r="D1944" s="12">
        <v>45</v>
      </c>
      <c r="E1944" s="7" t="s">
        <v>10638</v>
      </c>
      <c r="F1944" s="7" t="s">
        <v>10639</v>
      </c>
      <c r="G1944" s="7" t="s">
        <v>2768</v>
      </c>
      <c r="H1944" s="7" t="s">
        <v>37</v>
      </c>
      <c r="I1944" s="7" t="s">
        <v>51</v>
      </c>
      <c r="J1944" s="7" t="s">
        <v>194</v>
      </c>
      <c r="K1944" s="7" t="s">
        <v>5169</v>
      </c>
      <c r="L1944" s="12">
        <v>1</v>
      </c>
      <c r="M1944" s="7" t="s">
        <v>173</v>
      </c>
    </row>
    <row r="1945" spans="2:13" ht="21.75" customHeight="1" x14ac:dyDescent="0.35">
      <c r="B1945" s="11">
        <v>100</v>
      </c>
      <c r="C1945" s="5" t="s">
        <v>10502</v>
      </c>
      <c r="D1945" s="11">
        <v>46</v>
      </c>
      <c r="E1945" s="5" t="s">
        <v>10640</v>
      </c>
      <c r="F1945" s="5" t="s">
        <v>10641</v>
      </c>
      <c r="G1945" s="5" t="s">
        <v>1603</v>
      </c>
      <c r="H1945" s="5" t="s">
        <v>40</v>
      </c>
      <c r="I1945" s="5" t="s">
        <v>54</v>
      </c>
      <c r="J1945" s="5" t="s">
        <v>213</v>
      </c>
      <c r="K1945" s="5" t="s">
        <v>254</v>
      </c>
      <c r="L1945" s="11">
        <v>1</v>
      </c>
      <c r="M1945" s="5" t="s">
        <v>173</v>
      </c>
    </row>
    <row r="1946" spans="2:13" ht="37.5" customHeight="1" x14ac:dyDescent="0.35">
      <c r="B1946" s="12">
        <v>100</v>
      </c>
      <c r="C1946" s="7" t="s">
        <v>10502</v>
      </c>
      <c r="D1946" s="12">
        <v>47</v>
      </c>
      <c r="E1946" s="7" t="s">
        <v>10642</v>
      </c>
      <c r="F1946" s="7" t="s">
        <v>10643</v>
      </c>
      <c r="G1946" s="7" t="s">
        <v>557</v>
      </c>
      <c r="H1946" s="7" t="s">
        <v>40</v>
      </c>
      <c r="I1946" s="7" t="s">
        <v>54</v>
      </c>
      <c r="J1946" s="7" t="s">
        <v>213</v>
      </c>
      <c r="K1946" s="7" t="s">
        <v>254</v>
      </c>
      <c r="L1946" s="12">
        <v>1</v>
      </c>
      <c r="M1946" s="7" t="s">
        <v>173</v>
      </c>
    </row>
    <row r="1947" spans="2:13" ht="37.5" customHeight="1" x14ac:dyDescent="0.35">
      <c r="B1947" s="11">
        <v>100</v>
      </c>
      <c r="C1947" s="5" t="s">
        <v>10502</v>
      </c>
      <c r="D1947" s="11">
        <v>48</v>
      </c>
      <c r="E1947" s="5" t="s">
        <v>10644</v>
      </c>
      <c r="F1947" s="5" t="s">
        <v>10645</v>
      </c>
      <c r="G1947" s="5" t="s">
        <v>1628</v>
      </c>
      <c r="H1947" s="5" t="s">
        <v>4034</v>
      </c>
      <c r="I1947" s="5" t="s">
        <v>10646</v>
      </c>
      <c r="J1947" s="5" t="s">
        <v>10647</v>
      </c>
      <c r="K1947" s="5" t="s">
        <v>10648</v>
      </c>
      <c r="L1947" s="11">
        <v>2</v>
      </c>
      <c r="M1947" s="5" t="s">
        <v>173</v>
      </c>
    </row>
    <row r="1948" spans="2:13" ht="37.5" customHeight="1" x14ac:dyDescent="0.35">
      <c r="B1948" s="12">
        <v>100</v>
      </c>
      <c r="C1948" s="7" t="s">
        <v>10502</v>
      </c>
      <c r="D1948" s="12">
        <v>49</v>
      </c>
      <c r="E1948" s="7" t="s">
        <v>10649</v>
      </c>
      <c r="F1948" s="7" t="s">
        <v>10650</v>
      </c>
      <c r="G1948" s="7" t="s">
        <v>10651</v>
      </c>
      <c r="H1948" s="7" t="s">
        <v>37</v>
      </c>
      <c r="I1948" s="7" t="s">
        <v>51</v>
      </c>
      <c r="J1948" s="7" t="s">
        <v>194</v>
      </c>
      <c r="K1948" s="7" t="s">
        <v>5169</v>
      </c>
      <c r="L1948" s="12">
        <v>1</v>
      </c>
      <c r="M1948" s="7" t="s">
        <v>173</v>
      </c>
    </row>
    <row r="1949" spans="2:13" ht="21.75" customHeight="1" x14ac:dyDescent="0.35">
      <c r="B1949" s="11">
        <v>100</v>
      </c>
      <c r="C1949" s="5" t="s">
        <v>10502</v>
      </c>
      <c r="D1949" s="11">
        <v>50</v>
      </c>
      <c r="E1949" s="5" t="s">
        <v>10652</v>
      </c>
      <c r="F1949" s="5" t="s">
        <v>10653</v>
      </c>
      <c r="G1949" s="5"/>
      <c r="H1949" s="5" t="s">
        <v>37</v>
      </c>
      <c r="I1949" s="5" t="s">
        <v>51</v>
      </c>
      <c r="J1949" s="5" t="s">
        <v>194</v>
      </c>
      <c r="K1949" s="5" t="s">
        <v>5169</v>
      </c>
      <c r="L1949" s="11">
        <v>1</v>
      </c>
      <c r="M1949" s="5" t="s">
        <v>173</v>
      </c>
    </row>
    <row r="1950" spans="2:13" ht="21.75" customHeight="1" x14ac:dyDescent="0.35">
      <c r="B1950" s="12">
        <v>100</v>
      </c>
      <c r="C1950" s="7" t="s">
        <v>10502</v>
      </c>
      <c r="D1950" s="12">
        <v>51</v>
      </c>
      <c r="E1950" s="7" t="s">
        <v>10654</v>
      </c>
      <c r="F1950" s="7" t="s">
        <v>10655</v>
      </c>
      <c r="G1950" s="7" t="s">
        <v>402</v>
      </c>
      <c r="H1950" s="7" t="s">
        <v>37</v>
      </c>
      <c r="I1950" s="7" t="s">
        <v>51</v>
      </c>
      <c r="J1950" s="7" t="s">
        <v>194</v>
      </c>
      <c r="K1950" s="7" t="s">
        <v>5169</v>
      </c>
      <c r="L1950" s="12">
        <v>1</v>
      </c>
      <c r="M1950" s="7" t="s">
        <v>173</v>
      </c>
    </row>
    <row r="1951" spans="2:13" ht="21.75" customHeight="1" x14ac:dyDescent="0.35">
      <c r="B1951" s="11">
        <v>100</v>
      </c>
      <c r="C1951" s="5" t="s">
        <v>10502</v>
      </c>
      <c r="D1951" s="11">
        <v>52</v>
      </c>
      <c r="E1951" s="5" t="s">
        <v>10656</v>
      </c>
      <c r="F1951" s="5" t="s">
        <v>10657</v>
      </c>
      <c r="G1951" s="5" t="s">
        <v>10658</v>
      </c>
      <c r="H1951" s="5" t="s">
        <v>37</v>
      </c>
      <c r="I1951" s="5" t="s">
        <v>51</v>
      </c>
      <c r="J1951" s="5" t="s">
        <v>194</v>
      </c>
      <c r="K1951" s="5" t="s">
        <v>5169</v>
      </c>
      <c r="L1951" s="11">
        <v>1</v>
      </c>
      <c r="M1951" s="5" t="s">
        <v>173</v>
      </c>
    </row>
    <row r="1952" spans="2:13" ht="37.5" customHeight="1" x14ac:dyDescent="0.35">
      <c r="B1952" s="12">
        <v>100</v>
      </c>
      <c r="C1952" s="7" t="s">
        <v>10502</v>
      </c>
      <c r="D1952" s="12">
        <v>53</v>
      </c>
      <c r="E1952" s="7" t="s">
        <v>10659</v>
      </c>
      <c r="F1952" s="7" t="s">
        <v>10660</v>
      </c>
      <c r="G1952" s="7" t="s">
        <v>766</v>
      </c>
      <c r="H1952" s="7" t="s">
        <v>37</v>
      </c>
      <c r="I1952" s="7" t="s">
        <v>51</v>
      </c>
      <c r="J1952" s="7" t="s">
        <v>194</v>
      </c>
      <c r="K1952" s="7" t="s">
        <v>5169</v>
      </c>
      <c r="L1952" s="12">
        <v>1</v>
      </c>
      <c r="M1952" s="7" t="s">
        <v>173</v>
      </c>
    </row>
    <row r="1953" spans="2:13" ht="21.75" customHeight="1" x14ac:dyDescent="0.35">
      <c r="B1953" s="11">
        <v>100</v>
      </c>
      <c r="C1953" s="5" t="s">
        <v>10502</v>
      </c>
      <c r="D1953" s="11">
        <v>54</v>
      </c>
      <c r="E1953" s="5" t="s">
        <v>10661</v>
      </c>
      <c r="F1953" s="5" t="s">
        <v>10662</v>
      </c>
      <c r="G1953" s="5" t="s">
        <v>686</v>
      </c>
      <c r="H1953" s="5" t="s">
        <v>37</v>
      </c>
      <c r="I1953" s="5" t="s">
        <v>51</v>
      </c>
      <c r="J1953" s="5" t="s">
        <v>194</v>
      </c>
      <c r="K1953" s="5" t="s">
        <v>5169</v>
      </c>
      <c r="L1953" s="11">
        <v>1</v>
      </c>
      <c r="M1953" s="5" t="s">
        <v>173</v>
      </c>
    </row>
    <row r="1954" spans="2:13" ht="37.5" customHeight="1" x14ac:dyDescent="0.35">
      <c r="B1954" s="12">
        <v>100</v>
      </c>
      <c r="C1954" s="7" t="s">
        <v>10502</v>
      </c>
      <c r="D1954" s="12">
        <v>55</v>
      </c>
      <c r="E1954" s="7" t="s">
        <v>10663</v>
      </c>
      <c r="F1954" s="7" t="s">
        <v>10664</v>
      </c>
      <c r="G1954" s="7" t="s">
        <v>831</v>
      </c>
      <c r="H1954" s="7" t="s">
        <v>218</v>
      </c>
      <c r="I1954" s="7" t="s">
        <v>5036</v>
      </c>
      <c r="J1954" s="7" t="s">
        <v>220</v>
      </c>
      <c r="K1954" s="7" t="s">
        <v>7688</v>
      </c>
      <c r="L1954" s="12">
        <v>2</v>
      </c>
      <c r="M1954" s="7" t="s">
        <v>173</v>
      </c>
    </row>
    <row r="1955" spans="2:13" ht="21.75" customHeight="1" x14ac:dyDescent="0.35">
      <c r="B1955" s="11">
        <v>100</v>
      </c>
      <c r="C1955" s="5" t="s">
        <v>10502</v>
      </c>
      <c r="D1955" s="11">
        <v>56</v>
      </c>
      <c r="E1955" s="5" t="s">
        <v>10665</v>
      </c>
      <c r="F1955" s="5" t="s">
        <v>10666</v>
      </c>
      <c r="G1955" s="5" t="s">
        <v>541</v>
      </c>
      <c r="H1955" s="5" t="s">
        <v>41</v>
      </c>
      <c r="I1955" s="5" t="s">
        <v>49</v>
      </c>
      <c r="J1955" s="5" t="s">
        <v>213</v>
      </c>
      <c r="K1955" s="5" t="s">
        <v>214</v>
      </c>
      <c r="L1955" s="11">
        <v>1</v>
      </c>
      <c r="M1955" s="5" t="s">
        <v>173</v>
      </c>
    </row>
    <row r="1956" spans="2:13" ht="21.75" customHeight="1" x14ac:dyDescent="0.35">
      <c r="B1956" s="12">
        <v>100</v>
      </c>
      <c r="C1956" s="7" t="s">
        <v>10502</v>
      </c>
      <c r="D1956" s="12">
        <v>57</v>
      </c>
      <c r="E1956" s="7" t="s">
        <v>10667</v>
      </c>
      <c r="F1956" s="7" t="s">
        <v>10668</v>
      </c>
      <c r="G1956" s="7" t="s">
        <v>749</v>
      </c>
      <c r="H1956" s="7" t="s">
        <v>37</v>
      </c>
      <c r="I1956" s="7" t="s">
        <v>51</v>
      </c>
      <c r="J1956" s="7" t="s">
        <v>194</v>
      </c>
      <c r="K1956" s="7" t="s">
        <v>5169</v>
      </c>
      <c r="L1956" s="12">
        <v>1</v>
      </c>
      <c r="M1956" s="7" t="s">
        <v>173</v>
      </c>
    </row>
    <row r="1957" spans="2:13" ht="37.5" customHeight="1" x14ac:dyDescent="0.35">
      <c r="B1957" s="11">
        <v>100</v>
      </c>
      <c r="C1957" s="5" t="s">
        <v>10502</v>
      </c>
      <c r="D1957" s="11">
        <v>58</v>
      </c>
      <c r="E1957" s="5" t="s">
        <v>10669</v>
      </c>
      <c r="F1957" s="5" t="s">
        <v>10670</v>
      </c>
      <c r="G1957" s="5" t="s">
        <v>638</v>
      </c>
      <c r="H1957" s="5" t="s">
        <v>4996</v>
      </c>
      <c r="I1957" s="5" t="s">
        <v>4971</v>
      </c>
      <c r="J1957" s="5" t="s">
        <v>220</v>
      </c>
      <c r="K1957" s="5" t="s">
        <v>7886</v>
      </c>
      <c r="L1957" s="11">
        <v>2</v>
      </c>
      <c r="M1957" s="5" t="s">
        <v>173</v>
      </c>
    </row>
    <row r="1958" spans="2:13" ht="21.75" customHeight="1" x14ac:dyDescent="0.35">
      <c r="B1958" s="12">
        <v>100</v>
      </c>
      <c r="C1958" s="7" t="s">
        <v>10502</v>
      </c>
      <c r="D1958" s="12">
        <v>59</v>
      </c>
      <c r="E1958" s="7" t="s">
        <v>10671</v>
      </c>
      <c r="F1958" s="7" t="s">
        <v>10672</v>
      </c>
      <c r="G1958" s="7" t="s">
        <v>645</v>
      </c>
      <c r="H1958" s="7" t="s">
        <v>37</v>
      </c>
      <c r="I1958" s="7" t="s">
        <v>51</v>
      </c>
      <c r="J1958" s="7" t="s">
        <v>194</v>
      </c>
      <c r="K1958" s="7" t="s">
        <v>5169</v>
      </c>
      <c r="L1958" s="12">
        <v>1</v>
      </c>
      <c r="M1958" s="7" t="s">
        <v>173</v>
      </c>
    </row>
    <row r="1959" spans="2:13" ht="21.75" customHeight="1" x14ac:dyDescent="0.35">
      <c r="B1959" s="11">
        <v>100</v>
      </c>
      <c r="C1959" s="5" t="s">
        <v>10502</v>
      </c>
      <c r="D1959" s="11">
        <v>60</v>
      </c>
      <c r="E1959" s="5" t="s">
        <v>10673</v>
      </c>
      <c r="F1959" s="5" t="s">
        <v>10674</v>
      </c>
      <c r="G1959" s="5" t="s">
        <v>862</v>
      </c>
      <c r="H1959" s="5" t="s">
        <v>40</v>
      </c>
      <c r="I1959" s="5" t="s">
        <v>54</v>
      </c>
      <c r="J1959" s="5" t="s">
        <v>213</v>
      </c>
      <c r="K1959" s="5" t="s">
        <v>254</v>
      </c>
      <c r="L1959" s="11">
        <v>1</v>
      </c>
      <c r="M1959" s="5" t="s">
        <v>173</v>
      </c>
    </row>
    <row r="1960" spans="2:13" ht="37.5" customHeight="1" x14ac:dyDescent="0.35">
      <c r="B1960" s="12">
        <v>100</v>
      </c>
      <c r="C1960" s="7" t="s">
        <v>10502</v>
      </c>
      <c r="D1960" s="12">
        <v>61</v>
      </c>
      <c r="E1960" s="7" t="s">
        <v>10675</v>
      </c>
      <c r="F1960" s="7" t="s">
        <v>10676</v>
      </c>
      <c r="G1960" s="7" t="s">
        <v>761</v>
      </c>
      <c r="H1960" s="7" t="s">
        <v>40</v>
      </c>
      <c r="I1960" s="7" t="s">
        <v>54</v>
      </c>
      <c r="J1960" s="7" t="s">
        <v>213</v>
      </c>
      <c r="K1960" s="7" t="s">
        <v>254</v>
      </c>
      <c r="L1960" s="12">
        <v>1</v>
      </c>
      <c r="M1960" s="7" t="s">
        <v>173</v>
      </c>
    </row>
    <row r="1961" spans="2:13" ht="37.5" customHeight="1" x14ac:dyDescent="0.35">
      <c r="B1961" s="11">
        <v>100</v>
      </c>
      <c r="C1961" s="5" t="s">
        <v>10502</v>
      </c>
      <c r="D1961" s="11">
        <v>62</v>
      </c>
      <c r="E1961" s="5" t="s">
        <v>10677</v>
      </c>
      <c r="F1961" s="5" t="s">
        <v>10678</v>
      </c>
      <c r="G1961" s="5" t="s">
        <v>6090</v>
      </c>
      <c r="H1961" s="5" t="s">
        <v>44</v>
      </c>
      <c r="I1961" s="5" t="s">
        <v>8593</v>
      </c>
      <c r="J1961" s="5" t="s">
        <v>213</v>
      </c>
      <c r="K1961" s="5" t="s">
        <v>10679</v>
      </c>
      <c r="L1961" s="11">
        <v>1</v>
      </c>
      <c r="M1961" s="5" t="s">
        <v>173</v>
      </c>
    </row>
    <row r="1962" spans="2:13" ht="37.5" customHeight="1" x14ac:dyDescent="0.35">
      <c r="B1962" s="12">
        <v>100</v>
      </c>
      <c r="C1962" s="7" t="s">
        <v>10502</v>
      </c>
      <c r="D1962" s="12">
        <v>63</v>
      </c>
      <c r="E1962" s="7" t="s">
        <v>10680</v>
      </c>
      <c r="F1962" s="7" t="s">
        <v>10681</v>
      </c>
      <c r="G1962" s="7" t="s">
        <v>701</v>
      </c>
      <c r="H1962" s="7" t="s">
        <v>40</v>
      </c>
      <c r="I1962" s="7" t="s">
        <v>54</v>
      </c>
      <c r="J1962" s="7" t="s">
        <v>213</v>
      </c>
      <c r="K1962" s="7" t="s">
        <v>254</v>
      </c>
      <c r="L1962" s="12">
        <v>1</v>
      </c>
      <c r="M1962" s="7" t="s">
        <v>173</v>
      </c>
    </row>
    <row r="1963" spans="2:13" ht="37.5" customHeight="1" x14ac:dyDescent="0.35">
      <c r="B1963" s="11">
        <v>100</v>
      </c>
      <c r="C1963" s="5" t="s">
        <v>10502</v>
      </c>
      <c r="D1963" s="11">
        <v>64</v>
      </c>
      <c r="E1963" s="5" t="s">
        <v>10682</v>
      </c>
      <c r="F1963" s="5" t="s">
        <v>10683</v>
      </c>
      <c r="G1963" s="5" t="s">
        <v>939</v>
      </c>
      <c r="H1963" s="5" t="s">
        <v>38</v>
      </c>
      <c r="I1963" s="5" t="s">
        <v>268</v>
      </c>
      <c r="J1963" s="5" t="s">
        <v>154</v>
      </c>
      <c r="K1963" s="5" t="s">
        <v>7236</v>
      </c>
      <c r="L1963" s="11">
        <v>1</v>
      </c>
      <c r="M1963" s="5" t="s">
        <v>173</v>
      </c>
    </row>
    <row r="1964" spans="2:13" ht="37.5" customHeight="1" x14ac:dyDescent="0.35">
      <c r="B1964" s="12">
        <v>100</v>
      </c>
      <c r="C1964" s="7" t="s">
        <v>10502</v>
      </c>
      <c r="D1964" s="12">
        <v>65</v>
      </c>
      <c r="E1964" s="7" t="s">
        <v>10684</v>
      </c>
      <c r="F1964" s="7" t="s">
        <v>10685</v>
      </c>
      <c r="G1964" s="7" t="s">
        <v>573</v>
      </c>
      <c r="H1964" s="7" t="s">
        <v>4676</v>
      </c>
      <c r="I1964" s="7" t="s">
        <v>49</v>
      </c>
      <c r="J1964" s="7" t="s">
        <v>213</v>
      </c>
      <c r="K1964" s="7" t="s">
        <v>7362</v>
      </c>
      <c r="L1964" s="12">
        <v>1</v>
      </c>
      <c r="M1964" s="7" t="s">
        <v>173</v>
      </c>
    </row>
    <row r="1965" spans="2:13" ht="21.75" customHeight="1" x14ac:dyDescent="0.35">
      <c r="B1965" s="11">
        <v>100</v>
      </c>
      <c r="C1965" s="5" t="s">
        <v>10502</v>
      </c>
      <c r="D1965" s="11">
        <v>66</v>
      </c>
      <c r="E1965" s="5" t="s">
        <v>10686</v>
      </c>
      <c r="F1965" s="5" t="s">
        <v>10687</v>
      </c>
      <c r="G1965" s="5" t="s">
        <v>3371</v>
      </c>
      <c r="H1965" s="5" t="s">
        <v>37</v>
      </c>
      <c r="I1965" s="5" t="s">
        <v>51</v>
      </c>
      <c r="J1965" s="5" t="s">
        <v>194</v>
      </c>
      <c r="K1965" s="5" t="s">
        <v>5169</v>
      </c>
      <c r="L1965" s="11">
        <v>1</v>
      </c>
      <c r="M1965" s="5" t="s">
        <v>173</v>
      </c>
    </row>
    <row r="1966" spans="2:13" ht="21.75" customHeight="1" x14ac:dyDescent="0.35">
      <c r="B1966" s="12">
        <v>100</v>
      </c>
      <c r="C1966" s="7" t="s">
        <v>10502</v>
      </c>
      <c r="D1966" s="12">
        <v>67</v>
      </c>
      <c r="E1966" s="7" t="s">
        <v>10688</v>
      </c>
      <c r="F1966" s="7" t="s">
        <v>10689</v>
      </c>
      <c r="G1966" s="7" t="s">
        <v>900</v>
      </c>
      <c r="H1966" s="7" t="s">
        <v>37</v>
      </c>
      <c r="I1966" s="7" t="s">
        <v>51</v>
      </c>
      <c r="J1966" s="7" t="s">
        <v>194</v>
      </c>
      <c r="K1966" s="7" t="s">
        <v>5169</v>
      </c>
      <c r="L1966" s="12">
        <v>1</v>
      </c>
      <c r="M1966" s="7" t="s">
        <v>173</v>
      </c>
    </row>
    <row r="1967" spans="2:13" ht="37.5" customHeight="1" x14ac:dyDescent="0.35">
      <c r="B1967" s="11">
        <v>100</v>
      </c>
      <c r="C1967" s="5" t="s">
        <v>10502</v>
      </c>
      <c r="D1967" s="11">
        <v>68</v>
      </c>
      <c r="E1967" s="5" t="s">
        <v>10690</v>
      </c>
      <c r="F1967" s="5" t="s">
        <v>10691</v>
      </c>
      <c r="G1967" s="5" t="s">
        <v>285</v>
      </c>
      <c r="H1967" s="5" t="s">
        <v>218</v>
      </c>
      <c r="I1967" s="5" t="s">
        <v>5036</v>
      </c>
      <c r="J1967" s="5" t="s">
        <v>220</v>
      </c>
      <c r="K1967" s="5" t="s">
        <v>7688</v>
      </c>
      <c r="L1967" s="11">
        <v>2</v>
      </c>
      <c r="M1967" s="5" t="s">
        <v>173</v>
      </c>
    </row>
    <row r="1968" spans="2:13" ht="21.75" customHeight="1" x14ac:dyDescent="0.35">
      <c r="B1968" s="12">
        <v>100</v>
      </c>
      <c r="C1968" s="7" t="s">
        <v>10502</v>
      </c>
      <c r="D1968" s="12">
        <v>69</v>
      </c>
      <c r="E1968" s="7" t="s">
        <v>10692</v>
      </c>
      <c r="F1968" s="7" t="s">
        <v>10693</v>
      </c>
      <c r="G1968" s="7" t="s">
        <v>1692</v>
      </c>
      <c r="H1968" s="7" t="s">
        <v>37</v>
      </c>
      <c r="I1968" s="7" t="s">
        <v>51</v>
      </c>
      <c r="J1968" s="7" t="s">
        <v>194</v>
      </c>
      <c r="K1968" s="7" t="s">
        <v>5169</v>
      </c>
      <c r="L1968" s="12">
        <v>1</v>
      </c>
      <c r="M1968" s="7" t="s">
        <v>173</v>
      </c>
    </row>
    <row r="1969" spans="2:13" ht="37.5" customHeight="1" x14ac:dyDescent="0.35">
      <c r="B1969" s="11">
        <v>100</v>
      </c>
      <c r="C1969" s="5" t="s">
        <v>10502</v>
      </c>
      <c r="D1969" s="11">
        <v>70</v>
      </c>
      <c r="E1969" s="5" t="s">
        <v>10694</v>
      </c>
      <c r="F1969" s="5" t="s">
        <v>10695</v>
      </c>
      <c r="G1969" s="5" t="s">
        <v>616</v>
      </c>
      <c r="H1969" s="5" t="s">
        <v>37</v>
      </c>
      <c r="I1969" s="5" t="s">
        <v>51</v>
      </c>
      <c r="J1969" s="5" t="s">
        <v>194</v>
      </c>
      <c r="K1969" s="5" t="s">
        <v>5169</v>
      </c>
      <c r="L1969" s="11">
        <v>1</v>
      </c>
      <c r="M1969" s="5" t="s">
        <v>173</v>
      </c>
    </row>
    <row r="1970" spans="2:13" ht="21.75" customHeight="1" x14ac:dyDescent="0.35">
      <c r="B1970" s="12">
        <v>100</v>
      </c>
      <c r="C1970" s="7" t="s">
        <v>10502</v>
      </c>
      <c r="D1970" s="12">
        <v>71</v>
      </c>
      <c r="E1970" s="7" t="s">
        <v>10696</v>
      </c>
      <c r="F1970" s="7" t="s">
        <v>10697</v>
      </c>
      <c r="G1970" s="7" t="s">
        <v>800</v>
      </c>
      <c r="H1970" s="7" t="s">
        <v>37</v>
      </c>
      <c r="I1970" s="7" t="s">
        <v>51</v>
      </c>
      <c r="J1970" s="7" t="s">
        <v>194</v>
      </c>
      <c r="K1970" s="7" t="s">
        <v>5169</v>
      </c>
      <c r="L1970" s="12">
        <v>1</v>
      </c>
      <c r="M1970" s="7" t="s">
        <v>173</v>
      </c>
    </row>
    <row r="1971" spans="2:13" ht="21.75" customHeight="1" x14ac:dyDescent="0.35">
      <c r="B1971" s="11">
        <v>100</v>
      </c>
      <c r="C1971" s="5" t="s">
        <v>10502</v>
      </c>
      <c r="D1971" s="11">
        <v>72</v>
      </c>
      <c r="E1971" s="5" t="s">
        <v>10698</v>
      </c>
      <c r="F1971" s="5" t="s">
        <v>10699</v>
      </c>
      <c r="G1971" s="5" t="s">
        <v>2529</v>
      </c>
      <c r="H1971" s="5" t="s">
        <v>41</v>
      </c>
      <c r="I1971" s="5" t="s">
        <v>49</v>
      </c>
      <c r="J1971" s="5" t="s">
        <v>213</v>
      </c>
      <c r="K1971" s="5" t="s">
        <v>214</v>
      </c>
      <c r="L1971" s="11">
        <v>1</v>
      </c>
      <c r="M1971" s="5" t="s">
        <v>173</v>
      </c>
    </row>
    <row r="1972" spans="2:13" ht="37.5" customHeight="1" x14ac:dyDescent="0.35">
      <c r="B1972" s="12">
        <v>100</v>
      </c>
      <c r="C1972" s="7" t="s">
        <v>10502</v>
      </c>
      <c r="D1972" s="12">
        <v>73</v>
      </c>
      <c r="E1972" s="7" t="s">
        <v>10700</v>
      </c>
      <c r="F1972" s="7" t="s">
        <v>10701</v>
      </c>
      <c r="G1972" s="7" t="s">
        <v>856</v>
      </c>
      <c r="H1972" s="7" t="s">
        <v>218</v>
      </c>
      <c r="I1972" s="7" t="s">
        <v>5036</v>
      </c>
      <c r="J1972" s="7" t="s">
        <v>220</v>
      </c>
      <c r="K1972" s="7" t="s">
        <v>7688</v>
      </c>
      <c r="L1972" s="12">
        <v>2</v>
      </c>
      <c r="M1972" s="7" t="s">
        <v>173</v>
      </c>
    </row>
    <row r="1973" spans="2:13" ht="21.75" customHeight="1" x14ac:dyDescent="0.35">
      <c r="B1973" s="11">
        <v>100</v>
      </c>
      <c r="C1973" s="5" t="s">
        <v>10502</v>
      </c>
      <c r="D1973" s="11">
        <v>74</v>
      </c>
      <c r="E1973" s="5" t="s">
        <v>10702</v>
      </c>
      <c r="F1973" s="5" t="s">
        <v>10703</v>
      </c>
      <c r="G1973" s="5" t="s">
        <v>794</v>
      </c>
      <c r="H1973" s="5" t="s">
        <v>41</v>
      </c>
      <c r="I1973" s="5" t="s">
        <v>49</v>
      </c>
      <c r="J1973" s="5" t="s">
        <v>213</v>
      </c>
      <c r="K1973" s="5" t="s">
        <v>214</v>
      </c>
      <c r="L1973" s="11">
        <v>1</v>
      </c>
      <c r="M1973" s="5" t="s">
        <v>173</v>
      </c>
    </row>
    <row r="1974" spans="2:13" ht="37.5" customHeight="1" x14ac:dyDescent="0.35">
      <c r="B1974" s="12">
        <v>100</v>
      </c>
      <c r="C1974" s="7" t="s">
        <v>10502</v>
      </c>
      <c r="D1974" s="12">
        <v>75</v>
      </c>
      <c r="E1974" s="7" t="s">
        <v>10704</v>
      </c>
      <c r="F1974" s="7" t="s">
        <v>10705</v>
      </c>
      <c r="G1974" s="7" t="s">
        <v>10706</v>
      </c>
      <c r="H1974" s="7" t="s">
        <v>4676</v>
      </c>
      <c r="I1974" s="7" t="s">
        <v>49</v>
      </c>
      <c r="J1974" s="7" t="s">
        <v>213</v>
      </c>
      <c r="K1974" s="7" t="s">
        <v>7362</v>
      </c>
      <c r="L1974" s="12">
        <v>1</v>
      </c>
      <c r="M1974" s="7" t="s">
        <v>173</v>
      </c>
    </row>
    <row r="1975" spans="2:13" ht="21.75" customHeight="1" x14ac:dyDescent="0.35">
      <c r="B1975" s="11">
        <v>100</v>
      </c>
      <c r="C1975" s="5" t="s">
        <v>10502</v>
      </c>
      <c r="D1975" s="11">
        <v>76</v>
      </c>
      <c r="E1975" s="5" t="s">
        <v>10707</v>
      </c>
      <c r="F1975" s="5" t="s">
        <v>10708</v>
      </c>
      <c r="G1975" s="5" t="s">
        <v>791</v>
      </c>
      <c r="H1975" s="5" t="s">
        <v>37</v>
      </c>
      <c r="I1975" s="5" t="s">
        <v>51</v>
      </c>
      <c r="J1975" s="5" t="s">
        <v>194</v>
      </c>
      <c r="K1975" s="5" t="s">
        <v>5169</v>
      </c>
      <c r="L1975" s="11">
        <v>1</v>
      </c>
      <c r="M1975" s="5" t="s">
        <v>173</v>
      </c>
    </row>
    <row r="1976" spans="2:13" ht="21.75" customHeight="1" x14ac:dyDescent="0.35">
      <c r="B1976" s="12">
        <v>100</v>
      </c>
      <c r="C1976" s="7" t="s">
        <v>10502</v>
      </c>
      <c r="D1976" s="12">
        <v>77</v>
      </c>
      <c r="E1976" s="7" t="s">
        <v>10709</v>
      </c>
      <c r="F1976" s="7" t="s">
        <v>10710</v>
      </c>
      <c r="G1976" s="7" t="s">
        <v>918</v>
      </c>
      <c r="H1976" s="7" t="s">
        <v>37</v>
      </c>
      <c r="I1976" s="7" t="s">
        <v>51</v>
      </c>
      <c r="J1976" s="7" t="s">
        <v>194</v>
      </c>
      <c r="K1976" s="7" t="s">
        <v>5169</v>
      </c>
      <c r="L1976" s="12">
        <v>1</v>
      </c>
      <c r="M1976" s="7" t="s">
        <v>173</v>
      </c>
    </row>
    <row r="1977" spans="2:13" ht="37.5" customHeight="1" x14ac:dyDescent="0.35">
      <c r="B1977" s="11">
        <v>100</v>
      </c>
      <c r="C1977" s="5" t="s">
        <v>10502</v>
      </c>
      <c r="D1977" s="11">
        <v>78</v>
      </c>
      <c r="E1977" s="5" t="s">
        <v>10711</v>
      </c>
      <c r="F1977" s="5" t="s">
        <v>10712</v>
      </c>
      <c r="G1977" s="5" t="s">
        <v>778</v>
      </c>
      <c r="H1977" s="5" t="s">
        <v>238</v>
      </c>
      <c r="I1977" s="5" t="s">
        <v>239</v>
      </c>
      <c r="J1977" s="5" t="s">
        <v>240</v>
      </c>
      <c r="K1977" s="5" t="s">
        <v>241</v>
      </c>
      <c r="L1977" s="11">
        <v>2</v>
      </c>
      <c r="M1977" s="5" t="s">
        <v>173</v>
      </c>
    </row>
    <row r="1978" spans="2:13" ht="21.75" customHeight="1" x14ac:dyDescent="0.35">
      <c r="B1978" s="12">
        <v>100</v>
      </c>
      <c r="C1978" s="7" t="s">
        <v>10502</v>
      </c>
      <c r="D1978" s="12">
        <v>79</v>
      </c>
      <c r="E1978" s="7" t="s">
        <v>10713</v>
      </c>
      <c r="F1978" s="7" t="s">
        <v>10714</v>
      </c>
      <c r="G1978" s="7" t="s">
        <v>1183</v>
      </c>
      <c r="H1978" s="7" t="s">
        <v>40</v>
      </c>
      <c r="I1978" s="7" t="s">
        <v>54</v>
      </c>
      <c r="J1978" s="7" t="s">
        <v>213</v>
      </c>
      <c r="K1978" s="7" t="s">
        <v>254</v>
      </c>
      <c r="L1978" s="12">
        <v>1</v>
      </c>
      <c r="M1978" s="7" t="s">
        <v>173</v>
      </c>
    </row>
    <row r="1979" spans="2:13" ht="37.5" customHeight="1" x14ac:dyDescent="0.35">
      <c r="B1979" s="11">
        <v>100</v>
      </c>
      <c r="C1979" s="5" t="s">
        <v>10502</v>
      </c>
      <c r="D1979" s="11">
        <v>80</v>
      </c>
      <c r="E1979" s="5" t="s">
        <v>10715</v>
      </c>
      <c r="F1979" s="5" t="s">
        <v>10716</v>
      </c>
      <c r="G1979" s="5" t="s">
        <v>727</v>
      </c>
      <c r="H1979" s="5" t="s">
        <v>218</v>
      </c>
      <c r="I1979" s="5" t="s">
        <v>5036</v>
      </c>
      <c r="J1979" s="5" t="s">
        <v>220</v>
      </c>
      <c r="K1979" s="5" t="s">
        <v>7688</v>
      </c>
      <c r="L1979" s="11">
        <v>2</v>
      </c>
      <c r="M1979" s="5" t="s">
        <v>173</v>
      </c>
    </row>
    <row r="1980" spans="2:13" ht="37.5" customHeight="1" x14ac:dyDescent="0.35">
      <c r="B1980" s="12">
        <v>100</v>
      </c>
      <c r="C1980" s="7" t="s">
        <v>10502</v>
      </c>
      <c r="D1980" s="12">
        <v>81</v>
      </c>
      <c r="E1980" s="7" t="s">
        <v>10717</v>
      </c>
      <c r="F1980" s="7" t="s">
        <v>10718</v>
      </c>
      <c r="G1980" s="7" t="s">
        <v>733</v>
      </c>
      <c r="H1980" s="7" t="s">
        <v>37</v>
      </c>
      <c r="I1980" s="7" t="s">
        <v>49</v>
      </c>
      <c r="J1980" s="7" t="s">
        <v>194</v>
      </c>
      <c r="K1980" s="7" t="s">
        <v>10719</v>
      </c>
      <c r="L1980" s="12">
        <v>1</v>
      </c>
      <c r="M1980" s="7" t="s">
        <v>173</v>
      </c>
    </row>
    <row r="1981" spans="2:13" ht="21.75" customHeight="1" x14ac:dyDescent="0.35">
      <c r="B1981" s="11">
        <v>100</v>
      </c>
      <c r="C1981" s="5" t="s">
        <v>10502</v>
      </c>
      <c r="D1981" s="11">
        <v>82</v>
      </c>
      <c r="E1981" s="5" t="s">
        <v>10720</v>
      </c>
      <c r="F1981" s="5" t="s">
        <v>10721</v>
      </c>
      <c r="G1981" s="5" t="s">
        <v>1713</v>
      </c>
      <c r="H1981" s="5" t="s">
        <v>37</v>
      </c>
      <c r="I1981" s="5" t="s">
        <v>51</v>
      </c>
      <c r="J1981" s="5" t="s">
        <v>194</v>
      </c>
      <c r="K1981" s="5" t="s">
        <v>5169</v>
      </c>
      <c r="L1981" s="11">
        <v>1</v>
      </c>
      <c r="M1981" s="5" t="s">
        <v>173</v>
      </c>
    </row>
    <row r="1982" spans="2:13" ht="37.5" customHeight="1" x14ac:dyDescent="0.35">
      <c r="B1982" s="12">
        <v>100</v>
      </c>
      <c r="C1982" s="7" t="s">
        <v>10502</v>
      </c>
      <c r="D1982" s="12">
        <v>83</v>
      </c>
      <c r="E1982" s="7" t="s">
        <v>10722</v>
      </c>
      <c r="F1982" s="7" t="s">
        <v>10723</v>
      </c>
      <c r="G1982" s="7" t="s">
        <v>552</v>
      </c>
      <c r="H1982" s="7" t="s">
        <v>37</v>
      </c>
      <c r="I1982" s="7" t="s">
        <v>51</v>
      </c>
      <c r="J1982" s="7" t="s">
        <v>194</v>
      </c>
      <c r="K1982" s="7" t="s">
        <v>5169</v>
      </c>
      <c r="L1982" s="12">
        <v>1</v>
      </c>
      <c r="M1982" s="7" t="s">
        <v>173</v>
      </c>
    </row>
    <row r="1983" spans="2:13" ht="37.5" customHeight="1" x14ac:dyDescent="0.35">
      <c r="B1983" s="11">
        <v>100</v>
      </c>
      <c r="C1983" s="5" t="s">
        <v>10502</v>
      </c>
      <c r="D1983" s="11">
        <v>84</v>
      </c>
      <c r="E1983" s="5" t="s">
        <v>10724</v>
      </c>
      <c r="F1983" s="5" t="s">
        <v>10725</v>
      </c>
      <c r="G1983" s="5" t="s">
        <v>282</v>
      </c>
      <c r="H1983" s="5" t="s">
        <v>37</v>
      </c>
      <c r="I1983" s="5" t="s">
        <v>51</v>
      </c>
      <c r="J1983" s="5" t="s">
        <v>194</v>
      </c>
      <c r="K1983" s="5" t="s">
        <v>5169</v>
      </c>
      <c r="L1983" s="11">
        <v>1</v>
      </c>
      <c r="M1983" s="5" t="s">
        <v>173</v>
      </c>
    </row>
    <row r="1984" spans="2:13" ht="37.5" customHeight="1" x14ac:dyDescent="0.35">
      <c r="B1984" s="12">
        <v>100</v>
      </c>
      <c r="C1984" s="7" t="s">
        <v>10502</v>
      </c>
      <c r="D1984" s="12">
        <v>85</v>
      </c>
      <c r="E1984" s="7" t="s">
        <v>10726</v>
      </c>
      <c r="F1984" s="7" t="s">
        <v>10727</v>
      </c>
      <c r="G1984" s="7" t="s">
        <v>33</v>
      </c>
      <c r="H1984" s="7" t="s">
        <v>37</v>
      </c>
      <c r="I1984" s="7" t="s">
        <v>51</v>
      </c>
      <c r="J1984" s="7" t="s">
        <v>194</v>
      </c>
      <c r="K1984" s="7" t="s">
        <v>5169</v>
      </c>
      <c r="L1984" s="12">
        <v>1</v>
      </c>
      <c r="M1984" s="7" t="s">
        <v>173</v>
      </c>
    </row>
    <row r="1985" spans="2:13" ht="21.75" customHeight="1" x14ac:dyDescent="0.35">
      <c r="B1985" s="11">
        <v>100</v>
      </c>
      <c r="C1985" s="5" t="s">
        <v>10502</v>
      </c>
      <c r="D1985" s="11">
        <v>86</v>
      </c>
      <c r="E1985" s="5" t="s">
        <v>10728</v>
      </c>
      <c r="F1985" s="5" t="s">
        <v>10729</v>
      </c>
      <c r="G1985" s="5" t="s">
        <v>956</v>
      </c>
      <c r="H1985" s="5" t="s">
        <v>37</v>
      </c>
      <c r="I1985" s="5" t="s">
        <v>51</v>
      </c>
      <c r="J1985" s="5" t="s">
        <v>194</v>
      </c>
      <c r="K1985" s="5" t="s">
        <v>5169</v>
      </c>
      <c r="L1985" s="11">
        <v>1</v>
      </c>
      <c r="M1985" s="5" t="s">
        <v>173</v>
      </c>
    </row>
    <row r="1986" spans="2:13" ht="37.5" customHeight="1" x14ac:dyDescent="0.35">
      <c r="B1986" s="12">
        <v>100</v>
      </c>
      <c r="C1986" s="7" t="s">
        <v>10502</v>
      </c>
      <c r="D1986" s="12">
        <v>87</v>
      </c>
      <c r="E1986" s="7" t="s">
        <v>10730</v>
      </c>
      <c r="F1986" s="7" t="s">
        <v>10731</v>
      </c>
      <c r="G1986" s="7" t="s">
        <v>237</v>
      </c>
      <c r="H1986" s="7" t="s">
        <v>4676</v>
      </c>
      <c r="I1986" s="7" t="s">
        <v>49</v>
      </c>
      <c r="J1986" s="7" t="s">
        <v>213</v>
      </c>
      <c r="K1986" s="7" t="s">
        <v>7362</v>
      </c>
      <c r="L1986" s="12">
        <v>1</v>
      </c>
      <c r="M1986" s="7" t="s">
        <v>173</v>
      </c>
    </row>
    <row r="1987" spans="2:13" ht="21.75" customHeight="1" x14ac:dyDescent="0.35">
      <c r="B1987" s="11">
        <v>100</v>
      </c>
      <c r="C1987" s="5" t="s">
        <v>10502</v>
      </c>
      <c r="D1987" s="11">
        <v>88</v>
      </c>
      <c r="E1987" s="5" t="s">
        <v>10732</v>
      </c>
      <c r="F1987" s="5" t="s">
        <v>10733</v>
      </c>
      <c r="G1987" s="5" t="s">
        <v>950</v>
      </c>
      <c r="H1987" s="5" t="s">
        <v>40</v>
      </c>
      <c r="I1987" s="5" t="s">
        <v>54</v>
      </c>
      <c r="J1987" s="5" t="s">
        <v>213</v>
      </c>
      <c r="K1987" s="5" t="s">
        <v>254</v>
      </c>
      <c r="L1987" s="11">
        <v>1</v>
      </c>
      <c r="M1987" s="5" t="s">
        <v>173</v>
      </c>
    </row>
    <row r="1988" spans="2:13" ht="21.75" customHeight="1" x14ac:dyDescent="0.35">
      <c r="B1988" s="12">
        <v>100</v>
      </c>
      <c r="C1988" s="7" t="s">
        <v>10502</v>
      </c>
      <c r="D1988" s="12">
        <v>89</v>
      </c>
      <c r="E1988" s="7" t="s">
        <v>10734</v>
      </c>
      <c r="F1988" s="7" t="s">
        <v>10735</v>
      </c>
      <c r="G1988" s="7" t="s">
        <v>1787</v>
      </c>
      <c r="H1988" s="7" t="s">
        <v>40</v>
      </c>
      <c r="I1988" s="7" t="s">
        <v>54</v>
      </c>
      <c r="J1988" s="7" t="s">
        <v>233</v>
      </c>
      <c r="K1988" s="7" t="s">
        <v>9416</v>
      </c>
      <c r="L1988" s="12">
        <v>1</v>
      </c>
      <c r="M1988" s="7" t="s">
        <v>173</v>
      </c>
    </row>
    <row r="1989" spans="2:13" ht="37.5" customHeight="1" x14ac:dyDescent="0.35">
      <c r="B1989" s="11">
        <v>100</v>
      </c>
      <c r="C1989" s="5" t="s">
        <v>10502</v>
      </c>
      <c r="D1989" s="11">
        <v>90</v>
      </c>
      <c r="E1989" s="5" t="s">
        <v>10736</v>
      </c>
      <c r="F1989" s="5" t="s">
        <v>10737</v>
      </c>
      <c r="G1989" s="5" t="s">
        <v>10073</v>
      </c>
      <c r="H1989" s="5" t="s">
        <v>40</v>
      </c>
      <c r="I1989" s="5" t="s">
        <v>54</v>
      </c>
      <c r="J1989" s="5" t="s">
        <v>213</v>
      </c>
      <c r="K1989" s="5" t="s">
        <v>254</v>
      </c>
      <c r="L1989" s="11">
        <v>1</v>
      </c>
      <c r="M1989" s="5" t="s">
        <v>173</v>
      </c>
    </row>
    <row r="1990" spans="2:13" ht="37.5" customHeight="1" x14ac:dyDescent="0.35">
      <c r="B1990" s="12">
        <v>100</v>
      </c>
      <c r="C1990" s="7" t="s">
        <v>10502</v>
      </c>
      <c r="D1990" s="12">
        <v>91</v>
      </c>
      <c r="E1990" s="7" t="s">
        <v>10738</v>
      </c>
      <c r="F1990" s="7" t="s">
        <v>10739</v>
      </c>
      <c r="G1990" s="7" t="s">
        <v>3946</v>
      </c>
      <c r="H1990" s="7" t="s">
        <v>40</v>
      </c>
      <c r="I1990" s="7" t="s">
        <v>54</v>
      </c>
      <c r="J1990" s="7" t="s">
        <v>213</v>
      </c>
      <c r="K1990" s="7" t="s">
        <v>254</v>
      </c>
      <c r="L1990" s="12">
        <v>1</v>
      </c>
      <c r="M1990" s="7" t="s">
        <v>173</v>
      </c>
    </row>
    <row r="1991" spans="2:13" ht="37.5" customHeight="1" x14ac:dyDescent="0.35">
      <c r="B1991" s="11">
        <v>100</v>
      </c>
      <c r="C1991" s="5" t="s">
        <v>10502</v>
      </c>
      <c r="D1991" s="11">
        <v>92</v>
      </c>
      <c r="E1991" s="5" t="s">
        <v>10740</v>
      </c>
      <c r="F1991" s="5" t="s">
        <v>10741</v>
      </c>
      <c r="G1991" s="5" t="s">
        <v>871</v>
      </c>
      <c r="H1991" s="5" t="s">
        <v>40</v>
      </c>
      <c r="I1991" s="5" t="s">
        <v>54</v>
      </c>
      <c r="J1991" s="5" t="s">
        <v>213</v>
      </c>
      <c r="K1991" s="5" t="s">
        <v>254</v>
      </c>
      <c r="L1991" s="11">
        <v>1</v>
      </c>
      <c r="M1991" s="5" t="s">
        <v>173</v>
      </c>
    </row>
    <row r="1992" spans="2:13" ht="21.75" customHeight="1" x14ac:dyDescent="0.35">
      <c r="B1992" s="12">
        <v>100</v>
      </c>
      <c r="C1992" s="7" t="s">
        <v>10502</v>
      </c>
      <c r="D1992" s="12">
        <v>93</v>
      </c>
      <c r="E1992" s="7" t="s">
        <v>10742</v>
      </c>
      <c r="F1992" s="7" t="s">
        <v>10743</v>
      </c>
      <c r="G1992" s="7" t="s">
        <v>749</v>
      </c>
      <c r="H1992" s="7" t="s">
        <v>40</v>
      </c>
      <c r="I1992" s="7" t="s">
        <v>54</v>
      </c>
      <c r="J1992" s="7" t="s">
        <v>213</v>
      </c>
      <c r="K1992" s="7" t="s">
        <v>254</v>
      </c>
      <c r="L1992" s="12">
        <v>1</v>
      </c>
      <c r="M1992" s="7" t="s">
        <v>173</v>
      </c>
    </row>
    <row r="1993" spans="2:13" ht="37.5" customHeight="1" x14ac:dyDescent="0.35">
      <c r="B1993" s="11">
        <v>100</v>
      </c>
      <c r="C1993" s="5" t="s">
        <v>10502</v>
      </c>
      <c r="D1993" s="11">
        <v>94</v>
      </c>
      <c r="E1993" s="5" t="s">
        <v>10744</v>
      </c>
      <c r="F1993" s="5" t="s">
        <v>10745</v>
      </c>
      <c r="G1993" s="5" t="s">
        <v>5408</v>
      </c>
      <c r="H1993" s="5" t="s">
        <v>38</v>
      </c>
      <c r="I1993" s="5" t="s">
        <v>268</v>
      </c>
      <c r="J1993" s="5" t="s">
        <v>1069</v>
      </c>
      <c r="K1993" s="5" t="s">
        <v>10622</v>
      </c>
      <c r="L1993" s="11">
        <v>1</v>
      </c>
      <c r="M1993" s="5" t="s">
        <v>173</v>
      </c>
    </row>
    <row r="1994" spans="2:13" ht="21.75" customHeight="1" x14ac:dyDescent="0.35">
      <c r="B1994" s="12">
        <v>100</v>
      </c>
      <c r="C1994" s="7" t="s">
        <v>10502</v>
      </c>
      <c r="D1994" s="12">
        <v>95</v>
      </c>
      <c r="E1994" s="7" t="s">
        <v>10746</v>
      </c>
      <c r="F1994" s="7" t="s">
        <v>10747</v>
      </c>
      <c r="G1994" s="7" t="s">
        <v>749</v>
      </c>
      <c r="H1994" s="7" t="s">
        <v>44</v>
      </c>
      <c r="I1994" s="7" t="s">
        <v>49</v>
      </c>
      <c r="J1994" s="7" t="s">
        <v>213</v>
      </c>
      <c r="K1994" s="7" t="s">
        <v>6308</v>
      </c>
      <c r="L1994" s="12">
        <v>1</v>
      </c>
      <c r="M1994" s="7" t="s">
        <v>173</v>
      </c>
    </row>
    <row r="1995" spans="2:13" ht="21.75" customHeight="1" x14ac:dyDescent="0.35">
      <c r="B1995" s="11">
        <v>100</v>
      </c>
      <c r="C1995" s="5" t="s">
        <v>10502</v>
      </c>
      <c r="D1995" s="11">
        <v>96</v>
      </c>
      <c r="E1995" s="5" t="s">
        <v>10748</v>
      </c>
      <c r="F1995" s="5" t="s">
        <v>10749</v>
      </c>
      <c r="G1995" s="5" t="s">
        <v>10750</v>
      </c>
      <c r="H1995" s="5" t="s">
        <v>37</v>
      </c>
      <c r="I1995" s="5" t="s">
        <v>51</v>
      </c>
      <c r="J1995" s="5" t="s">
        <v>10751</v>
      </c>
      <c r="K1995" s="5" t="s">
        <v>10752</v>
      </c>
      <c r="L1995" s="11">
        <v>1</v>
      </c>
      <c r="M1995" s="5" t="s">
        <v>173</v>
      </c>
    </row>
    <row r="1996" spans="2:13" ht="21.75" customHeight="1" x14ac:dyDescent="0.35">
      <c r="B1996" s="12">
        <v>100</v>
      </c>
      <c r="C1996" s="7" t="s">
        <v>10502</v>
      </c>
      <c r="D1996" s="12">
        <v>97</v>
      </c>
      <c r="E1996" s="7" t="s">
        <v>10753</v>
      </c>
      <c r="F1996" s="7" t="s">
        <v>10754</v>
      </c>
      <c r="G1996" s="7" t="s">
        <v>897</v>
      </c>
      <c r="H1996" s="7" t="s">
        <v>37</v>
      </c>
      <c r="I1996" s="7" t="s">
        <v>51</v>
      </c>
      <c r="J1996" s="7" t="s">
        <v>194</v>
      </c>
      <c r="K1996" s="7" t="s">
        <v>5169</v>
      </c>
      <c r="L1996" s="12">
        <v>1</v>
      </c>
      <c r="M1996" s="7" t="s">
        <v>173</v>
      </c>
    </row>
    <row r="1997" spans="2:13" ht="21.75" customHeight="1" x14ac:dyDescent="0.35">
      <c r="B1997" s="11">
        <v>100</v>
      </c>
      <c r="C1997" s="5" t="s">
        <v>10502</v>
      </c>
      <c r="D1997" s="11">
        <v>98</v>
      </c>
      <c r="E1997" s="5" t="s">
        <v>10755</v>
      </c>
      <c r="F1997" s="5" t="s">
        <v>10756</v>
      </c>
      <c r="G1997" s="5" t="s">
        <v>1180</v>
      </c>
      <c r="H1997" s="5" t="s">
        <v>37</v>
      </c>
      <c r="I1997" s="5" t="s">
        <v>51</v>
      </c>
      <c r="J1997" s="5" t="s">
        <v>2617</v>
      </c>
      <c r="K1997" s="5" t="s">
        <v>10059</v>
      </c>
      <c r="L1997" s="11">
        <v>1</v>
      </c>
      <c r="M1997" s="5" t="s">
        <v>173</v>
      </c>
    </row>
    <row r="1998" spans="2:13" ht="37.5" customHeight="1" x14ac:dyDescent="0.35">
      <c r="B1998" s="12">
        <v>100</v>
      </c>
      <c r="C1998" s="7" t="s">
        <v>10502</v>
      </c>
      <c r="D1998" s="12">
        <v>99</v>
      </c>
      <c r="E1998" s="7" t="s">
        <v>10757</v>
      </c>
      <c r="F1998" s="7" t="s">
        <v>10758</v>
      </c>
      <c r="G1998" s="7" t="s">
        <v>1699</v>
      </c>
      <c r="H1998" s="7" t="s">
        <v>42</v>
      </c>
      <c r="I1998" s="7" t="s">
        <v>5023</v>
      </c>
      <c r="J1998" s="7" t="s">
        <v>1903</v>
      </c>
      <c r="K1998" s="7" t="s">
        <v>7453</v>
      </c>
      <c r="L1998" s="12">
        <v>1</v>
      </c>
      <c r="M1998" s="7" t="s">
        <v>173</v>
      </c>
    </row>
    <row r="1999" spans="2:13" ht="37.5" customHeight="1" x14ac:dyDescent="0.35">
      <c r="B1999" s="11">
        <v>100</v>
      </c>
      <c r="C1999" s="5" t="s">
        <v>10502</v>
      </c>
      <c r="D1999" s="11">
        <v>100</v>
      </c>
      <c r="E1999" s="5" t="s">
        <v>10759</v>
      </c>
      <c r="F1999" s="5" t="s">
        <v>10760</v>
      </c>
      <c r="G1999" s="5" t="s">
        <v>300</v>
      </c>
      <c r="H1999" s="5" t="s">
        <v>218</v>
      </c>
      <c r="I1999" s="5" t="s">
        <v>10761</v>
      </c>
      <c r="J1999" s="5" t="s">
        <v>10762</v>
      </c>
      <c r="K1999" s="5" t="s">
        <v>10763</v>
      </c>
      <c r="L1999" s="11">
        <v>2</v>
      </c>
      <c r="M1999" s="5" t="s">
        <v>173</v>
      </c>
    </row>
    <row r="2000" spans="2:13" ht="37.5" customHeight="1" x14ac:dyDescent="0.35">
      <c r="B2000" s="12">
        <v>100</v>
      </c>
      <c r="C2000" s="7" t="s">
        <v>10502</v>
      </c>
      <c r="D2000" s="12">
        <v>101</v>
      </c>
      <c r="E2000" s="7" t="s">
        <v>10764</v>
      </c>
      <c r="F2000" s="7" t="s">
        <v>10765</v>
      </c>
      <c r="G2000" s="7" t="s">
        <v>862</v>
      </c>
      <c r="H2000" s="7" t="s">
        <v>40</v>
      </c>
      <c r="I2000" s="7" t="s">
        <v>239</v>
      </c>
      <c r="J2000" s="7" t="s">
        <v>213</v>
      </c>
      <c r="K2000" s="7" t="s">
        <v>10766</v>
      </c>
      <c r="L2000" s="12">
        <v>1</v>
      </c>
      <c r="M2000" s="7" t="s">
        <v>173</v>
      </c>
    </row>
    <row r="2001" spans="2:13" ht="37.5" customHeight="1" x14ac:dyDescent="0.35">
      <c r="B2001" s="11">
        <v>100</v>
      </c>
      <c r="C2001" s="5" t="s">
        <v>10502</v>
      </c>
      <c r="D2001" s="11">
        <v>102</v>
      </c>
      <c r="E2001" s="5" t="s">
        <v>10767</v>
      </c>
      <c r="F2001" s="5" t="s">
        <v>10768</v>
      </c>
      <c r="G2001" s="5" t="s">
        <v>1127</v>
      </c>
      <c r="H2001" s="5" t="s">
        <v>37</v>
      </c>
      <c r="I2001" s="5"/>
      <c r="J2001" s="5" t="s">
        <v>194</v>
      </c>
      <c r="K2001" s="5" t="s">
        <v>10769</v>
      </c>
      <c r="L2001" s="11">
        <v>1</v>
      </c>
      <c r="M2001" s="5" t="s">
        <v>173</v>
      </c>
    </row>
    <row r="2002" spans="2:13" ht="37.5" customHeight="1" x14ac:dyDescent="0.35">
      <c r="B2002" s="12">
        <v>100</v>
      </c>
      <c r="C2002" s="7" t="s">
        <v>10502</v>
      </c>
      <c r="D2002" s="12">
        <v>103</v>
      </c>
      <c r="E2002" s="7" t="s">
        <v>10770</v>
      </c>
      <c r="F2002" s="7" t="s">
        <v>10771</v>
      </c>
      <c r="G2002" s="7" t="s">
        <v>831</v>
      </c>
      <c r="H2002" s="7" t="s">
        <v>37</v>
      </c>
      <c r="I2002" s="7" t="s">
        <v>49</v>
      </c>
      <c r="J2002" s="7" t="s">
        <v>2617</v>
      </c>
      <c r="K2002" s="7" t="s">
        <v>5158</v>
      </c>
      <c r="L2002" s="12">
        <v>1</v>
      </c>
      <c r="M2002" s="7" t="s">
        <v>173</v>
      </c>
    </row>
    <row r="2003" spans="2:13" ht="37.5" customHeight="1" x14ac:dyDescent="0.35">
      <c r="B2003" s="11">
        <v>100</v>
      </c>
      <c r="C2003" s="5" t="s">
        <v>10502</v>
      </c>
      <c r="D2003" s="11">
        <v>104</v>
      </c>
      <c r="E2003" s="5" t="s">
        <v>10772</v>
      </c>
      <c r="F2003" s="5" t="s">
        <v>10773</v>
      </c>
      <c r="G2003" s="5" t="s">
        <v>1206</v>
      </c>
      <c r="H2003" s="5" t="s">
        <v>294</v>
      </c>
      <c r="I2003" s="5" t="s">
        <v>49</v>
      </c>
      <c r="J2003" s="5" t="s">
        <v>10774</v>
      </c>
      <c r="K2003" s="5" t="s">
        <v>10775</v>
      </c>
      <c r="L2003" s="11">
        <v>2</v>
      </c>
      <c r="M2003" s="5" t="s">
        <v>173</v>
      </c>
    </row>
    <row r="2004" spans="2:13" ht="37.5" customHeight="1" x14ac:dyDescent="0.35">
      <c r="B2004" s="12">
        <v>100</v>
      </c>
      <c r="C2004" s="7" t="s">
        <v>10502</v>
      </c>
      <c r="D2004" s="12">
        <v>105</v>
      </c>
      <c r="E2004" s="7" t="s">
        <v>10776</v>
      </c>
      <c r="F2004" s="7" t="s">
        <v>10777</v>
      </c>
      <c r="G2004" s="7" t="s">
        <v>1196</v>
      </c>
      <c r="H2004" s="7" t="s">
        <v>218</v>
      </c>
      <c r="I2004" s="7" t="s">
        <v>5276</v>
      </c>
      <c r="J2004" s="7" t="s">
        <v>10778</v>
      </c>
      <c r="K2004" s="7" t="s">
        <v>10779</v>
      </c>
      <c r="L2004" s="12">
        <v>2</v>
      </c>
      <c r="M2004" s="7" t="s">
        <v>173</v>
      </c>
    </row>
    <row r="2005" spans="2:13" ht="21.75" customHeight="1" x14ac:dyDescent="0.35">
      <c r="B2005" s="11">
        <v>100</v>
      </c>
      <c r="C2005" s="5" t="s">
        <v>10502</v>
      </c>
      <c r="D2005" s="11">
        <v>106</v>
      </c>
      <c r="E2005" s="5" t="s">
        <v>10780</v>
      </c>
      <c r="F2005" s="5" t="s">
        <v>10781</v>
      </c>
      <c r="G2005" s="5" t="s">
        <v>27</v>
      </c>
      <c r="H2005" s="5" t="s">
        <v>40</v>
      </c>
      <c r="I2005" s="5" t="s">
        <v>54</v>
      </c>
      <c r="J2005" s="5" t="s">
        <v>233</v>
      </c>
      <c r="K2005" s="5" t="s">
        <v>9416</v>
      </c>
      <c r="L2005" s="11">
        <v>1</v>
      </c>
      <c r="M2005" s="5" t="s">
        <v>173</v>
      </c>
    </row>
    <row r="2006" spans="2:13" ht="21.75" customHeight="1" x14ac:dyDescent="0.35">
      <c r="B2006" s="12">
        <v>100</v>
      </c>
      <c r="C2006" s="7" t="s">
        <v>10502</v>
      </c>
      <c r="D2006" s="12">
        <v>107</v>
      </c>
      <c r="E2006" s="7" t="s">
        <v>10782</v>
      </c>
      <c r="F2006" s="7" t="s">
        <v>10783</v>
      </c>
      <c r="G2006" s="7" t="s">
        <v>973</v>
      </c>
      <c r="H2006" s="7" t="s">
        <v>37</v>
      </c>
      <c r="I2006" s="7" t="s">
        <v>51</v>
      </c>
      <c r="J2006" s="7" t="s">
        <v>194</v>
      </c>
      <c r="K2006" s="7" t="s">
        <v>5169</v>
      </c>
      <c r="L2006" s="12">
        <v>1</v>
      </c>
      <c r="M2006" s="7" t="s">
        <v>173</v>
      </c>
    </row>
    <row r="2007" spans="2:13" ht="37.5" customHeight="1" x14ac:dyDescent="0.35">
      <c r="B2007" s="11">
        <v>100</v>
      </c>
      <c r="C2007" s="5" t="s">
        <v>10502</v>
      </c>
      <c r="D2007" s="11">
        <v>108</v>
      </c>
      <c r="E2007" s="5" t="s">
        <v>10784</v>
      </c>
      <c r="F2007" s="5" t="s">
        <v>10785</v>
      </c>
      <c r="G2007" s="5" t="s">
        <v>950</v>
      </c>
      <c r="H2007" s="5" t="s">
        <v>218</v>
      </c>
      <c r="I2007" s="5" t="s">
        <v>5036</v>
      </c>
      <c r="J2007" s="5" t="s">
        <v>220</v>
      </c>
      <c r="K2007" s="5" t="s">
        <v>7688</v>
      </c>
      <c r="L2007" s="11">
        <v>2</v>
      </c>
      <c r="M2007" s="5" t="s">
        <v>173</v>
      </c>
    </row>
    <row r="2008" spans="2:13" ht="37.5" customHeight="1" x14ac:dyDescent="0.35">
      <c r="B2008" s="12">
        <v>100</v>
      </c>
      <c r="C2008" s="7" t="s">
        <v>10502</v>
      </c>
      <c r="D2008" s="12">
        <v>109</v>
      </c>
      <c r="E2008" s="7" t="s">
        <v>10786</v>
      </c>
      <c r="F2008" s="7" t="s">
        <v>10787</v>
      </c>
      <c r="G2008" s="7" t="s">
        <v>2126</v>
      </c>
      <c r="H2008" s="7" t="s">
        <v>37</v>
      </c>
      <c r="I2008" s="7" t="s">
        <v>51</v>
      </c>
      <c r="J2008" s="7" t="s">
        <v>194</v>
      </c>
      <c r="K2008" s="7" t="s">
        <v>5169</v>
      </c>
      <c r="L2008" s="12">
        <v>1</v>
      </c>
      <c r="M2008" s="7" t="s">
        <v>173</v>
      </c>
    </row>
    <row r="2009" spans="2:13" ht="21.75" customHeight="1" x14ac:dyDescent="0.35">
      <c r="B2009" s="11">
        <v>100</v>
      </c>
      <c r="C2009" s="5" t="s">
        <v>10502</v>
      </c>
      <c r="D2009" s="11">
        <v>110</v>
      </c>
      <c r="E2009" s="5" t="s">
        <v>10788</v>
      </c>
      <c r="F2009" s="5" t="s">
        <v>10789</v>
      </c>
      <c r="G2009" s="5" t="s">
        <v>927</v>
      </c>
      <c r="H2009" s="5" t="s">
        <v>37</v>
      </c>
      <c r="I2009" s="5" t="s">
        <v>51</v>
      </c>
      <c r="J2009" s="5" t="s">
        <v>194</v>
      </c>
      <c r="K2009" s="5" t="s">
        <v>5169</v>
      </c>
      <c r="L2009" s="11">
        <v>1</v>
      </c>
      <c r="M2009" s="5" t="s">
        <v>173</v>
      </c>
    </row>
    <row r="2010" spans="2:13" ht="21.75" customHeight="1" x14ac:dyDescent="0.35">
      <c r="B2010" s="12">
        <v>100</v>
      </c>
      <c r="C2010" s="7" t="s">
        <v>10502</v>
      </c>
      <c r="D2010" s="12">
        <v>111</v>
      </c>
      <c r="E2010" s="7" t="s">
        <v>10790</v>
      </c>
      <c r="F2010" s="7" t="s">
        <v>10791</v>
      </c>
      <c r="G2010" s="7" t="s">
        <v>1252</v>
      </c>
      <c r="H2010" s="7" t="s">
        <v>41</v>
      </c>
      <c r="I2010" s="7" t="s">
        <v>49</v>
      </c>
      <c r="J2010" s="7" t="s">
        <v>213</v>
      </c>
      <c r="K2010" s="7" t="s">
        <v>214</v>
      </c>
      <c r="L2010" s="12">
        <v>1</v>
      </c>
      <c r="M2010" s="7" t="s">
        <v>173</v>
      </c>
    </row>
    <row r="2011" spans="2:13" ht="21.75" customHeight="1" x14ac:dyDescent="0.35">
      <c r="B2011" s="11">
        <v>100</v>
      </c>
      <c r="C2011" s="5" t="s">
        <v>10502</v>
      </c>
      <c r="D2011" s="11">
        <v>112</v>
      </c>
      <c r="E2011" s="5" t="s">
        <v>10792</v>
      </c>
      <c r="F2011" s="5" t="s">
        <v>10793</v>
      </c>
      <c r="G2011" s="5" t="s">
        <v>1855</v>
      </c>
      <c r="H2011" s="5" t="s">
        <v>41</v>
      </c>
      <c r="I2011" s="5" t="s">
        <v>49</v>
      </c>
      <c r="J2011" s="5" t="s">
        <v>213</v>
      </c>
      <c r="K2011" s="5" t="s">
        <v>214</v>
      </c>
      <c r="L2011" s="11">
        <v>1</v>
      </c>
      <c r="M2011" s="5" t="s">
        <v>173</v>
      </c>
    </row>
    <row r="2012" spans="2:13" ht="37.5" customHeight="1" x14ac:dyDescent="0.35">
      <c r="B2012" s="12">
        <v>100</v>
      </c>
      <c r="C2012" s="7" t="s">
        <v>10502</v>
      </c>
      <c r="D2012" s="12">
        <v>113</v>
      </c>
      <c r="E2012" s="7" t="s">
        <v>10794</v>
      </c>
      <c r="F2012" s="7" t="s">
        <v>10795</v>
      </c>
      <c r="G2012" s="7" t="s">
        <v>24</v>
      </c>
      <c r="H2012" s="7" t="s">
        <v>218</v>
      </c>
      <c r="I2012" s="7" t="s">
        <v>5036</v>
      </c>
      <c r="J2012" s="7" t="s">
        <v>220</v>
      </c>
      <c r="K2012" s="7" t="s">
        <v>7688</v>
      </c>
      <c r="L2012" s="12">
        <v>2</v>
      </c>
      <c r="M2012" s="7" t="s">
        <v>173</v>
      </c>
    </row>
    <row r="2013" spans="2:13" ht="37.5" customHeight="1" x14ac:dyDescent="0.35">
      <c r="B2013" s="11">
        <v>100</v>
      </c>
      <c r="C2013" s="5" t="s">
        <v>10502</v>
      </c>
      <c r="D2013" s="11">
        <v>114</v>
      </c>
      <c r="E2013" s="5" t="s">
        <v>10796</v>
      </c>
      <c r="F2013" s="5" t="s">
        <v>10797</v>
      </c>
      <c r="G2013" s="5" t="s">
        <v>1742</v>
      </c>
      <c r="H2013" s="5" t="s">
        <v>44</v>
      </c>
      <c r="I2013" s="5" t="s">
        <v>49</v>
      </c>
      <c r="J2013" s="5" t="s">
        <v>213</v>
      </c>
      <c r="K2013" s="5" t="s">
        <v>6308</v>
      </c>
      <c r="L2013" s="11">
        <v>1</v>
      </c>
      <c r="M2013" s="5" t="s">
        <v>173</v>
      </c>
    </row>
    <row r="2014" spans="2:13" ht="21.75" customHeight="1" x14ac:dyDescent="0.35">
      <c r="B2014" s="12">
        <v>100</v>
      </c>
      <c r="C2014" s="7" t="s">
        <v>10502</v>
      </c>
      <c r="D2014" s="12">
        <v>115</v>
      </c>
      <c r="E2014" s="7" t="s">
        <v>10798</v>
      </c>
      <c r="F2014" s="7" t="s">
        <v>10799</v>
      </c>
      <c r="G2014" s="7" t="s">
        <v>151</v>
      </c>
      <c r="H2014" s="7" t="s">
        <v>44</v>
      </c>
      <c r="I2014" s="7" t="s">
        <v>49</v>
      </c>
      <c r="J2014" s="7" t="s">
        <v>233</v>
      </c>
      <c r="K2014" s="7" t="s">
        <v>5524</v>
      </c>
      <c r="L2014" s="12">
        <v>1</v>
      </c>
      <c r="M2014" s="7" t="s">
        <v>173</v>
      </c>
    </row>
    <row r="2015" spans="2:13" ht="37.5" customHeight="1" x14ac:dyDescent="0.35">
      <c r="B2015" s="11">
        <v>100</v>
      </c>
      <c r="C2015" s="5" t="s">
        <v>10502</v>
      </c>
      <c r="D2015" s="11">
        <v>116</v>
      </c>
      <c r="E2015" s="5" t="s">
        <v>10800</v>
      </c>
      <c r="F2015" s="5" t="s">
        <v>10801</v>
      </c>
      <c r="G2015" s="5" t="s">
        <v>865</v>
      </c>
      <c r="H2015" s="5" t="s">
        <v>41</v>
      </c>
      <c r="I2015" s="5" t="s">
        <v>49</v>
      </c>
      <c r="J2015" s="5" t="s">
        <v>213</v>
      </c>
      <c r="K2015" s="5" t="s">
        <v>214</v>
      </c>
      <c r="L2015" s="11">
        <v>1</v>
      </c>
      <c r="M2015" s="5" t="s">
        <v>173</v>
      </c>
    </row>
    <row r="2016" spans="2:13" ht="21.75" customHeight="1" x14ac:dyDescent="0.35">
      <c r="B2016" s="12">
        <v>100</v>
      </c>
      <c r="C2016" s="7" t="s">
        <v>10502</v>
      </c>
      <c r="D2016" s="12">
        <v>117</v>
      </c>
      <c r="E2016" s="7" t="s">
        <v>10802</v>
      </c>
      <c r="F2016" s="7" t="s">
        <v>10803</v>
      </c>
      <c r="G2016" s="7" t="s">
        <v>2261</v>
      </c>
      <c r="H2016" s="7" t="s">
        <v>40</v>
      </c>
      <c r="I2016" s="7" t="s">
        <v>54</v>
      </c>
      <c r="J2016" s="7" t="s">
        <v>233</v>
      </c>
      <c r="K2016" s="7" t="s">
        <v>9416</v>
      </c>
      <c r="L2016" s="12">
        <v>1</v>
      </c>
      <c r="M2016" s="7" t="s">
        <v>173</v>
      </c>
    </row>
    <row r="2017" spans="2:13" ht="21.75" customHeight="1" x14ac:dyDescent="0.35">
      <c r="B2017" s="11">
        <v>100</v>
      </c>
      <c r="C2017" s="5" t="s">
        <v>10502</v>
      </c>
      <c r="D2017" s="11">
        <v>118</v>
      </c>
      <c r="E2017" s="5" t="s">
        <v>10804</v>
      </c>
      <c r="F2017" s="5" t="s">
        <v>10805</v>
      </c>
      <c r="G2017" s="5" t="s">
        <v>212</v>
      </c>
      <c r="H2017" s="5" t="s">
        <v>40</v>
      </c>
      <c r="I2017" s="5" t="s">
        <v>54</v>
      </c>
      <c r="J2017" s="5" t="s">
        <v>233</v>
      </c>
      <c r="K2017" s="5" t="s">
        <v>9416</v>
      </c>
      <c r="L2017" s="11">
        <v>1</v>
      </c>
      <c r="M2017" s="5" t="s">
        <v>173</v>
      </c>
    </row>
    <row r="2018" spans="2:13" ht="21.75" customHeight="1" x14ac:dyDescent="0.35">
      <c r="B2018" s="12">
        <v>100</v>
      </c>
      <c r="C2018" s="7" t="s">
        <v>10502</v>
      </c>
      <c r="D2018" s="12">
        <v>119</v>
      </c>
      <c r="E2018" s="7" t="s">
        <v>10806</v>
      </c>
      <c r="F2018" s="7" t="s">
        <v>10807</v>
      </c>
      <c r="G2018" s="7" t="s">
        <v>3065</v>
      </c>
      <c r="H2018" s="7" t="s">
        <v>40</v>
      </c>
      <c r="I2018" s="7" t="s">
        <v>54</v>
      </c>
      <c r="J2018" s="7" t="s">
        <v>233</v>
      </c>
      <c r="K2018" s="7" t="s">
        <v>9416</v>
      </c>
      <c r="L2018" s="12">
        <v>1</v>
      </c>
      <c r="M2018" s="7" t="s">
        <v>173</v>
      </c>
    </row>
    <row r="2019" spans="2:13" ht="21.75" customHeight="1" x14ac:dyDescent="0.35">
      <c r="B2019" s="11">
        <v>100</v>
      </c>
      <c r="C2019" s="5" t="s">
        <v>10502</v>
      </c>
      <c r="D2019" s="11">
        <v>120</v>
      </c>
      <c r="E2019" s="5" t="s">
        <v>10808</v>
      </c>
      <c r="F2019" s="5" t="s">
        <v>10809</v>
      </c>
      <c r="G2019" s="5" t="s">
        <v>1667</v>
      </c>
      <c r="H2019" s="5" t="s">
        <v>40</v>
      </c>
      <c r="I2019" s="5" t="s">
        <v>54</v>
      </c>
      <c r="J2019" s="5" t="s">
        <v>233</v>
      </c>
      <c r="K2019" s="5" t="s">
        <v>9416</v>
      </c>
      <c r="L2019" s="11">
        <v>1</v>
      </c>
      <c r="M2019" s="5" t="s">
        <v>173</v>
      </c>
    </row>
    <row r="2020" spans="2:13" ht="37.5" customHeight="1" x14ac:dyDescent="0.35">
      <c r="B2020" s="12">
        <v>100</v>
      </c>
      <c r="C2020" s="7" t="s">
        <v>10502</v>
      </c>
      <c r="D2020" s="12">
        <v>121</v>
      </c>
      <c r="E2020" s="7" t="s">
        <v>10810</v>
      </c>
      <c r="F2020" s="7" t="s">
        <v>10811</v>
      </c>
      <c r="G2020" s="7" t="s">
        <v>24</v>
      </c>
      <c r="H2020" s="7" t="s">
        <v>218</v>
      </c>
      <c r="I2020" s="7" t="s">
        <v>5036</v>
      </c>
      <c r="J2020" s="7" t="s">
        <v>10778</v>
      </c>
      <c r="K2020" s="7" t="s">
        <v>10812</v>
      </c>
      <c r="L2020" s="12">
        <v>2</v>
      </c>
      <c r="M2020" s="7" t="s">
        <v>173</v>
      </c>
    </row>
    <row r="2021" spans="2:13" ht="37.5" customHeight="1" x14ac:dyDescent="0.35">
      <c r="B2021" s="11">
        <v>100</v>
      </c>
      <c r="C2021" s="5" t="s">
        <v>10502</v>
      </c>
      <c r="D2021" s="11">
        <v>122</v>
      </c>
      <c r="E2021" s="5" t="s">
        <v>10813</v>
      </c>
      <c r="F2021" s="5" t="s">
        <v>10814</v>
      </c>
      <c r="G2021" s="5" t="s">
        <v>31</v>
      </c>
      <c r="H2021" s="5" t="s">
        <v>218</v>
      </c>
      <c r="I2021" s="5" t="s">
        <v>5036</v>
      </c>
      <c r="J2021" s="5" t="s">
        <v>220</v>
      </c>
      <c r="K2021" s="5" t="s">
        <v>7688</v>
      </c>
      <c r="L2021" s="11">
        <v>2</v>
      </c>
      <c r="M2021" s="5" t="s">
        <v>173</v>
      </c>
    </row>
    <row r="2022" spans="2:13" ht="21.75" customHeight="1" x14ac:dyDescent="0.35">
      <c r="B2022" s="12">
        <v>100</v>
      </c>
      <c r="C2022" s="7" t="s">
        <v>10502</v>
      </c>
      <c r="D2022" s="12">
        <v>123</v>
      </c>
      <c r="E2022" s="7" t="s">
        <v>10815</v>
      </c>
      <c r="F2022" s="7" t="s">
        <v>10816</v>
      </c>
      <c r="G2022" s="7" t="s">
        <v>198</v>
      </c>
      <c r="H2022" s="7" t="s">
        <v>37</v>
      </c>
      <c r="I2022" s="7" t="s">
        <v>51</v>
      </c>
      <c r="J2022" s="7" t="s">
        <v>194</v>
      </c>
      <c r="K2022" s="7" t="s">
        <v>5169</v>
      </c>
      <c r="L2022" s="12">
        <v>1</v>
      </c>
      <c r="M2022" s="7" t="s">
        <v>173</v>
      </c>
    </row>
    <row r="2023" spans="2:13" ht="21.75" customHeight="1" x14ac:dyDescent="0.35">
      <c r="B2023" s="11">
        <v>100</v>
      </c>
      <c r="C2023" s="5" t="s">
        <v>10502</v>
      </c>
      <c r="D2023" s="11">
        <v>124</v>
      </c>
      <c r="E2023" s="5" t="s">
        <v>10817</v>
      </c>
      <c r="F2023" s="5" t="s">
        <v>10818</v>
      </c>
      <c r="G2023" s="5" t="s">
        <v>10819</v>
      </c>
      <c r="H2023" s="5" t="s">
        <v>39</v>
      </c>
      <c r="I2023" s="5" t="s">
        <v>227</v>
      </c>
      <c r="J2023" s="5" t="s">
        <v>10820</v>
      </c>
      <c r="K2023" s="5" t="s">
        <v>10821</v>
      </c>
      <c r="L2023" s="11">
        <v>1</v>
      </c>
      <c r="M2023" s="5" t="s">
        <v>173</v>
      </c>
    </row>
    <row r="2024" spans="2:13" ht="37.5" customHeight="1" x14ac:dyDescent="0.35">
      <c r="B2024" s="12">
        <v>100</v>
      </c>
      <c r="C2024" s="7" t="s">
        <v>10502</v>
      </c>
      <c r="D2024" s="12">
        <v>125</v>
      </c>
      <c r="E2024" s="7" t="s">
        <v>10822</v>
      </c>
      <c r="F2024" s="7" t="s">
        <v>10823</v>
      </c>
      <c r="G2024" s="7" t="s">
        <v>582</v>
      </c>
      <c r="H2024" s="7" t="s">
        <v>39</v>
      </c>
      <c r="I2024" s="7" t="s">
        <v>227</v>
      </c>
      <c r="J2024" s="7" t="s">
        <v>207</v>
      </c>
      <c r="K2024" s="7" t="s">
        <v>10824</v>
      </c>
      <c r="L2024" s="12">
        <v>1</v>
      </c>
      <c r="M2024" s="7" t="s">
        <v>173</v>
      </c>
    </row>
    <row r="2025" spans="2:13" ht="37.5" customHeight="1" x14ac:dyDescent="0.35">
      <c r="B2025" s="11">
        <v>100</v>
      </c>
      <c r="C2025" s="5" t="s">
        <v>10502</v>
      </c>
      <c r="D2025" s="11">
        <v>126</v>
      </c>
      <c r="E2025" s="5" t="s">
        <v>10825</v>
      </c>
      <c r="F2025" s="5" t="s">
        <v>10826</v>
      </c>
      <c r="G2025" s="5" t="s">
        <v>1008</v>
      </c>
      <c r="H2025" s="5" t="s">
        <v>4034</v>
      </c>
      <c r="I2025" s="5" t="s">
        <v>10646</v>
      </c>
      <c r="J2025" s="5" t="s">
        <v>10827</v>
      </c>
      <c r="K2025" s="5" t="s">
        <v>10828</v>
      </c>
      <c r="L2025" s="11">
        <v>2</v>
      </c>
      <c r="M2025" s="5" t="s">
        <v>173</v>
      </c>
    </row>
    <row r="2026" spans="2:13" ht="37.5" customHeight="1" x14ac:dyDescent="0.35">
      <c r="B2026" s="12">
        <v>100</v>
      </c>
      <c r="C2026" s="7" t="s">
        <v>10502</v>
      </c>
      <c r="D2026" s="12">
        <v>127</v>
      </c>
      <c r="E2026" s="7" t="s">
        <v>10829</v>
      </c>
      <c r="F2026" s="7" t="s">
        <v>10830</v>
      </c>
      <c r="G2026" s="7" t="s">
        <v>1190</v>
      </c>
      <c r="H2026" s="7" t="s">
        <v>38</v>
      </c>
      <c r="I2026" s="7" t="s">
        <v>268</v>
      </c>
      <c r="J2026" s="7" t="s">
        <v>3984</v>
      </c>
      <c r="K2026" s="7" t="s">
        <v>10831</v>
      </c>
      <c r="L2026" s="12">
        <v>1</v>
      </c>
      <c r="M2026" s="7" t="s">
        <v>173</v>
      </c>
    </row>
    <row r="2027" spans="2:13" ht="37.5" customHeight="1" x14ac:dyDescent="0.35">
      <c r="B2027" s="11">
        <v>100</v>
      </c>
      <c r="C2027" s="5" t="s">
        <v>10502</v>
      </c>
      <c r="D2027" s="11">
        <v>128</v>
      </c>
      <c r="E2027" s="5" t="s">
        <v>10832</v>
      </c>
      <c r="F2027" s="5" t="s">
        <v>10833</v>
      </c>
      <c r="G2027" s="5" t="s">
        <v>1793</v>
      </c>
      <c r="H2027" s="5" t="s">
        <v>40</v>
      </c>
      <c r="I2027" s="5" t="s">
        <v>54</v>
      </c>
      <c r="J2027" s="5" t="s">
        <v>213</v>
      </c>
      <c r="K2027" s="5" t="s">
        <v>254</v>
      </c>
      <c r="L2027" s="11">
        <v>1</v>
      </c>
      <c r="M2027" s="5" t="s">
        <v>173</v>
      </c>
    </row>
    <row r="2028" spans="2:13" ht="37.5" customHeight="1" x14ac:dyDescent="0.35">
      <c r="B2028" s="12">
        <v>100</v>
      </c>
      <c r="C2028" s="7" t="s">
        <v>10502</v>
      </c>
      <c r="D2028" s="12">
        <v>129</v>
      </c>
      <c r="E2028" s="7" t="s">
        <v>10834</v>
      </c>
      <c r="F2028" s="7" t="s">
        <v>10835</v>
      </c>
      <c r="G2028" s="7" t="s">
        <v>319</v>
      </c>
      <c r="H2028" s="7" t="s">
        <v>37</v>
      </c>
      <c r="I2028" s="7" t="s">
        <v>51</v>
      </c>
      <c r="J2028" s="7" t="s">
        <v>2617</v>
      </c>
      <c r="K2028" s="7" t="s">
        <v>10059</v>
      </c>
      <c r="L2028" s="12">
        <v>1</v>
      </c>
      <c r="M2028" s="7" t="s">
        <v>173</v>
      </c>
    </row>
    <row r="2029" spans="2:13" ht="37.5" customHeight="1" x14ac:dyDescent="0.35">
      <c r="B2029" s="11">
        <v>100</v>
      </c>
      <c r="C2029" s="5" t="s">
        <v>10502</v>
      </c>
      <c r="D2029" s="11">
        <v>130</v>
      </c>
      <c r="E2029" s="5" t="s">
        <v>10836</v>
      </c>
      <c r="F2029" s="5" t="s">
        <v>10837</v>
      </c>
      <c r="G2029" s="5" t="s">
        <v>962</v>
      </c>
      <c r="H2029" s="5" t="s">
        <v>40</v>
      </c>
      <c r="I2029" s="5" t="s">
        <v>54</v>
      </c>
      <c r="J2029" s="5" t="s">
        <v>213</v>
      </c>
      <c r="K2029" s="5" t="s">
        <v>254</v>
      </c>
      <c r="L2029" s="11">
        <v>1</v>
      </c>
      <c r="M2029" s="5" t="s">
        <v>173</v>
      </c>
    </row>
    <row r="2030" spans="2:13" ht="37.5" customHeight="1" x14ac:dyDescent="0.35">
      <c r="B2030" s="12">
        <v>100</v>
      </c>
      <c r="C2030" s="7" t="s">
        <v>10502</v>
      </c>
      <c r="D2030" s="12">
        <v>131</v>
      </c>
      <c r="E2030" s="7" t="s">
        <v>10838</v>
      </c>
      <c r="F2030" s="7" t="s">
        <v>10839</v>
      </c>
      <c r="G2030" s="7" t="s">
        <v>3472</v>
      </c>
      <c r="H2030" s="7" t="s">
        <v>40</v>
      </c>
      <c r="I2030" s="7" t="s">
        <v>54</v>
      </c>
      <c r="J2030" s="7" t="s">
        <v>213</v>
      </c>
      <c r="K2030" s="7" t="s">
        <v>254</v>
      </c>
      <c r="L2030" s="12">
        <v>1</v>
      </c>
      <c r="M2030" s="7" t="s">
        <v>173</v>
      </c>
    </row>
    <row r="2031" spans="2:13" ht="37.5" customHeight="1" x14ac:dyDescent="0.35">
      <c r="B2031" s="11">
        <v>100</v>
      </c>
      <c r="C2031" s="5" t="s">
        <v>10502</v>
      </c>
      <c r="D2031" s="11">
        <v>132</v>
      </c>
      <c r="E2031" s="5" t="s">
        <v>10840</v>
      </c>
      <c r="F2031" s="5" t="s">
        <v>10841</v>
      </c>
      <c r="G2031" s="5" t="s">
        <v>10842</v>
      </c>
      <c r="H2031" s="5" t="s">
        <v>40</v>
      </c>
      <c r="I2031" s="5" t="s">
        <v>54</v>
      </c>
      <c r="J2031" s="5" t="s">
        <v>213</v>
      </c>
      <c r="K2031" s="5" t="s">
        <v>254</v>
      </c>
      <c r="L2031" s="11">
        <v>1</v>
      </c>
      <c r="M2031" s="5" t="s">
        <v>173</v>
      </c>
    </row>
    <row r="2032" spans="2:13" ht="21.75" customHeight="1" x14ac:dyDescent="0.35">
      <c r="B2032" s="12">
        <v>100</v>
      </c>
      <c r="C2032" s="7" t="s">
        <v>10502</v>
      </c>
      <c r="D2032" s="12">
        <v>133</v>
      </c>
      <c r="E2032" s="7" t="s">
        <v>10843</v>
      </c>
      <c r="F2032" s="7" t="s">
        <v>10844</v>
      </c>
      <c r="G2032" s="7" t="s">
        <v>262</v>
      </c>
      <c r="H2032" s="7" t="s">
        <v>42</v>
      </c>
      <c r="I2032" s="7" t="s">
        <v>10845</v>
      </c>
      <c r="J2032" s="7" t="s">
        <v>194</v>
      </c>
      <c r="K2032" s="7" t="s">
        <v>10846</v>
      </c>
      <c r="L2032" s="12">
        <v>1</v>
      </c>
      <c r="M2032" s="7" t="s">
        <v>173</v>
      </c>
    </row>
    <row r="2033" spans="2:13" ht="37.5" customHeight="1" x14ac:dyDescent="0.35">
      <c r="B2033" s="11">
        <v>100</v>
      </c>
      <c r="C2033" s="5" t="s">
        <v>10502</v>
      </c>
      <c r="D2033" s="11">
        <v>134</v>
      </c>
      <c r="E2033" s="5" t="s">
        <v>10847</v>
      </c>
      <c r="F2033" s="5" t="s">
        <v>10848</v>
      </c>
      <c r="G2033" s="5" t="s">
        <v>4826</v>
      </c>
      <c r="H2033" s="5" t="s">
        <v>263</v>
      </c>
      <c r="I2033" s="5" t="s">
        <v>264</v>
      </c>
      <c r="J2033" s="5" t="s">
        <v>10350</v>
      </c>
      <c r="K2033" s="5" t="s">
        <v>10849</v>
      </c>
      <c r="L2033" s="11">
        <v>2</v>
      </c>
      <c r="M2033" s="5" t="s">
        <v>173</v>
      </c>
    </row>
    <row r="2034" spans="2:13" ht="21.75" customHeight="1" x14ac:dyDescent="0.35">
      <c r="B2034" s="12">
        <v>100</v>
      </c>
      <c r="C2034" s="7" t="s">
        <v>10502</v>
      </c>
      <c r="D2034" s="12">
        <v>135</v>
      </c>
      <c r="E2034" s="7" t="s">
        <v>10850</v>
      </c>
      <c r="F2034" s="7" t="s">
        <v>10851</v>
      </c>
      <c r="G2034" s="7" t="s">
        <v>10852</v>
      </c>
      <c r="H2034" s="7" t="s">
        <v>40</v>
      </c>
      <c r="I2034" s="7" t="s">
        <v>54</v>
      </c>
      <c r="J2034" s="7" t="s">
        <v>213</v>
      </c>
      <c r="K2034" s="7" t="s">
        <v>254</v>
      </c>
      <c r="L2034" s="12">
        <v>1</v>
      </c>
      <c r="M2034" s="7" t="s">
        <v>173</v>
      </c>
    </row>
    <row r="2035" spans="2:13" ht="21.75" customHeight="1" x14ac:dyDescent="0.35">
      <c r="B2035" s="11">
        <v>100</v>
      </c>
      <c r="C2035" s="5" t="s">
        <v>10502</v>
      </c>
      <c r="D2035" s="11">
        <v>136</v>
      </c>
      <c r="E2035" s="5" t="s">
        <v>10853</v>
      </c>
      <c r="F2035" s="5" t="s">
        <v>10854</v>
      </c>
      <c r="G2035" s="5" t="s">
        <v>4911</v>
      </c>
      <c r="H2035" s="5" t="s">
        <v>40</v>
      </c>
      <c r="I2035" s="5" t="s">
        <v>54</v>
      </c>
      <c r="J2035" s="5" t="s">
        <v>233</v>
      </c>
      <c r="K2035" s="5" t="s">
        <v>9416</v>
      </c>
      <c r="L2035" s="11">
        <v>1</v>
      </c>
      <c r="M2035" s="5" t="s">
        <v>173</v>
      </c>
    </row>
    <row r="2036" spans="2:13" ht="37.5" customHeight="1" x14ac:dyDescent="0.35">
      <c r="B2036" s="12">
        <v>100</v>
      </c>
      <c r="C2036" s="7" t="s">
        <v>10502</v>
      </c>
      <c r="D2036" s="12">
        <v>137</v>
      </c>
      <c r="E2036" s="7" t="s">
        <v>10855</v>
      </c>
      <c r="F2036" s="7" t="s">
        <v>10856</v>
      </c>
      <c r="G2036" s="7" t="s">
        <v>3283</v>
      </c>
      <c r="H2036" s="7" t="s">
        <v>40</v>
      </c>
      <c r="I2036" s="7" t="s">
        <v>54</v>
      </c>
      <c r="J2036" s="7" t="s">
        <v>213</v>
      </c>
      <c r="K2036" s="7" t="s">
        <v>254</v>
      </c>
      <c r="L2036" s="12">
        <v>1</v>
      </c>
      <c r="M2036" s="7" t="s">
        <v>173</v>
      </c>
    </row>
    <row r="2037" spans="2:13" ht="37.5" customHeight="1" x14ac:dyDescent="0.35">
      <c r="B2037" s="11">
        <v>100</v>
      </c>
      <c r="C2037" s="5" t="s">
        <v>10502</v>
      </c>
      <c r="D2037" s="11">
        <v>138</v>
      </c>
      <c r="E2037" s="5" t="s">
        <v>10857</v>
      </c>
      <c r="F2037" s="5" t="s">
        <v>10858</v>
      </c>
      <c r="G2037" s="5" t="s">
        <v>202</v>
      </c>
      <c r="H2037" s="5" t="s">
        <v>40</v>
      </c>
      <c r="I2037" s="5" t="s">
        <v>54</v>
      </c>
      <c r="J2037" s="5" t="s">
        <v>213</v>
      </c>
      <c r="K2037" s="5" t="s">
        <v>254</v>
      </c>
      <c r="L2037" s="11">
        <v>1</v>
      </c>
      <c r="M2037" s="5" t="s">
        <v>173</v>
      </c>
    </row>
    <row r="2038" spans="2:13" ht="21.75" customHeight="1" x14ac:dyDescent="0.35">
      <c r="B2038" s="12">
        <v>100</v>
      </c>
      <c r="C2038" s="7" t="s">
        <v>10502</v>
      </c>
      <c r="D2038" s="12">
        <v>139</v>
      </c>
      <c r="E2038" s="7" t="s">
        <v>10859</v>
      </c>
      <c r="F2038" s="7" t="s">
        <v>10860</v>
      </c>
      <c r="G2038" s="7" t="s">
        <v>549</v>
      </c>
      <c r="H2038" s="7" t="s">
        <v>41</v>
      </c>
      <c r="I2038" s="7" t="s">
        <v>49</v>
      </c>
      <c r="J2038" s="7" t="s">
        <v>213</v>
      </c>
      <c r="K2038" s="7" t="s">
        <v>214</v>
      </c>
      <c r="L2038" s="12">
        <v>1</v>
      </c>
      <c r="M2038" s="7" t="s">
        <v>173</v>
      </c>
    </row>
    <row r="2039" spans="2:13" ht="37.5" customHeight="1" x14ac:dyDescent="0.35">
      <c r="B2039" s="11">
        <v>100</v>
      </c>
      <c r="C2039" s="5" t="s">
        <v>10502</v>
      </c>
      <c r="D2039" s="11">
        <v>140</v>
      </c>
      <c r="E2039" s="5" t="s">
        <v>10861</v>
      </c>
      <c r="F2039" s="5" t="s">
        <v>10862</v>
      </c>
      <c r="G2039" s="5" t="s">
        <v>7083</v>
      </c>
      <c r="H2039" s="5" t="s">
        <v>41</v>
      </c>
      <c r="I2039" s="5" t="s">
        <v>49</v>
      </c>
      <c r="J2039" s="5" t="s">
        <v>213</v>
      </c>
      <c r="K2039" s="5" t="s">
        <v>214</v>
      </c>
      <c r="L2039" s="11">
        <v>1</v>
      </c>
      <c r="M2039" s="5" t="s">
        <v>173</v>
      </c>
    </row>
    <row r="2040" spans="2:13" ht="37.5" customHeight="1" x14ac:dyDescent="0.35">
      <c r="B2040" s="12">
        <v>100</v>
      </c>
      <c r="C2040" s="7" t="s">
        <v>10502</v>
      </c>
      <c r="D2040" s="12">
        <v>141</v>
      </c>
      <c r="E2040" s="7" t="s">
        <v>10863</v>
      </c>
      <c r="F2040" s="7" t="s">
        <v>10864</v>
      </c>
      <c r="G2040" s="7" t="s">
        <v>8708</v>
      </c>
      <c r="H2040" s="7" t="s">
        <v>3670</v>
      </c>
      <c r="I2040" s="7" t="s">
        <v>10865</v>
      </c>
      <c r="J2040" s="7" t="s">
        <v>220</v>
      </c>
      <c r="K2040" s="7" t="s">
        <v>10866</v>
      </c>
      <c r="L2040" s="12">
        <v>2</v>
      </c>
      <c r="M2040" s="7" t="s">
        <v>173</v>
      </c>
    </row>
    <row r="2041" spans="2:13" ht="21.75" customHeight="1" x14ac:dyDescent="0.35">
      <c r="B2041" s="11">
        <v>100</v>
      </c>
      <c r="C2041" s="5" t="s">
        <v>10502</v>
      </c>
      <c r="D2041" s="11">
        <v>142</v>
      </c>
      <c r="E2041" s="5" t="s">
        <v>10867</v>
      </c>
      <c r="F2041" s="5" t="s">
        <v>10868</v>
      </c>
      <c r="G2041" s="5" t="s">
        <v>6230</v>
      </c>
      <c r="H2041" s="5" t="s">
        <v>42</v>
      </c>
      <c r="I2041" s="5" t="s">
        <v>245</v>
      </c>
      <c r="J2041" s="5" t="s">
        <v>194</v>
      </c>
      <c r="K2041" s="5" t="s">
        <v>10869</v>
      </c>
      <c r="L2041" s="11">
        <v>1</v>
      </c>
      <c r="M2041" s="5" t="s">
        <v>173</v>
      </c>
    </row>
    <row r="2042" spans="2:13" ht="21.75" customHeight="1" x14ac:dyDescent="0.35">
      <c r="B2042" s="12">
        <v>100</v>
      </c>
      <c r="C2042" s="7" t="s">
        <v>10502</v>
      </c>
      <c r="D2042" s="12">
        <v>143</v>
      </c>
      <c r="E2042" s="7" t="s">
        <v>10870</v>
      </c>
      <c r="F2042" s="7" t="s">
        <v>8172</v>
      </c>
      <c r="G2042" s="7" t="s">
        <v>27</v>
      </c>
      <c r="H2042" s="7" t="s">
        <v>39</v>
      </c>
      <c r="I2042" s="7" t="s">
        <v>227</v>
      </c>
      <c r="J2042" s="7" t="s">
        <v>228</v>
      </c>
      <c r="K2042" s="7" t="s">
        <v>229</v>
      </c>
      <c r="L2042" s="12">
        <v>1</v>
      </c>
      <c r="M2042" s="7" t="s">
        <v>173</v>
      </c>
    </row>
    <row r="2043" spans="2:13" ht="21.75" customHeight="1" x14ac:dyDescent="0.35">
      <c r="B2043" s="11">
        <v>100</v>
      </c>
      <c r="C2043" s="5" t="s">
        <v>10502</v>
      </c>
      <c r="D2043" s="11">
        <v>144</v>
      </c>
      <c r="E2043" s="5" t="s">
        <v>10871</v>
      </c>
      <c r="F2043" s="5" t="s">
        <v>10872</v>
      </c>
      <c r="G2043" s="5" t="s">
        <v>26</v>
      </c>
      <c r="H2043" s="5" t="s">
        <v>42</v>
      </c>
      <c r="I2043" s="5" t="s">
        <v>153</v>
      </c>
      <c r="J2043" s="5" t="s">
        <v>3415</v>
      </c>
      <c r="K2043" s="5" t="s">
        <v>10873</v>
      </c>
      <c r="L2043" s="11">
        <v>1</v>
      </c>
      <c r="M2043" s="5" t="s">
        <v>173</v>
      </c>
    </row>
    <row r="2044" spans="2:13" ht="37.5" customHeight="1" x14ac:dyDescent="0.35">
      <c r="B2044" s="12">
        <v>100</v>
      </c>
      <c r="C2044" s="7" t="s">
        <v>10502</v>
      </c>
      <c r="D2044" s="12">
        <v>145</v>
      </c>
      <c r="E2044" s="7" t="s">
        <v>10874</v>
      </c>
      <c r="F2044" s="7" t="s">
        <v>10875</v>
      </c>
      <c r="G2044" s="7" t="s">
        <v>1161</v>
      </c>
      <c r="H2044" s="7" t="s">
        <v>263</v>
      </c>
      <c r="I2044" s="7" t="s">
        <v>264</v>
      </c>
      <c r="J2044" s="7" t="s">
        <v>7832</v>
      </c>
      <c r="K2044" s="7" t="s">
        <v>7833</v>
      </c>
      <c r="L2044" s="12">
        <v>2</v>
      </c>
      <c r="M2044" s="7" t="s">
        <v>173</v>
      </c>
    </row>
    <row r="2045" spans="2:13" ht="21.75" customHeight="1" x14ac:dyDescent="0.35">
      <c r="B2045" s="11">
        <v>100</v>
      </c>
      <c r="C2045" s="5" t="s">
        <v>10502</v>
      </c>
      <c r="D2045" s="11">
        <v>146</v>
      </c>
      <c r="E2045" s="5" t="s">
        <v>10876</v>
      </c>
      <c r="F2045" s="5" t="s">
        <v>10877</v>
      </c>
      <c r="G2045" s="5" t="s">
        <v>2837</v>
      </c>
      <c r="H2045" s="5" t="s">
        <v>39</v>
      </c>
      <c r="I2045" s="5" t="s">
        <v>227</v>
      </c>
      <c r="J2045" s="5" t="s">
        <v>228</v>
      </c>
      <c r="K2045" s="5" t="s">
        <v>229</v>
      </c>
      <c r="L2045" s="11">
        <v>1</v>
      </c>
      <c r="M2045" s="5" t="s">
        <v>173</v>
      </c>
    </row>
    <row r="2046" spans="2:13" ht="21.75" customHeight="1" x14ac:dyDescent="0.35">
      <c r="B2046" s="12">
        <v>100</v>
      </c>
      <c r="C2046" s="7" t="s">
        <v>10502</v>
      </c>
      <c r="D2046" s="12">
        <v>147</v>
      </c>
      <c r="E2046" s="7" t="s">
        <v>10878</v>
      </c>
      <c r="F2046" s="7" t="s">
        <v>10879</v>
      </c>
      <c r="G2046" s="7" t="s">
        <v>3323</v>
      </c>
      <c r="H2046" s="7" t="s">
        <v>37</v>
      </c>
      <c r="I2046" s="7" t="s">
        <v>8020</v>
      </c>
      <c r="J2046" s="7" t="s">
        <v>194</v>
      </c>
      <c r="K2046" s="7" t="s">
        <v>8021</v>
      </c>
      <c r="L2046" s="12">
        <v>1</v>
      </c>
      <c r="M2046" s="7" t="s">
        <v>173</v>
      </c>
    </row>
    <row r="2047" spans="2:13" ht="21.75" customHeight="1" x14ac:dyDescent="0.35">
      <c r="B2047" s="11">
        <v>100</v>
      </c>
      <c r="C2047" s="5" t="s">
        <v>10502</v>
      </c>
      <c r="D2047" s="11">
        <v>148</v>
      </c>
      <c r="E2047" s="5" t="s">
        <v>10880</v>
      </c>
      <c r="F2047" s="5" t="s">
        <v>10881</v>
      </c>
      <c r="G2047" s="5" t="s">
        <v>4811</v>
      </c>
      <c r="H2047" s="5" t="s">
        <v>40</v>
      </c>
      <c r="I2047" s="5" t="s">
        <v>54</v>
      </c>
      <c r="J2047" s="5" t="s">
        <v>213</v>
      </c>
      <c r="K2047" s="5" t="s">
        <v>254</v>
      </c>
      <c r="L2047" s="11">
        <v>1</v>
      </c>
      <c r="M2047" s="5" t="s">
        <v>173</v>
      </c>
    </row>
    <row r="2048" spans="2:13" ht="21.75" customHeight="1" x14ac:dyDescent="0.35">
      <c r="B2048" s="12">
        <v>100</v>
      </c>
      <c r="C2048" s="7" t="s">
        <v>10502</v>
      </c>
      <c r="D2048" s="12">
        <v>149</v>
      </c>
      <c r="E2048" s="7" t="s">
        <v>10882</v>
      </c>
      <c r="F2048" s="7" t="s">
        <v>10883</v>
      </c>
      <c r="G2048" s="7" t="s">
        <v>8626</v>
      </c>
      <c r="H2048" s="7" t="s">
        <v>40</v>
      </c>
      <c r="I2048" s="7" t="s">
        <v>54</v>
      </c>
      <c r="J2048" s="7" t="s">
        <v>213</v>
      </c>
      <c r="K2048" s="7" t="s">
        <v>254</v>
      </c>
      <c r="L2048" s="12">
        <v>1</v>
      </c>
      <c r="M2048" s="7" t="s">
        <v>173</v>
      </c>
    </row>
    <row r="2049" spans="2:13" ht="21.75" customHeight="1" x14ac:dyDescent="0.35">
      <c r="B2049" s="11">
        <v>100</v>
      </c>
      <c r="C2049" s="5" t="s">
        <v>10502</v>
      </c>
      <c r="D2049" s="11">
        <v>150</v>
      </c>
      <c r="E2049" s="5" t="s">
        <v>10884</v>
      </c>
      <c r="F2049" s="5" t="s">
        <v>10885</v>
      </c>
      <c r="G2049" s="5" t="s">
        <v>868</v>
      </c>
      <c r="H2049" s="5" t="s">
        <v>40</v>
      </c>
      <c r="I2049" s="5" t="s">
        <v>54</v>
      </c>
      <c r="J2049" s="5" t="s">
        <v>213</v>
      </c>
      <c r="K2049" s="5" t="s">
        <v>254</v>
      </c>
      <c r="L2049" s="11">
        <v>1</v>
      </c>
      <c r="M2049" s="5" t="s">
        <v>173</v>
      </c>
    </row>
    <row r="2050" spans="2:13" ht="21.75" customHeight="1" x14ac:dyDescent="0.35">
      <c r="B2050" s="12">
        <v>100</v>
      </c>
      <c r="C2050" s="7" t="s">
        <v>10502</v>
      </c>
      <c r="D2050" s="12">
        <v>151</v>
      </c>
      <c r="E2050" s="7" t="s">
        <v>10886</v>
      </c>
      <c r="F2050" s="7" t="s">
        <v>10887</v>
      </c>
      <c r="G2050" s="7" t="s">
        <v>4855</v>
      </c>
      <c r="H2050" s="7" t="s">
        <v>40</v>
      </c>
      <c r="I2050" s="7" t="s">
        <v>54</v>
      </c>
      <c r="J2050" s="7" t="s">
        <v>213</v>
      </c>
      <c r="K2050" s="7" t="s">
        <v>254</v>
      </c>
      <c r="L2050" s="12">
        <v>1</v>
      </c>
      <c r="M2050" s="7" t="s">
        <v>173</v>
      </c>
    </row>
    <row r="2051" spans="2:13" ht="21.75" customHeight="1" x14ac:dyDescent="0.35">
      <c r="B2051" s="11">
        <v>100</v>
      </c>
      <c r="C2051" s="5" t="s">
        <v>10502</v>
      </c>
      <c r="D2051" s="11">
        <v>152</v>
      </c>
      <c r="E2051" s="5" t="s">
        <v>10888</v>
      </c>
      <c r="F2051" s="5" t="s">
        <v>10889</v>
      </c>
      <c r="G2051" s="5" t="s">
        <v>7638</v>
      </c>
      <c r="H2051" s="5" t="s">
        <v>40</v>
      </c>
      <c r="I2051" s="5" t="s">
        <v>54</v>
      </c>
      <c r="J2051" s="5" t="s">
        <v>213</v>
      </c>
      <c r="K2051" s="5" t="s">
        <v>254</v>
      </c>
      <c r="L2051" s="11">
        <v>1</v>
      </c>
      <c r="M2051" s="5" t="s">
        <v>173</v>
      </c>
    </row>
    <row r="2052" spans="2:13" ht="37.5" customHeight="1" x14ac:dyDescent="0.35">
      <c r="B2052" s="12">
        <v>100</v>
      </c>
      <c r="C2052" s="7" t="s">
        <v>10502</v>
      </c>
      <c r="D2052" s="12">
        <v>153</v>
      </c>
      <c r="E2052" s="7" t="s">
        <v>10890</v>
      </c>
      <c r="F2052" s="7" t="s">
        <v>10891</v>
      </c>
      <c r="G2052" s="7" t="s">
        <v>4850</v>
      </c>
      <c r="H2052" s="7" t="s">
        <v>40</v>
      </c>
      <c r="I2052" s="7" t="s">
        <v>54</v>
      </c>
      <c r="J2052" s="7" t="s">
        <v>213</v>
      </c>
      <c r="K2052" s="7" t="s">
        <v>254</v>
      </c>
      <c r="L2052" s="12">
        <v>1</v>
      </c>
      <c r="M2052" s="7" t="s">
        <v>173</v>
      </c>
    </row>
    <row r="2053" spans="2:13" ht="21.75" customHeight="1" x14ac:dyDescent="0.35">
      <c r="B2053" s="11">
        <v>100</v>
      </c>
      <c r="C2053" s="5" t="s">
        <v>10502</v>
      </c>
      <c r="D2053" s="11">
        <v>154</v>
      </c>
      <c r="E2053" s="5" t="s">
        <v>10892</v>
      </c>
      <c r="F2053" s="5" t="s">
        <v>10893</v>
      </c>
      <c r="G2053" s="5" t="s">
        <v>10894</v>
      </c>
      <c r="H2053" s="5" t="s">
        <v>40</v>
      </c>
      <c r="I2053" s="5" t="s">
        <v>54</v>
      </c>
      <c r="J2053" s="5" t="s">
        <v>213</v>
      </c>
      <c r="K2053" s="5" t="s">
        <v>254</v>
      </c>
      <c r="L2053" s="11">
        <v>1</v>
      </c>
      <c r="M2053" s="5" t="s">
        <v>173</v>
      </c>
    </row>
    <row r="2054" spans="2:13" ht="37.5" customHeight="1" x14ac:dyDescent="0.35">
      <c r="B2054" s="12">
        <v>100</v>
      </c>
      <c r="C2054" s="7" t="s">
        <v>10502</v>
      </c>
      <c r="D2054" s="12">
        <v>155</v>
      </c>
      <c r="E2054" s="7" t="s">
        <v>10895</v>
      </c>
      <c r="F2054" s="7" t="s">
        <v>10896</v>
      </c>
      <c r="G2054" s="7" t="s">
        <v>4815</v>
      </c>
      <c r="H2054" s="7" t="s">
        <v>40</v>
      </c>
      <c r="I2054" s="7" t="s">
        <v>54</v>
      </c>
      <c r="J2054" s="7" t="s">
        <v>213</v>
      </c>
      <c r="K2054" s="7" t="s">
        <v>254</v>
      </c>
      <c r="L2054" s="12">
        <v>1</v>
      </c>
      <c r="M2054" s="7" t="s">
        <v>173</v>
      </c>
    </row>
    <row r="2055" spans="2:13" ht="21.75" customHeight="1" x14ac:dyDescent="0.35">
      <c r="B2055" s="11">
        <v>100</v>
      </c>
      <c r="C2055" s="5" t="s">
        <v>10502</v>
      </c>
      <c r="D2055" s="11">
        <v>156</v>
      </c>
      <c r="E2055" s="5" t="s">
        <v>10897</v>
      </c>
      <c r="F2055" s="5" t="s">
        <v>10898</v>
      </c>
      <c r="G2055" s="5" t="s">
        <v>10899</v>
      </c>
      <c r="H2055" s="5" t="s">
        <v>40</v>
      </c>
      <c r="I2055" s="5" t="s">
        <v>54</v>
      </c>
      <c r="J2055" s="5" t="s">
        <v>213</v>
      </c>
      <c r="K2055" s="5" t="s">
        <v>254</v>
      </c>
      <c r="L2055" s="11">
        <v>1</v>
      </c>
      <c r="M2055" s="5" t="s">
        <v>173</v>
      </c>
    </row>
    <row r="2056" spans="2:13" ht="37.5" customHeight="1" x14ac:dyDescent="0.35">
      <c r="B2056" s="12">
        <v>100</v>
      </c>
      <c r="C2056" s="7" t="s">
        <v>10502</v>
      </c>
      <c r="D2056" s="12">
        <v>157</v>
      </c>
      <c r="E2056" s="7" t="s">
        <v>10900</v>
      </c>
      <c r="F2056" s="7" t="s">
        <v>10901</v>
      </c>
      <c r="G2056" s="7" t="s">
        <v>800</v>
      </c>
      <c r="H2056" s="7" t="s">
        <v>38</v>
      </c>
      <c r="I2056" s="7" t="s">
        <v>268</v>
      </c>
      <c r="J2056" s="7" t="s">
        <v>1069</v>
      </c>
      <c r="K2056" s="7" t="s">
        <v>10622</v>
      </c>
      <c r="L2056" s="12">
        <v>1</v>
      </c>
      <c r="M2056" s="7" t="s">
        <v>173</v>
      </c>
    </row>
    <row r="2057" spans="2:13" ht="37.5" customHeight="1" x14ac:dyDescent="0.35">
      <c r="B2057" s="11">
        <v>100</v>
      </c>
      <c r="C2057" s="5" t="s">
        <v>10502</v>
      </c>
      <c r="D2057" s="11">
        <v>158</v>
      </c>
      <c r="E2057" s="5" t="s">
        <v>10902</v>
      </c>
      <c r="F2057" s="5" t="s">
        <v>10903</v>
      </c>
      <c r="G2057" s="5" t="s">
        <v>959</v>
      </c>
      <c r="H2057" s="5" t="s">
        <v>38</v>
      </c>
      <c r="I2057" s="5" t="s">
        <v>268</v>
      </c>
      <c r="J2057" s="5" t="s">
        <v>1069</v>
      </c>
      <c r="K2057" s="5" t="s">
        <v>10622</v>
      </c>
      <c r="L2057" s="11">
        <v>1</v>
      </c>
      <c r="M2057" s="5" t="s">
        <v>173</v>
      </c>
    </row>
    <row r="2058" spans="2:13" ht="21.75" customHeight="1" x14ac:dyDescent="0.35">
      <c r="B2058" s="12">
        <v>100</v>
      </c>
      <c r="C2058" s="7" t="s">
        <v>10502</v>
      </c>
      <c r="D2058" s="12">
        <v>159</v>
      </c>
      <c r="E2058" s="7" t="s">
        <v>10904</v>
      </c>
      <c r="F2058" s="7" t="s">
        <v>10905</v>
      </c>
      <c r="G2058" s="7" t="s">
        <v>442</v>
      </c>
      <c r="H2058" s="7" t="s">
        <v>44</v>
      </c>
      <c r="I2058" s="7" t="s">
        <v>49</v>
      </c>
      <c r="J2058" s="7" t="s">
        <v>233</v>
      </c>
      <c r="K2058" s="7" t="s">
        <v>5524</v>
      </c>
      <c r="L2058" s="12">
        <v>1</v>
      </c>
      <c r="M2058" s="7" t="s">
        <v>173</v>
      </c>
    </row>
    <row r="2059" spans="2:13" ht="37.5" customHeight="1" x14ac:dyDescent="0.35">
      <c r="B2059" s="11">
        <v>101</v>
      </c>
      <c r="C2059" s="5" t="s">
        <v>10906</v>
      </c>
      <c r="D2059" s="11">
        <v>1</v>
      </c>
      <c r="E2059" s="5" t="s">
        <v>10907</v>
      </c>
      <c r="F2059" s="5" t="s">
        <v>10908</v>
      </c>
      <c r="G2059" s="5" t="s">
        <v>778</v>
      </c>
      <c r="H2059" s="5" t="s">
        <v>4752</v>
      </c>
      <c r="I2059" s="5" t="s">
        <v>5583</v>
      </c>
      <c r="J2059" s="5" t="s">
        <v>10909</v>
      </c>
      <c r="K2059" s="5" t="s">
        <v>10910</v>
      </c>
      <c r="L2059" s="11">
        <v>2</v>
      </c>
      <c r="M2059" s="5"/>
    </row>
    <row r="2060" spans="2:13" ht="52.5" customHeight="1" x14ac:dyDescent="0.35">
      <c r="B2060" s="12">
        <v>101</v>
      </c>
      <c r="C2060" s="7" t="s">
        <v>10906</v>
      </c>
      <c r="D2060" s="12">
        <v>2</v>
      </c>
      <c r="E2060" s="7" t="s">
        <v>10911</v>
      </c>
      <c r="F2060" s="7" t="s">
        <v>10912</v>
      </c>
      <c r="G2060" s="7" t="s">
        <v>25</v>
      </c>
      <c r="H2060" s="7" t="s">
        <v>7249</v>
      </c>
      <c r="I2060" s="7" t="s">
        <v>10913</v>
      </c>
      <c r="J2060" s="7" t="s">
        <v>10914</v>
      </c>
      <c r="K2060" s="7" t="s">
        <v>10915</v>
      </c>
      <c r="L2060" s="12">
        <v>3</v>
      </c>
      <c r="M2060" s="7"/>
    </row>
    <row r="2061" spans="2:13" ht="37.5" customHeight="1" x14ac:dyDescent="0.35">
      <c r="B2061" s="11">
        <v>101</v>
      </c>
      <c r="C2061" s="5" t="s">
        <v>10906</v>
      </c>
      <c r="D2061" s="11">
        <v>3</v>
      </c>
      <c r="E2061" s="5" t="s">
        <v>10916</v>
      </c>
      <c r="F2061" s="5" t="s">
        <v>10917</v>
      </c>
      <c r="G2061" s="5" t="s">
        <v>1713</v>
      </c>
      <c r="H2061" s="5" t="s">
        <v>4720</v>
      </c>
      <c r="I2061" s="5" t="s">
        <v>5225</v>
      </c>
      <c r="J2061" s="5" t="s">
        <v>10914</v>
      </c>
      <c r="K2061" s="5" t="s">
        <v>10918</v>
      </c>
      <c r="L2061" s="11">
        <v>2</v>
      </c>
      <c r="M2061" s="5"/>
    </row>
    <row r="2062" spans="2:13" ht="21.75" customHeight="1" x14ac:dyDescent="0.35">
      <c r="B2062" s="12">
        <v>101</v>
      </c>
      <c r="C2062" s="7" t="s">
        <v>10906</v>
      </c>
      <c r="D2062" s="12">
        <v>4</v>
      </c>
      <c r="E2062" s="7" t="s">
        <v>10919</v>
      </c>
      <c r="F2062" s="7" t="s">
        <v>10920</v>
      </c>
      <c r="G2062" s="7" t="s">
        <v>2837</v>
      </c>
      <c r="H2062" s="7" t="s">
        <v>39</v>
      </c>
      <c r="I2062" s="7" t="s">
        <v>57</v>
      </c>
      <c r="J2062" s="7" t="s">
        <v>194</v>
      </c>
      <c r="K2062" s="7" t="s">
        <v>8709</v>
      </c>
      <c r="L2062" s="12">
        <v>1</v>
      </c>
      <c r="M2062" s="7"/>
    </row>
    <row r="2063" spans="2:13" ht="37.5" customHeight="1" x14ac:dyDescent="0.35">
      <c r="B2063" s="11">
        <v>101</v>
      </c>
      <c r="C2063" s="5" t="s">
        <v>10906</v>
      </c>
      <c r="D2063" s="11">
        <v>5</v>
      </c>
      <c r="E2063" s="5" t="s">
        <v>10921</v>
      </c>
      <c r="F2063" s="5" t="s">
        <v>10922</v>
      </c>
      <c r="G2063" s="5" t="s">
        <v>249</v>
      </c>
      <c r="H2063" s="5" t="s">
        <v>8873</v>
      </c>
      <c r="I2063" s="5" t="s">
        <v>8737</v>
      </c>
      <c r="J2063" s="5" t="s">
        <v>220</v>
      </c>
      <c r="K2063" s="5" t="s">
        <v>10923</v>
      </c>
      <c r="L2063" s="11">
        <v>2</v>
      </c>
      <c r="M2063" s="5"/>
    </row>
    <row r="2064" spans="2:13" ht="37.5" customHeight="1" x14ac:dyDescent="0.35">
      <c r="B2064" s="12">
        <v>101</v>
      </c>
      <c r="C2064" s="7" t="s">
        <v>10906</v>
      </c>
      <c r="D2064" s="12">
        <v>6</v>
      </c>
      <c r="E2064" s="7" t="s">
        <v>10924</v>
      </c>
      <c r="F2064" s="7" t="s">
        <v>10925</v>
      </c>
      <c r="G2064" s="7" t="s">
        <v>831</v>
      </c>
      <c r="H2064" s="7" t="s">
        <v>37</v>
      </c>
      <c r="I2064" s="7" t="s">
        <v>49</v>
      </c>
      <c r="J2064" s="7" t="s">
        <v>194</v>
      </c>
      <c r="K2064" s="7" t="s">
        <v>10719</v>
      </c>
      <c r="L2064" s="12">
        <v>1</v>
      </c>
      <c r="M2064" s="7"/>
    </row>
    <row r="2065" spans="2:13" ht="37.5" customHeight="1" x14ac:dyDescent="0.35">
      <c r="B2065" s="11">
        <v>101</v>
      </c>
      <c r="C2065" s="5" t="s">
        <v>10906</v>
      </c>
      <c r="D2065" s="11">
        <v>7</v>
      </c>
      <c r="E2065" s="5" t="s">
        <v>10926</v>
      </c>
      <c r="F2065" s="5" t="s">
        <v>10927</v>
      </c>
      <c r="G2065" s="5" t="s">
        <v>31</v>
      </c>
      <c r="H2065" s="5" t="s">
        <v>10527</v>
      </c>
      <c r="I2065" s="5" t="s">
        <v>8737</v>
      </c>
      <c r="J2065" s="5" t="s">
        <v>10928</v>
      </c>
      <c r="K2065" s="5" t="s">
        <v>10929</v>
      </c>
      <c r="L2065" s="11">
        <v>2</v>
      </c>
      <c r="M2065" s="5"/>
    </row>
    <row r="2066" spans="2:13" ht="37.5" customHeight="1" x14ac:dyDescent="0.35">
      <c r="B2066" s="12">
        <v>101</v>
      </c>
      <c r="C2066" s="7" t="s">
        <v>10906</v>
      </c>
      <c r="D2066" s="12">
        <v>8</v>
      </c>
      <c r="E2066" s="7" t="s">
        <v>10930</v>
      </c>
      <c r="F2066" s="7" t="s">
        <v>10931</v>
      </c>
      <c r="G2066" s="7" t="s">
        <v>560</v>
      </c>
      <c r="H2066" s="7" t="s">
        <v>41</v>
      </c>
      <c r="I2066" s="7" t="s">
        <v>49</v>
      </c>
      <c r="J2066" s="7" t="s">
        <v>5505</v>
      </c>
      <c r="K2066" s="7" t="s">
        <v>10932</v>
      </c>
      <c r="L2066" s="12">
        <v>1</v>
      </c>
      <c r="M2066" s="7"/>
    </row>
    <row r="2067" spans="2:13" ht="37.5" customHeight="1" x14ac:dyDescent="0.35">
      <c r="B2067" s="11">
        <v>101</v>
      </c>
      <c r="C2067" s="5" t="s">
        <v>10906</v>
      </c>
      <c r="D2067" s="11">
        <v>9</v>
      </c>
      <c r="E2067" s="5" t="s">
        <v>10933</v>
      </c>
      <c r="F2067" s="5" t="s">
        <v>10934</v>
      </c>
      <c r="G2067" s="5" t="s">
        <v>1252</v>
      </c>
      <c r="H2067" s="5" t="s">
        <v>4580</v>
      </c>
      <c r="I2067" s="5" t="s">
        <v>10935</v>
      </c>
      <c r="J2067" s="5" t="s">
        <v>10936</v>
      </c>
      <c r="K2067" s="5" t="s">
        <v>10937</v>
      </c>
      <c r="L2067" s="11">
        <v>2</v>
      </c>
      <c r="M2067" s="5"/>
    </row>
    <row r="2068" spans="2:13" ht="21.75" customHeight="1" x14ac:dyDescent="0.35">
      <c r="B2068" s="12">
        <v>101</v>
      </c>
      <c r="C2068" s="7" t="s">
        <v>10906</v>
      </c>
      <c r="D2068" s="12">
        <v>10</v>
      </c>
      <c r="E2068" s="7" t="s">
        <v>10938</v>
      </c>
      <c r="F2068" s="7" t="s">
        <v>10939</v>
      </c>
      <c r="G2068" s="7" t="s">
        <v>26</v>
      </c>
      <c r="H2068" s="7" t="s">
        <v>36</v>
      </c>
      <c r="I2068" s="7" t="s">
        <v>10940</v>
      </c>
      <c r="J2068" s="7" t="s">
        <v>7044</v>
      </c>
      <c r="K2068" s="7" t="s">
        <v>10941</v>
      </c>
      <c r="L2068" s="12">
        <v>1</v>
      </c>
      <c r="M2068" s="7"/>
    </row>
    <row r="2069" spans="2:13" ht="37.5" customHeight="1" x14ac:dyDescent="0.35">
      <c r="B2069" s="11">
        <v>102</v>
      </c>
      <c r="C2069" s="5" t="s">
        <v>10942</v>
      </c>
      <c r="D2069" s="11">
        <v>1</v>
      </c>
      <c r="E2069" s="5" t="s">
        <v>10943</v>
      </c>
      <c r="F2069" s="5" t="s">
        <v>10944</v>
      </c>
      <c r="G2069" s="5" t="s">
        <v>249</v>
      </c>
      <c r="H2069" s="5" t="s">
        <v>301</v>
      </c>
      <c r="I2069" s="5" t="s">
        <v>10945</v>
      </c>
      <c r="J2069" s="5" t="s">
        <v>10946</v>
      </c>
      <c r="K2069" s="5" t="s">
        <v>10947</v>
      </c>
      <c r="L2069" s="11">
        <v>2</v>
      </c>
      <c r="M2069" s="5"/>
    </row>
    <row r="2070" spans="2:13" ht="37.5" customHeight="1" x14ac:dyDescent="0.35">
      <c r="B2070" s="12">
        <v>102</v>
      </c>
      <c r="C2070" s="7" t="s">
        <v>10942</v>
      </c>
      <c r="D2070" s="12">
        <v>2</v>
      </c>
      <c r="E2070" s="7" t="s">
        <v>10948</v>
      </c>
      <c r="F2070" s="7" t="s">
        <v>10949</v>
      </c>
      <c r="G2070" s="7" t="s">
        <v>24</v>
      </c>
      <c r="H2070" s="7" t="s">
        <v>306</v>
      </c>
      <c r="I2070" s="7" t="s">
        <v>4776</v>
      </c>
      <c r="J2070" s="7" t="s">
        <v>10950</v>
      </c>
      <c r="K2070" s="7" t="s">
        <v>10951</v>
      </c>
      <c r="L2070" s="12">
        <v>2</v>
      </c>
      <c r="M2070" s="7"/>
    </row>
    <row r="2071" spans="2:13" ht="37.5" customHeight="1" x14ac:dyDescent="0.35">
      <c r="B2071" s="11"/>
      <c r="C2071" s="5" t="s">
        <v>10952</v>
      </c>
      <c r="D2071" s="11">
        <v>3</v>
      </c>
      <c r="E2071" s="5" t="s">
        <v>10953</v>
      </c>
      <c r="F2071" s="5" t="s">
        <v>10954</v>
      </c>
      <c r="G2071" s="5" t="s">
        <v>4260</v>
      </c>
      <c r="H2071" s="5" t="s">
        <v>44</v>
      </c>
      <c r="I2071" s="5" t="s">
        <v>49</v>
      </c>
      <c r="J2071" s="5" t="s">
        <v>4098</v>
      </c>
      <c r="K2071" s="5" t="s">
        <v>10955</v>
      </c>
      <c r="L2071" s="11">
        <v>1</v>
      </c>
      <c r="M2071" s="5"/>
    </row>
    <row r="2072" spans="2:13" ht="37.5" customHeight="1" x14ac:dyDescent="0.35">
      <c r="B2072" s="12"/>
      <c r="C2072" s="7" t="s">
        <v>10952</v>
      </c>
      <c r="D2072" s="12">
        <v>4</v>
      </c>
      <c r="E2072" s="7" t="s">
        <v>10956</v>
      </c>
      <c r="F2072" s="7" t="s">
        <v>10957</v>
      </c>
      <c r="G2072" s="7" t="s">
        <v>1214</v>
      </c>
      <c r="H2072" s="7" t="s">
        <v>4580</v>
      </c>
      <c r="I2072" s="7" t="s">
        <v>5143</v>
      </c>
      <c r="J2072" s="7" t="s">
        <v>10958</v>
      </c>
      <c r="K2072" s="7" t="s">
        <v>10959</v>
      </c>
      <c r="L2072" s="12">
        <v>2</v>
      </c>
      <c r="M2072" s="7"/>
    </row>
    <row r="2073" spans="2:13" ht="37.5" customHeight="1" x14ac:dyDescent="0.35">
      <c r="B2073" s="11"/>
      <c r="C2073" s="5" t="s">
        <v>10952</v>
      </c>
      <c r="D2073" s="11">
        <v>5</v>
      </c>
      <c r="E2073" s="5" t="s">
        <v>10960</v>
      </c>
      <c r="F2073" s="5" t="s">
        <v>10961</v>
      </c>
      <c r="G2073" s="5" t="s">
        <v>1196</v>
      </c>
      <c r="H2073" s="5" t="s">
        <v>8859</v>
      </c>
      <c r="I2073" s="5" t="s">
        <v>10395</v>
      </c>
      <c r="J2073" s="5" t="s">
        <v>10962</v>
      </c>
      <c r="K2073" s="5" t="s">
        <v>10963</v>
      </c>
      <c r="L2073" s="11">
        <v>2</v>
      </c>
      <c r="M2073" s="5"/>
    </row>
    <row r="2074" spans="2:13" ht="37.5" customHeight="1" x14ac:dyDescent="0.35">
      <c r="B2074" s="12"/>
      <c r="C2074" s="7" t="s">
        <v>10952</v>
      </c>
      <c r="D2074" s="12">
        <v>6</v>
      </c>
      <c r="E2074" s="7" t="s">
        <v>10964</v>
      </c>
      <c r="F2074" s="7" t="s">
        <v>10965</v>
      </c>
      <c r="G2074" s="7" t="s">
        <v>249</v>
      </c>
      <c r="H2074" s="7" t="s">
        <v>39</v>
      </c>
      <c r="I2074" s="7" t="s">
        <v>57</v>
      </c>
      <c r="J2074" s="7" t="s">
        <v>5394</v>
      </c>
      <c r="K2074" s="7" t="s">
        <v>10966</v>
      </c>
      <c r="L2074" s="12">
        <v>1</v>
      </c>
      <c r="M2074" s="7"/>
    </row>
    <row r="2075" spans="2:13" ht="37.5" customHeight="1" x14ac:dyDescent="0.35">
      <c r="B2075" s="11"/>
      <c r="C2075" s="5" t="s">
        <v>10952</v>
      </c>
      <c r="D2075" s="11">
        <v>7</v>
      </c>
      <c r="E2075" s="5" t="s">
        <v>10967</v>
      </c>
      <c r="F2075" s="5" t="s">
        <v>10968</v>
      </c>
      <c r="G2075" s="5" t="s">
        <v>2837</v>
      </c>
      <c r="H2075" s="5" t="s">
        <v>39</v>
      </c>
      <c r="I2075" s="5" t="s">
        <v>57</v>
      </c>
      <c r="J2075" s="5" t="s">
        <v>5394</v>
      </c>
      <c r="K2075" s="5" t="s">
        <v>10966</v>
      </c>
      <c r="L2075" s="11">
        <v>1</v>
      </c>
      <c r="M2075" s="5"/>
    </row>
    <row r="2076" spans="2:13" ht="37.5" customHeight="1" x14ac:dyDescent="0.35">
      <c r="B2076" s="12"/>
      <c r="C2076" s="7" t="s">
        <v>10952</v>
      </c>
      <c r="D2076" s="12">
        <v>8</v>
      </c>
      <c r="E2076" s="7" t="s">
        <v>10969</v>
      </c>
      <c r="F2076" s="7" t="s">
        <v>10970</v>
      </c>
      <c r="G2076" s="7" t="s">
        <v>1161</v>
      </c>
      <c r="H2076" s="7" t="s">
        <v>39</v>
      </c>
      <c r="I2076" s="7" t="s">
        <v>57</v>
      </c>
      <c r="J2076" s="7" t="s">
        <v>5394</v>
      </c>
      <c r="K2076" s="7" t="s">
        <v>10966</v>
      </c>
      <c r="L2076" s="12">
        <v>1</v>
      </c>
      <c r="M2076" s="7"/>
    </row>
    <row r="2077" spans="2:13" ht="37.5" customHeight="1" x14ac:dyDescent="0.35">
      <c r="B2077" s="11"/>
      <c r="C2077" s="5" t="s">
        <v>10952</v>
      </c>
      <c r="D2077" s="11">
        <v>9</v>
      </c>
      <c r="E2077" s="5" t="s">
        <v>10971</v>
      </c>
      <c r="F2077" s="5" t="s">
        <v>10972</v>
      </c>
      <c r="G2077" s="5" t="s">
        <v>421</v>
      </c>
      <c r="H2077" s="5" t="s">
        <v>1948</v>
      </c>
      <c r="I2077" s="5" t="s">
        <v>7683</v>
      </c>
      <c r="J2077" s="5" t="s">
        <v>4098</v>
      </c>
      <c r="K2077" s="5" t="s">
        <v>10973</v>
      </c>
      <c r="L2077" s="11">
        <v>1</v>
      </c>
      <c r="M2077" s="5"/>
    </row>
    <row r="2078" spans="2:13" ht="37.5" customHeight="1" x14ac:dyDescent="0.35">
      <c r="B2078" s="12"/>
      <c r="C2078" s="7" t="s">
        <v>10952</v>
      </c>
      <c r="D2078" s="12">
        <v>10</v>
      </c>
      <c r="E2078" s="7" t="s">
        <v>10974</v>
      </c>
      <c r="F2078" s="7" t="s">
        <v>10975</v>
      </c>
      <c r="G2078" s="7" t="s">
        <v>319</v>
      </c>
      <c r="H2078" s="7" t="s">
        <v>37</v>
      </c>
      <c r="I2078" s="7" t="s">
        <v>193</v>
      </c>
      <c r="J2078" s="7" t="s">
        <v>4948</v>
      </c>
      <c r="K2078" s="7" t="s">
        <v>10976</v>
      </c>
      <c r="L2078" s="12">
        <v>1</v>
      </c>
      <c r="M2078" s="7"/>
    </row>
    <row r="2079" spans="2:13" ht="37.5" customHeight="1" x14ac:dyDescent="0.35">
      <c r="B2079" s="11"/>
      <c r="C2079" s="5" t="s">
        <v>10952</v>
      </c>
      <c r="D2079" s="11">
        <v>11</v>
      </c>
      <c r="E2079" s="5" t="s">
        <v>10977</v>
      </c>
      <c r="F2079" s="5" t="s">
        <v>10978</v>
      </c>
      <c r="G2079" s="5" t="s">
        <v>27</v>
      </c>
      <c r="H2079" s="5" t="s">
        <v>4996</v>
      </c>
      <c r="I2079" s="5" t="s">
        <v>4971</v>
      </c>
      <c r="J2079" s="5" t="s">
        <v>4166</v>
      </c>
      <c r="K2079" s="5" t="s">
        <v>10979</v>
      </c>
      <c r="L2079" s="11">
        <v>2</v>
      </c>
      <c r="M2079" s="5"/>
    </row>
    <row r="2080" spans="2:13" ht="37.5" customHeight="1" x14ac:dyDescent="0.35">
      <c r="B2080" s="12"/>
      <c r="C2080" s="7" t="s">
        <v>10952</v>
      </c>
      <c r="D2080" s="12">
        <v>12</v>
      </c>
      <c r="E2080" s="7" t="s">
        <v>10980</v>
      </c>
      <c r="F2080" s="7" t="s">
        <v>10981</v>
      </c>
      <c r="G2080" s="7" t="s">
        <v>4255</v>
      </c>
      <c r="H2080" s="7" t="s">
        <v>1995</v>
      </c>
      <c r="I2080" s="7" t="s">
        <v>8760</v>
      </c>
      <c r="J2080" s="7" t="s">
        <v>10982</v>
      </c>
      <c r="K2080" s="7" t="s">
        <v>10983</v>
      </c>
      <c r="L2080" s="12">
        <v>2</v>
      </c>
      <c r="M2080" s="7"/>
    </row>
    <row r="2081" spans="2:13" ht="37.5" customHeight="1" x14ac:dyDescent="0.35">
      <c r="B2081" s="11"/>
      <c r="C2081" s="5" t="s">
        <v>10952</v>
      </c>
      <c r="D2081" s="11">
        <v>13</v>
      </c>
      <c r="E2081" s="5" t="s">
        <v>10984</v>
      </c>
      <c r="F2081" s="5" t="s">
        <v>10985</v>
      </c>
      <c r="G2081" s="5" t="s">
        <v>212</v>
      </c>
      <c r="H2081" s="5" t="s">
        <v>44</v>
      </c>
      <c r="I2081" s="5" t="s">
        <v>49</v>
      </c>
      <c r="J2081" s="5" t="s">
        <v>10986</v>
      </c>
      <c r="K2081" s="5" t="s">
        <v>10987</v>
      </c>
      <c r="L2081" s="11">
        <v>1</v>
      </c>
      <c r="M2081" s="5"/>
    </row>
    <row r="2082" spans="2:13" ht="37.5" customHeight="1" x14ac:dyDescent="0.35">
      <c r="B2082" s="12"/>
      <c r="C2082" s="7" t="s">
        <v>10952</v>
      </c>
      <c r="D2082" s="12">
        <v>14</v>
      </c>
      <c r="E2082" s="7" t="s">
        <v>10988</v>
      </c>
      <c r="F2082" s="7" t="s">
        <v>10989</v>
      </c>
      <c r="G2082" s="7" t="s">
        <v>698</v>
      </c>
      <c r="H2082" s="7" t="s">
        <v>36</v>
      </c>
      <c r="I2082" s="7" t="s">
        <v>48</v>
      </c>
      <c r="J2082" s="7" t="s">
        <v>5394</v>
      </c>
      <c r="K2082" s="7" t="s">
        <v>5395</v>
      </c>
      <c r="L2082" s="12">
        <v>1</v>
      </c>
      <c r="M2082" s="7"/>
    </row>
    <row r="2083" spans="2:13" ht="37.5" customHeight="1" x14ac:dyDescent="0.35">
      <c r="B2083" s="11"/>
      <c r="C2083" s="5" t="s">
        <v>10952</v>
      </c>
      <c r="D2083" s="11">
        <v>15</v>
      </c>
      <c r="E2083" s="5" t="s">
        <v>10990</v>
      </c>
      <c r="F2083" s="5" t="s">
        <v>10991</v>
      </c>
      <c r="G2083" s="5" t="s">
        <v>395</v>
      </c>
      <c r="H2083" s="5" t="s">
        <v>36</v>
      </c>
      <c r="I2083" s="5" t="s">
        <v>48</v>
      </c>
      <c r="J2083" s="5" t="s">
        <v>5394</v>
      </c>
      <c r="K2083" s="5" t="s">
        <v>5395</v>
      </c>
      <c r="L2083" s="11">
        <v>1</v>
      </c>
      <c r="M2083" s="5"/>
    </row>
    <row r="2084" spans="2:13" ht="37.5" customHeight="1" x14ac:dyDescent="0.35">
      <c r="B2084" s="12"/>
      <c r="C2084" s="7" t="s">
        <v>10952</v>
      </c>
      <c r="D2084" s="12">
        <v>16</v>
      </c>
      <c r="E2084" s="7" t="s">
        <v>10992</v>
      </c>
      <c r="F2084" s="7" t="s">
        <v>10993</v>
      </c>
      <c r="G2084" s="7" t="s">
        <v>557</v>
      </c>
      <c r="H2084" s="7" t="s">
        <v>1521</v>
      </c>
      <c r="I2084" s="7" t="s">
        <v>5294</v>
      </c>
      <c r="J2084" s="7" t="s">
        <v>5358</v>
      </c>
      <c r="K2084" s="7" t="s">
        <v>10994</v>
      </c>
      <c r="L2084" s="12">
        <v>2</v>
      </c>
      <c r="M2084" s="7"/>
    </row>
    <row r="2085" spans="2:13" ht="37.5" customHeight="1" x14ac:dyDescent="0.35">
      <c r="B2085" s="11"/>
      <c r="C2085" s="5" t="s">
        <v>10952</v>
      </c>
      <c r="D2085" s="11">
        <v>17</v>
      </c>
      <c r="E2085" s="5" t="s">
        <v>10995</v>
      </c>
      <c r="F2085" s="5" t="s">
        <v>10996</v>
      </c>
      <c r="G2085" s="5" t="s">
        <v>8708</v>
      </c>
      <c r="H2085" s="5" t="s">
        <v>6394</v>
      </c>
      <c r="I2085" s="5" t="s">
        <v>6922</v>
      </c>
      <c r="J2085" s="5" t="s">
        <v>10997</v>
      </c>
      <c r="K2085" s="5" t="s">
        <v>10998</v>
      </c>
      <c r="L2085" s="11">
        <v>2</v>
      </c>
      <c r="M2085" s="5"/>
    </row>
    <row r="2086" spans="2:13" ht="37.5" customHeight="1" x14ac:dyDescent="0.35">
      <c r="B2086" s="12"/>
      <c r="C2086" s="7" t="s">
        <v>10952</v>
      </c>
      <c r="D2086" s="12">
        <v>18</v>
      </c>
      <c r="E2086" s="7" t="s">
        <v>10999</v>
      </c>
      <c r="F2086" s="7" t="s">
        <v>11000</v>
      </c>
      <c r="G2086" s="7" t="s">
        <v>1252</v>
      </c>
      <c r="H2086" s="7" t="s">
        <v>36</v>
      </c>
      <c r="I2086" s="7" t="s">
        <v>48</v>
      </c>
      <c r="J2086" s="7" t="s">
        <v>5394</v>
      </c>
      <c r="K2086" s="7" t="s">
        <v>5395</v>
      </c>
      <c r="L2086" s="12">
        <v>1</v>
      </c>
      <c r="M2086" s="7"/>
    </row>
    <row r="2087" spans="2:13" ht="37.5" customHeight="1" x14ac:dyDescent="0.35">
      <c r="B2087" s="11"/>
      <c r="C2087" s="5" t="s">
        <v>10952</v>
      </c>
      <c r="D2087" s="11">
        <v>19</v>
      </c>
      <c r="E2087" s="5" t="s">
        <v>11001</v>
      </c>
      <c r="F2087" s="5" t="s">
        <v>10875</v>
      </c>
      <c r="G2087" s="5" t="s">
        <v>192</v>
      </c>
      <c r="H2087" s="5" t="s">
        <v>1521</v>
      </c>
      <c r="I2087" s="5" t="s">
        <v>5294</v>
      </c>
      <c r="J2087" s="5" t="s">
        <v>5358</v>
      </c>
      <c r="K2087" s="5" t="s">
        <v>10994</v>
      </c>
      <c r="L2087" s="11">
        <v>2</v>
      </c>
      <c r="M2087" s="5"/>
    </row>
    <row r="2088" spans="2:13" ht="37.5" customHeight="1" x14ac:dyDescent="0.35">
      <c r="B2088" s="12"/>
      <c r="C2088" s="7" t="s">
        <v>10952</v>
      </c>
      <c r="D2088" s="12">
        <v>20</v>
      </c>
      <c r="E2088" s="7" t="s">
        <v>11002</v>
      </c>
      <c r="F2088" s="7" t="s">
        <v>11003</v>
      </c>
      <c r="G2088" s="7" t="s">
        <v>905</v>
      </c>
      <c r="H2088" s="7" t="s">
        <v>36</v>
      </c>
      <c r="I2088" s="7" t="s">
        <v>48</v>
      </c>
      <c r="J2088" s="7" t="s">
        <v>5394</v>
      </c>
      <c r="K2088" s="7" t="s">
        <v>5395</v>
      </c>
      <c r="L2088" s="12">
        <v>1</v>
      </c>
      <c r="M2088" s="7"/>
    </row>
    <row r="2089" spans="2:13" ht="37.5" customHeight="1" x14ac:dyDescent="0.35">
      <c r="B2089" s="11"/>
      <c r="C2089" s="5" t="s">
        <v>10952</v>
      </c>
      <c r="D2089" s="11">
        <v>21</v>
      </c>
      <c r="E2089" s="5" t="s">
        <v>11004</v>
      </c>
      <c r="F2089" s="5" t="s">
        <v>11005</v>
      </c>
      <c r="G2089" s="5" t="s">
        <v>428</v>
      </c>
      <c r="H2089" s="5" t="s">
        <v>294</v>
      </c>
      <c r="I2089" s="5" t="s">
        <v>4971</v>
      </c>
      <c r="J2089" s="5" t="s">
        <v>4190</v>
      </c>
      <c r="K2089" s="5" t="s">
        <v>11006</v>
      </c>
      <c r="L2089" s="11">
        <v>2</v>
      </c>
      <c r="M2089" s="5"/>
    </row>
    <row r="2090" spans="2:13" ht="37.5" customHeight="1" x14ac:dyDescent="0.35">
      <c r="B2090" s="12"/>
      <c r="C2090" s="7" t="s">
        <v>10952</v>
      </c>
      <c r="D2090" s="12">
        <v>22</v>
      </c>
      <c r="E2090" s="7" t="s">
        <v>11007</v>
      </c>
      <c r="F2090" s="7" t="s">
        <v>11008</v>
      </c>
      <c r="G2090" s="7" t="s">
        <v>625</v>
      </c>
      <c r="H2090" s="7" t="s">
        <v>36</v>
      </c>
      <c r="I2090" s="7" t="s">
        <v>48</v>
      </c>
      <c r="J2090" s="7" t="s">
        <v>5404</v>
      </c>
      <c r="K2090" s="7" t="s">
        <v>5405</v>
      </c>
      <c r="L2090" s="12">
        <v>1</v>
      </c>
      <c r="M2090" s="7"/>
    </row>
    <row r="2091" spans="2:13" ht="37.5" customHeight="1" x14ac:dyDescent="0.35">
      <c r="B2091" s="11"/>
      <c r="C2091" s="5" t="s">
        <v>10952</v>
      </c>
      <c r="D2091" s="11">
        <v>23</v>
      </c>
      <c r="E2091" s="5" t="s">
        <v>11009</v>
      </c>
      <c r="F2091" s="5" t="s">
        <v>11010</v>
      </c>
      <c r="G2091" s="5" t="s">
        <v>536</v>
      </c>
      <c r="H2091" s="5" t="s">
        <v>36</v>
      </c>
      <c r="I2091" s="5" t="s">
        <v>48</v>
      </c>
      <c r="J2091" s="5" t="s">
        <v>5404</v>
      </c>
      <c r="K2091" s="5" t="s">
        <v>5405</v>
      </c>
      <c r="L2091" s="11">
        <v>1</v>
      </c>
      <c r="M2091" s="5"/>
    </row>
    <row r="2092" spans="2:13" ht="37.5" customHeight="1" x14ac:dyDescent="0.35">
      <c r="B2092" s="12"/>
      <c r="C2092" s="7" t="s">
        <v>10952</v>
      </c>
      <c r="D2092" s="12">
        <v>24</v>
      </c>
      <c r="E2092" s="7" t="s">
        <v>11011</v>
      </c>
      <c r="F2092" s="7" t="s">
        <v>11012</v>
      </c>
      <c r="G2092" s="7" t="s">
        <v>497</v>
      </c>
      <c r="H2092" s="7" t="s">
        <v>45</v>
      </c>
      <c r="I2092" s="7" t="s">
        <v>11013</v>
      </c>
      <c r="J2092" s="7" t="s">
        <v>11014</v>
      </c>
      <c r="K2092" s="7" t="s">
        <v>11015</v>
      </c>
      <c r="L2092" s="12">
        <v>1</v>
      </c>
      <c r="M2092" s="7"/>
    </row>
    <row r="2093" spans="2:13" ht="97.5" customHeight="1" x14ac:dyDescent="0.35">
      <c r="B2093" s="11">
        <v>103</v>
      </c>
      <c r="C2093" s="5" t="s">
        <v>11016</v>
      </c>
      <c r="D2093" s="11">
        <v>1</v>
      </c>
      <c r="E2093" s="5" t="s">
        <v>11017</v>
      </c>
      <c r="F2093" s="5" t="s">
        <v>11018</v>
      </c>
      <c r="G2093" s="5" t="s">
        <v>5711</v>
      </c>
      <c r="H2093" s="5" t="s">
        <v>11019</v>
      </c>
      <c r="I2093" s="5" t="s">
        <v>11020</v>
      </c>
      <c r="J2093" s="5" t="s">
        <v>8560</v>
      </c>
      <c r="K2093" s="5" t="s">
        <v>11021</v>
      </c>
      <c r="L2093" s="11">
        <v>5</v>
      </c>
      <c r="M2093" s="5" t="s">
        <v>156</v>
      </c>
    </row>
    <row r="2094" spans="2:13" ht="52.5" customHeight="1" x14ac:dyDescent="0.35">
      <c r="B2094" s="12">
        <v>103</v>
      </c>
      <c r="C2094" s="7" t="s">
        <v>11016</v>
      </c>
      <c r="D2094" s="12">
        <v>2</v>
      </c>
      <c r="E2094" s="7" t="s">
        <v>11022</v>
      </c>
      <c r="F2094" s="7" t="s">
        <v>11023</v>
      </c>
      <c r="G2094" s="7" t="s">
        <v>358</v>
      </c>
      <c r="H2094" s="7" t="s">
        <v>36</v>
      </c>
      <c r="I2094" s="7" t="s">
        <v>11024</v>
      </c>
      <c r="J2094" s="7" t="s">
        <v>331</v>
      </c>
      <c r="K2094" s="7" t="s">
        <v>11025</v>
      </c>
      <c r="L2094" s="12">
        <v>1</v>
      </c>
      <c r="M2094" s="7" t="s">
        <v>156</v>
      </c>
    </row>
    <row r="2095" spans="2:13" ht="82.5" customHeight="1" x14ac:dyDescent="0.35">
      <c r="B2095" s="11">
        <v>103</v>
      </c>
      <c r="C2095" s="5" t="s">
        <v>11016</v>
      </c>
      <c r="D2095" s="11">
        <v>3</v>
      </c>
      <c r="E2095" s="5" t="s">
        <v>11026</v>
      </c>
      <c r="F2095" s="5" t="s">
        <v>11027</v>
      </c>
      <c r="G2095" s="5" t="s">
        <v>1294</v>
      </c>
      <c r="H2095" s="5" t="s">
        <v>11028</v>
      </c>
      <c r="I2095" s="5" t="s">
        <v>11029</v>
      </c>
      <c r="J2095" s="5" t="s">
        <v>11030</v>
      </c>
      <c r="K2095" s="5" t="s">
        <v>11031</v>
      </c>
      <c r="L2095" s="11">
        <v>4</v>
      </c>
      <c r="M2095" s="5" t="s">
        <v>156</v>
      </c>
    </row>
    <row r="2096" spans="2:13" ht="37.5" customHeight="1" x14ac:dyDescent="0.35">
      <c r="B2096" s="12">
        <v>103</v>
      </c>
      <c r="C2096" s="7" t="s">
        <v>11016</v>
      </c>
      <c r="D2096" s="12">
        <v>4</v>
      </c>
      <c r="E2096" s="7" t="s">
        <v>11032</v>
      </c>
      <c r="F2096" s="7" t="s">
        <v>11033</v>
      </c>
      <c r="G2096" s="7" t="s">
        <v>232</v>
      </c>
      <c r="H2096" s="7" t="s">
        <v>36</v>
      </c>
      <c r="I2096" s="7" t="s">
        <v>48</v>
      </c>
      <c r="J2096" s="7" t="s">
        <v>177</v>
      </c>
      <c r="K2096" s="7" t="s">
        <v>4570</v>
      </c>
      <c r="L2096" s="12">
        <v>1</v>
      </c>
      <c r="M2096" s="7" t="s">
        <v>156</v>
      </c>
    </row>
    <row r="2097" spans="2:13" ht="37.5" customHeight="1" x14ac:dyDescent="0.35">
      <c r="B2097" s="11">
        <v>103</v>
      </c>
      <c r="C2097" s="5" t="s">
        <v>11016</v>
      </c>
      <c r="D2097" s="11">
        <v>5</v>
      </c>
      <c r="E2097" s="5" t="s">
        <v>11034</v>
      </c>
      <c r="F2097" s="5" t="s">
        <v>11035</v>
      </c>
      <c r="G2097" s="5" t="s">
        <v>517</v>
      </c>
      <c r="H2097" s="5" t="s">
        <v>1521</v>
      </c>
      <c r="I2097" s="5" t="s">
        <v>11036</v>
      </c>
      <c r="J2097" s="5" t="s">
        <v>11037</v>
      </c>
      <c r="K2097" s="5" t="s">
        <v>11038</v>
      </c>
      <c r="L2097" s="11">
        <v>2</v>
      </c>
      <c r="M2097" s="5" t="s">
        <v>156</v>
      </c>
    </row>
    <row r="2098" spans="2:13" ht="21.75" customHeight="1" x14ac:dyDescent="0.35">
      <c r="B2098" s="12">
        <v>103</v>
      </c>
      <c r="C2098" s="7" t="s">
        <v>11016</v>
      </c>
      <c r="D2098" s="12">
        <v>6</v>
      </c>
      <c r="E2098" s="7" t="s">
        <v>11039</v>
      </c>
      <c r="F2098" s="7" t="s">
        <v>11040</v>
      </c>
      <c r="G2098" s="7" t="s">
        <v>365</v>
      </c>
      <c r="H2098" s="7" t="s">
        <v>36</v>
      </c>
      <c r="I2098" s="7" t="s">
        <v>1885</v>
      </c>
      <c r="J2098" s="7" t="s">
        <v>177</v>
      </c>
      <c r="K2098" s="7" t="s">
        <v>4796</v>
      </c>
      <c r="L2098" s="12">
        <v>1</v>
      </c>
      <c r="M2098" s="7" t="s">
        <v>156</v>
      </c>
    </row>
    <row r="2099" spans="2:13" ht="37.5" customHeight="1" x14ac:dyDescent="0.35">
      <c r="B2099" s="11">
        <v>103</v>
      </c>
      <c r="C2099" s="5" t="s">
        <v>11016</v>
      </c>
      <c r="D2099" s="11">
        <v>7</v>
      </c>
      <c r="E2099" s="5" t="s">
        <v>11041</v>
      </c>
      <c r="F2099" s="5" t="s">
        <v>11042</v>
      </c>
      <c r="G2099" s="5" t="s">
        <v>372</v>
      </c>
      <c r="H2099" s="5" t="s">
        <v>36</v>
      </c>
      <c r="I2099" s="5" t="s">
        <v>4792</v>
      </c>
      <c r="J2099" s="5" t="s">
        <v>177</v>
      </c>
      <c r="K2099" s="5" t="s">
        <v>9391</v>
      </c>
      <c r="L2099" s="11">
        <v>1</v>
      </c>
      <c r="M2099" s="5" t="s">
        <v>156</v>
      </c>
    </row>
    <row r="2100" spans="2:13" ht="21.75" customHeight="1" x14ac:dyDescent="0.35">
      <c r="B2100" s="12">
        <v>103</v>
      </c>
      <c r="C2100" s="7" t="s">
        <v>11016</v>
      </c>
      <c r="D2100" s="12">
        <v>8</v>
      </c>
      <c r="E2100" s="7" t="s">
        <v>11043</v>
      </c>
      <c r="F2100" s="7" t="s">
        <v>11044</v>
      </c>
      <c r="G2100" s="7" t="s">
        <v>2415</v>
      </c>
      <c r="H2100" s="7" t="s">
        <v>36</v>
      </c>
      <c r="I2100" s="7" t="s">
        <v>1885</v>
      </c>
      <c r="J2100" s="7" t="s">
        <v>177</v>
      </c>
      <c r="K2100" s="7" t="s">
        <v>4796</v>
      </c>
      <c r="L2100" s="12">
        <v>1</v>
      </c>
      <c r="M2100" s="7" t="s">
        <v>156</v>
      </c>
    </row>
    <row r="2101" spans="2:13" ht="37.5" customHeight="1" x14ac:dyDescent="0.35">
      <c r="B2101" s="11">
        <v>103</v>
      </c>
      <c r="C2101" s="5" t="s">
        <v>11016</v>
      </c>
      <c r="D2101" s="11">
        <v>9</v>
      </c>
      <c r="E2101" s="5" t="s">
        <v>11045</v>
      </c>
      <c r="F2101" s="5" t="s">
        <v>11046</v>
      </c>
      <c r="G2101" s="5" t="s">
        <v>282</v>
      </c>
      <c r="H2101" s="5" t="s">
        <v>37</v>
      </c>
      <c r="I2101" s="5" t="s">
        <v>11047</v>
      </c>
      <c r="J2101" s="5" t="s">
        <v>8193</v>
      </c>
      <c r="K2101" s="5" t="s">
        <v>11048</v>
      </c>
      <c r="L2101" s="11">
        <v>1</v>
      </c>
      <c r="M2101" s="5" t="s">
        <v>156</v>
      </c>
    </row>
    <row r="2102" spans="2:13" ht="37.5" customHeight="1" x14ac:dyDescent="0.35">
      <c r="B2102" s="12">
        <v>103</v>
      </c>
      <c r="C2102" s="7" t="s">
        <v>11016</v>
      </c>
      <c r="D2102" s="12">
        <v>10</v>
      </c>
      <c r="E2102" s="7" t="s">
        <v>11049</v>
      </c>
      <c r="F2102" s="7" t="s">
        <v>11050</v>
      </c>
      <c r="G2102" s="7" t="s">
        <v>28</v>
      </c>
      <c r="H2102" s="7" t="s">
        <v>36</v>
      </c>
      <c r="I2102" s="7" t="s">
        <v>48</v>
      </c>
      <c r="J2102" s="7" t="s">
        <v>177</v>
      </c>
      <c r="K2102" s="7" t="s">
        <v>4570</v>
      </c>
      <c r="L2102" s="12">
        <v>1</v>
      </c>
      <c r="M2102" s="7" t="s">
        <v>156</v>
      </c>
    </row>
    <row r="2103" spans="2:13" ht="21.75" customHeight="1" x14ac:dyDescent="0.35">
      <c r="B2103" s="11">
        <v>103</v>
      </c>
      <c r="C2103" s="5" t="s">
        <v>11016</v>
      </c>
      <c r="D2103" s="11">
        <v>11</v>
      </c>
      <c r="E2103" s="5" t="s">
        <v>11051</v>
      </c>
      <c r="F2103" s="5" t="s">
        <v>11052</v>
      </c>
      <c r="G2103" s="5" t="s">
        <v>6081</v>
      </c>
      <c r="H2103" s="5" t="s">
        <v>36</v>
      </c>
      <c r="I2103" s="5" t="s">
        <v>1885</v>
      </c>
      <c r="J2103" s="5" t="s">
        <v>177</v>
      </c>
      <c r="K2103" s="5" t="s">
        <v>4796</v>
      </c>
      <c r="L2103" s="11">
        <v>1</v>
      </c>
      <c r="M2103" s="5" t="s">
        <v>156</v>
      </c>
    </row>
    <row r="2104" spans="2:13" ht="21.75" customHeight="1" x14ac:dyDescent="0.35">
      <c r="B2104" s="12">
        <v>103</v>
      </c>
      <c r="C2104" s="7" t="s">
        <v>11016</v>
      </c>
      <c r="D2104" s="12">
        <v>12</v>
      </c>
      <c r="E2104" s="7" t="s">
        <v>11053</v>
      </c>
      <c r="F2104" s="7" t="s">
        <v>11054</v>
      </c>
      <c r="G2104" s="7" t="s">
        <v>813</v>
      </c>
      <c r="H2104" s="7" t="s">
        <v>37</v>
      </c>
      <c r="I2104" s="7" t="s">
        <v>5089</v>
      </c>
      <c r="J2104" s="7" t="s">
        <v>8193</v>
      </c>
      <c r="K2104" s="7" t="s">
        <v>11055</v>
      </c>
      <c r="L2104" s="12">
        <v>1</v>
      </c>
      <c r="M2104" s="7" t="s">
        <v>156</v>
      </c>
    </row>
    <row r="2105" spans="2:13" ht="21.75" customHeight="1" x14ac:dyDescent="0.35">
      <c r="B2105" s="11">
        <v>103</v>
      </c>
      <c r="C2105" s="5" t="s">
        <v>11016</v>
      </c>
      <c r="D2105" s="11">
        <v>13</v>
      </c>
      <c r="E2105" s="5" t="s">
        <v>11056</v>
      </c>
      <c r="F2105" s="5" t="s">
        <v>11057</v>
      </c>
      <c r="G2105" s="5" t="s">
        <v>188</v>
      </c>
      <c r="H2105" s="5" t="s">
        <v>37</v>
      </c>
      <c r="I2105" s="5" t="s">
        <v>5089</v>
      </c>
      <c r="J2105" s="5" t="s">
        <v>8193</v>
      </c>
      <c r="K2105" s="5" t="s">
        <v>11055</v>
      </c>
      <c r="L2105" s="11">
        <v>1</v>
      </c>
      <c r="M2105" s="5" t="s">
        <v>156</v>
      </c>
    </row>
    <row r="2106" spans="2:13" ht="52.5" customHeight="1" x14ac:dyDescent="0.35">
      <c r="B2106" s="12">
        <v>103</v>
      </c>
      <c r="C2106" s="7" t="s">
        <v>11016</v>
      </c>
      <c r="D2106" s="12">
        <v>14</v>
      </c>
      <c r="E2106" s="7" t="s">
        <v>11058</v>
      </c>
      <c r="F2106" s="7" t="s">
        <v>11059</v>
      </c>
      <c r="G2106" s="7" t="s">
        <v>31</v>
      </c>
      <c r="H2106" s="7" t="s">
        <v>5230</v>
      </c>
      <c r="I2106" s="7" t="s">
        <v>11060</v>
      </c>
      <c r="J2106" s="7" t="s">
        <v>11061</v>
      </c>
      <c r="K2106" s="7" t="s">
        <v>11062</v>
      </c>
      <c r="L2106" s="12">
        <v>3</v>
      </c>
      <c r="M2106" s="7" t="s">
        <v>156</v>
      </c>
    </row>
    <row r="2107" spans="2:13" ht="21.75" customHeight="1" x14ac:dyDescent="0.35">
      <c r="B2107" s="11">
        <v>103</v>
      </c>
      <c r="C2107" s="5" t="s">
        <v>11016</v>
      </c>
      <c r="D2107" s="11">
        <v>15</v>
      </c>
      <c r="E2107" s="5" t="s">
        <v>11063</v>
      </c>
      <c r="F2107" s="5" t="s">
        <v>11064</v>
      </c>
      <c r="G2107" s="5" t="s">
        <v>442</v>
      </c>
      <c r="H2107" s="5" t="s">
        <v>1943</v>
      </c>
      <c r="I2107" s="5" t="s">
        <v>49</v>
      </c>
      <c r="J2107" s="5" t="s">
        <v>213</v>
      </c>
      <c r="K2107" s="5" t="s">
        <v>5428</v>
      </c>
      <c r="L2107" s="11">
        <v>1</v>
      </c>
      <c r="M2107" s="5" t="s">
        <v>156</v>
      </c>
    </row>
    <row r="2108" spans="2:13" ht="37.5" customHeight="1" x14ac:dyDescent="0.35">
      <c r="B2108" s="12">
        <v>103</v>
      </c>
      <c r="C2108" s="7" t="s">
        <v>11016</v>
      </c>
      <c r="D2108" s="12">
        <v>16</v>
      </c>
      <c r="E2108" s="7" t="s">
        <v>11065</v>
      </c>
      <c r="F2108" s="7" t="s">
        <v>11066</v>
      </c>
      <c r="G2108" s="7" t="s">
        <v>3643</v>
      </c>
      <c r="H2108" s="7" t="s">
        <v>306</v>
      </c>
      <c r="I2108" s="7" t="s">
        <v>5248</v>
      </c>
      <c r="J2108" s="7" t="s">
        <v>8611</v>
      </c>
      <c r="K2108" s="7" t="s">
        <v>11067</v>
      </c>
      <c r="L2108" s="12">
        <v>2</v>
      </c>
      <c r="M2108" s="7" t="s">
        <v>156</v>
      </c>
    </row>
    <row r="2109" spans="2:13" ht="37.5" customHeight="1" x14ac:dyDescent="0.35">
      <c r="B2109" s="11">
        <v>103</v>
      </c>
      <c r="C2109" s="5" t="s">
        <v>11016</v>
      </c>
      <c r="D2109" s="11">
        <v>17</v>
      </c>
      <c r="E2109" s="5" t="s">
        <v>11068</v>
      </c>
      <c r="F2109" s="5" t="s">
        <v>11069</v>
      </c>
      <c r="G2109" s="5" t="s">
        <v>33</v>
      </c>
      <c r="H2109" s="5" t="s">
        <v>37</v>
      </c>
      <c r="I2109" s="5" t="s">
        <v>11047</v>
      </c>
      <c r="J2109" s="5" t="s">
        <v>8193</v>
      </c>
      <c r="K2109" s="5" t="s">
        <v>11048</v>
      </c>
      <c r="L2109" s="11">
        <v>1</v>
      </c>
      <c r="M2109" s="5" t="s">
        <v>156</v>
      </c>
    </row>
    <row r="2110" spans="2:13" ht="67.5" customHeight="1" x14ac:dyDescent="0.35">
      <c r="B2110" s="12">
        <v>103</v>
      </c>
      <c r="C2110" s="7" t="s">
        <v>11016</v>
      </c>
      <c r="D2110" s="12">
        <v>18</v>
      </c>
      <c r="E2110" s="7" t="s">
        <v>11070</v>
      </c>
      <c r="F2110" s="7" t="s">
        <v>11071</v>
      </c>
      <c r="G2110" s="7" t="s">
        <v>631</v>
      </c>
      <c r="H2110" s="7" t="s">
        <v>8186</v>
      </c>
      <c r="I2110" s="7" t="s">
        <v>11072</v>
      </c>
      <c r="J2110" s="7" t="s">
        <v>11073</v>
      </c>
      <c r="K2110" s="7" t="s">
        <v>11074</v>
      </c>
      <c r="L2110" s="12">
        <v>3</v>
      </c>
      <c r="M2110" s="7" t="s">
        <v>156</v>
      </c>
    </row>
    <row r="2111" spans="2:13" ht="37.5" customHeight="1" x14ac:dyDescent="0.35">
      <c r="B2111" s="11">
        <v>103</v>
      </c>
      <c r="C2111" s="5" t="s">
        <v>11016</v>
      </c>
      <c r="D2111" s="11">
        <v>19</v>
      </c>
      <c r="E2111" s="5" t="s">
        <v>11075</v>
      </c>
      <c r="F2111" s="5" t="s">
        <v>11076</v>
      </c>
      <c r="G2111" s="5" t="s">
        <v>402</v>
      </c>
      <c r="H2111" s="5" t="s">
        <v>37</v>
      </c>
      <c r="I2111" s="5" t="s">
        <v>11077</v>
      </c>
      <c r="J2111" s="5" t="s">
        <v>8193</v>
      </c>
      <c r="K2111" s="5" t="s">
        <v>11078</v>
      </c>
      <c r="L2111" s="11">
        <v>1</v>
      </c>
      <c r="M2111" s="5" t="s">
        <v>156</v>
      </c>
    </row>
    <row r="2112" spans="2:13" ht="37.5" customHeight="1" x14ac:dyDescent="0.35">
      <c r="B2112" s="12">
        <v>103</v>
      </c>
      <c r="C2112" s="7" t="s">
        <v>11016</v>
      </c>
      <c r="D2112" s="12">
        <v>20</v>
      </c>
      <c r="E2112" s="7" t="s">
        <v>11079</v>
      </c>
      <c r="F2112" s="7" t="s">
        <v>11080</v>
      </c>
      <c r="G2112" s="7" t="s">
        <v>11081</v>
      </c>
      <c r="H2112" s="7" t="s">
        <v>37</v>
      </c>
      <c r="I2112" s="7" t="s">
        <v>11047</v>
      </c>
      <c r="J2112" s="7" t="s">
        <v>8193</v>
      </c>
      <c r="K2112" s="7" t="s">
        <v>11048</v>
      </c>
      <c r="L2112" s="12">
        <v>1</v>
      </c>
      <c r="M2112" s="7" t="s">
        <v>156</v>
      </c>
    </row>
    <row r="2113" spans="2:13" ht="37.5" customHeight="1" x14ac:dyDescent="0.35">
      <c r="B2113" s="11">
        <v>103</v>
      </c>
      <c r="C2113" s="5" t="s">
        <v>11016</v>
      </c>
      <c r="D2113" s="11">
        <v>21</v>
      </c>
      <c r="E2113" s="5" t="s">
        <v>11082</v>
      </c>
      <c r="F2113" s="5" t="s">
        <v>11083</v>
      </c>
      <c r="G2113" s="5" t="s">
        <v>585</v>
      </c>
      <c r="H2113" s="5" t="s">
        <v>306</v>
      </c>
      <c r="I2113" s="5" t="s">
        <v>11084</v>
      </c>
      <c r="J2113" s="5" t="s">
        <v>11085</v>
      </c>
      <c r="K2113" s="5" t="s">
        <v>11086</v>
      </c>
      <c r="L2113" s="11">
        <v>2</v>
      </c>
      <c r="M2113" s="5" t="s">
        <v>156</v>
      </c>
    </row>
    <row r="2114" spans="2:13" ht="37.5" customHeight="1" x14ac:dyDescent="0.35">
      <c r="B2114" s="12">
        <v>103</v>
      </c>
      <c r="C2114" s="7" t="s">
        <v>11016</v>
      </c>
      <c r="D2114" s="12">
        <v>22</v>
      </c>
      <c r="E2114" s="7" t="s">
        <v>11087</v>
      </c>
      <c r="F2114" s="7" t="s">
        <v>11088</v>
      </c>
      <c r="G2114" s="7" t="s">
        <v>573</v>
      </c>
      <c r="H2114" s="7" t="s">
        <v>37</v>
      </c>
      <c r="I2114" s="7" t="s">
        <v>11047</v>
      </c>
      <c r="J2114" s="7" t="s">
        <v>8193</v>
      </c>
      <c r="K2114" s="7" t="s">
        <v>11048</v>
      </c>
      <c r="L2114" s="12">
        <v>1</v>
      </c>
      <c r="M2114" s="7" t="s">
        <v>156</v>
      </c>
    </row>
    <row r="2115" spans="2:13" ht="37.5" customHeight="1" x14ac:dyDescent="0.35">
      <c r="B2115" s="11">
        <v>103</v>
      </c>
      <c r="C2115" s="5" t="s">
        <v>11016</v>
      </c>
      <c r="D2115" s="11">
        <v>23</v>
      </c>
      <c r="E2115" s="5" t="s">
        <v>11089</v>
      </c>
      <c r="F2115" s="5" t="s">
        <v>11090</v>
      </c>
      <c r="G2115" s="5" t="s">
        <v>825</v>
      </c>
      <c r="H2115" s="5" t="s">
        <v>36</v>
      </c>
      <c r="I2115" s="5" t="s">
        <v>1885</v>
      </c>
      <c r="J2115" s="5" t="s">
        <v>6262</v>
      </c>
      <c r="K2115" s="5" t="s">
        <v>6263</v>
      </c>
      <c r="L2115" s="11">
        <v>1</v>
      </c>
      <c r="M2115" s="5" t="s">
        <v>156</v>
      </c>
    </row>
    <row r="2116" spans="2:13" ht="21.75" customHeight="1" x14ac:dyDescent="0.35">
      <c r="B2116" s="12">
        <v>103</v>
      </c>
      <c r="C2116" s="7" t="s">
        <v>11016</v>
      </c>
      <c r="D2116" s="12">
        <v>24</v>
      </c>
      <c r="E2116" s="7" t="s">
        <v>11091</v>
      </c>
      <c r="F2116" s="7" t="s">
        <v>11092</v>
      </c>
      <c r="G2116" s="7" t="s">
        <v>531</v>
      </c>
      <c r="H2116" s="7" t="s">
        <v>36</v>
      </c>
      <c r="I2116" s="7" t="s">
        <v>1885</v>
      </c>
      <c r="J2116" s="7" t="s">
        <v>6262</v>
      </c>
      <c r="K2116" s="7" t="s">
        <v>6263</v>
      </c>
      <c r="L2116" s="12">
        <v>1</v>
      </c>
      <c r="M2116" s="7" t="s">
        <v>156</v>
      </c>
    </row>
    <row r="2117" spans="2:13" ht="37.5" customHeight="1" x14ac:dyDescent="0.35">
      <c r="B2117" s="11">
        <v>103</v>
      </c>
      <c r="C2117" s="5" t="s">
        <v>11016</v>
      </c>
      <c r="D2117" s="11">
        <v>25</v>
      </c>
      <c r="E2117" s="5" t="s">
        <v>11093</v>
      </c>
      <c r="F2117" s="5" t="s">
        <v>11094</v>
      </c>
      <c r="G2117" s="5" t="s">
        <v>176</v>
      </c>
      <c r="H2117" s="5" t="s">
        <v>37</v>
      </c>
      <c r="I2117" s="5" t="s">
        <v>11095</v>
      </c>
      <c r="J2117" s="5" t="s">
        <v>8193</v>
      </c>
      <c r="K2117" s="5" t="s">
        <v>11096</v>
      </c>
      <c r="L2117" s="11">
        <v>1</v>
      </c>
      <c r="M2117" s="5" t="s">
        <v>156</v>
      </c>
    </row>
    <row r="2118" spans="2:13" ht="21.75" customHeight="1" x14ac:dyDescent="0.35">
      <c r="B2118" s="12">
        <v>103</v>
      </c>
      <c r="C2118" s="7" t="s">
        <v>11016</v>
      </c>
      <c r="D2118" s="12">
        <v>26</v>
      </c>
      <c r="E2118" s="7" t="s">
        <v>11097</v>
      </c>
      <c r="F2118" s="7" t="s">
        <v>11098</v>
      </c>
      <c r="G2118" s="7" t="s">
        <v>755</v>
      </c>
      <c r="H2118" s="7" t="s">
        <v>37</v>
      </c>
      <c r="I2118" s="7" t="s">
        <v>11095</v>
      </c>
      <c r="J2118" s="7" t="s">
        <v>8193</v>
      </c>
      <c r="K2118" s="7" t="s">
        <v>11096</v>
      </c>
      <c r="L2118" s="12">
        <v>1</v>
      </c>
      <c r="M2118" s="7" t="s">
        <v>156</v>
      </c>
    </row>
    <row r="2119" spans="2:13" ht="21.75" customHeight="1" x14ac:dyDescent="0.35">
      <c r="B2119" s="11">
        <v>103</v>
      </c>
      <c r="C2119" s="5" t="s">
        <v>11016</v>
      </c>
      <c r="D2119" s="11">
        <v>27</v>
      </c>
      <c r="E2119" s="5" t="s">
        <v>11099</v>
      </c>
      <c r="F2119" s="5" t="s">
        <v>11100</v>
      </c>
      <c r="G2119" s="5" t="s">
        <v>1606</v>
      </c>
      <c r="H2119" s="5" t="s">
        <v>36</v>
      </c>
      <c r="I2119" s="5" t="s">
        <v>48</v>
      </c>
      <c r="J2119" s="5" t="s">
        <v>177</v>
      </c>
      <c r="K2119" s="5" t="s">
        <v>4570</v>
      </c>
      <c r="L2119" s="11">
        <v>1</v>
      </c>
      <c r="M2119" s="5" t="s">
        <v>156</v>
      </c>
    </row>
    <row r="2120" spans="2:13" ht="21.75" customHeight="1" x14ac:dyDescent="0.35">
      <c r="B2120" s="12">
        <v>103</v>
      </c>
      <c r="C2120" s="7" t="s">
        <v>11016</v>
      </c>
      <c r="D2120" s="12">
        <v>28</v>
      </c>
      <c r="E2120" s="7" t="s">
        <v>11101</v>
      </c>
      <c r="F2120" s="7" t="s">
        <v>11102</v>
      </c>
      <c r="G2120" s="7" t="s">
        <v>285</v>
      </c>
      <c r="H2120" s="7" t="s">
        <v>37</v>
      </c>
      <c r="I2120" s="7" t="s">
        <v>11095</v>
      </c>
      <c r="J2120" s="7" t="s">
        <v>8193</v>
      </c>
      <c r="K2120" s="7" t="s">
        <v>11096</v>
      </c>
      <c r="L2120" s="12">
        <v>1</v>
      </c>
      <c r="M2120" s="7" t="s">
        <v>156</v>
      </c>
    </row>
    <row r="2121" spans="2:13" ht="37.5" customHeight="1" x14ac:dyDescent="0.35">
      <c r="B2121" s="11">
        <v>103</v>
      </c>
      <c r="C2121" s="5" t="s">
        <v>11016</v>
      </c>
      <c r="D2121" s="11">
        <v>29</v>
      </c>
      <c r="E2121" s="5" t="s">
        <v>11103</v>
      </c>
      <c r="F2121" s="5" t="s">
        <v>11104</v>
      </c>
      <c r="G2121" s="5" t="s">
        <v>2608</v>
      </c>
      <c r="H2121" s="5" t="s">
        <v>11105</v>
      </c>
      <c r="I2121" s="5" t="s">
        <v>49</v>
      </c>
      <c r="J2121" s="5" t="s">
        <v>154</v>
      </c>
      <c r="K2121" s="5" t="s">
        <v>11106</v>
      </c>
      <c r="L2121" s="11">
        <v>1</v>
      </c>
      <c r="M2121" s="5" t="s">
        <v>156</v>
      </c>
    </row>
    <row r="2122" spans="2:13" ht="21.75" customHeight="1" x14ac:dyDescent="0.35">
      <c r="B2122" s="12">
        <v>103</v>
      </c>
      <c r="C2122" s="7" t="s">
        <v>11016</v>
      </c>
      <c r="D2122" s="12">
        <v>30</v>
      </c>
      <c r="E2122" s="7" t="s">
        <v>11107</v>
      </c>
      <c r="F2122" s="7" t="s">
        <v>11108</v>
      </c>
      <c r="G2122" s="7" t="s">
        <v>645</v>
      </c>
      <c r="H2122" s="7" t="s">
        <v>37</v>
      </c>
      <c r="I2122" s="7" t="s">
        <v>11095</v>
      </c>
      <c r="J2122" s="7" t="s">
        <v>8193</v>
      </c>
      <c r="K2122" s="7" t="s">
        <v>11096</v>
      </c>
      <c r="L2122" s="12">
        <v>1</v>
      </c>
      <c r="M2122" s="7" t="s">
        <v>156</v>
      </c>
    </row>
    <row r="2123" spans="2:13" ht="21.75" customHeight="1" x14ac:dyDescent="0.35">
      <c r="B2123" s="11">
        <v>103</v>
      </c>
      <c r="C2123" s="5" t="s">
        <v>11016</v>
      </c>
      <c r="D2123" s="11">
        <v>31</v>
      </c>
      <c r="E2123" s="5" t="s">
        <v>11109</v>
      </c>
      <c r="F2123" s="5" t="s">
        <v>11110</v>
      </c>
      <c r="G2123" s="5" t="s">
        <v>6095</v>
      </c>
      <c r="H2123" s="5" t="s">
        <v>37</v>
      </c>
      <c r="I2123" s="5" t="s">
        <v>11095</v>
      </c>
      <c r="J2123" s="5" t="s">
        <v>8193</v>
      </c>
      <c r="K2123" s="5" t="s">
        <v>11096</v>
      </c>
      <c r="L2123" s="11">
        <v>1</v>
      </c>
      <c r="M2123" s="5" t="s">
        <v>156</v>
      </c>
    </row>
    <row r="2124" spans="2:13" ht="37.5" customHeight="1" x14ac:dyDescent="0.35">
      <c r="B2124" s="12">
        <v>103</v>
      </c>
      <c r="C2124" s="7" t="s">
        <v>11016</v>
      </c>
      <c r="D2124" s="12">
        <v>32</v>
      </c>
      <c r="E2124" s="7" t="s">
        <v>11111</v>
      </c>
      <c r="F2124" s="7" t="s">
        <v>11112</v>
      </c>
      <c r="G2124" s="7" t="s">
        <v>185</v>
      </c>
      <c r="H2124" s="7" t="s">
        <v>306</v>
      </c>
      <c r="I2124" s="7" t="s">
        <v>4738</v>
      </c>
      <c r="J2124" s="7" t="s">
        <v>11085</v>
      </c>
      <c r="K2124" s="7" t="s">
        <v>11113</v>
      </c>
      <c r="L2124" s="12">
        <v>2</v>
      </c>
      <c r="M2124" s="7" t="s">
        <v>156</v>
      </c>
    </row>
    <row r="2125" spans="2:13" ht="21.75" customHeight="1" x14ac:dyDescent="0.35">
      <c r="B2125" s="11">
        <v>103</v>
      </c>
      <c r="C2125" s="5" t="s">
        <v>11016</v>
      </c>
      <c r="D2125" s="11">
        <v>33</v>
      </c>
      <c r="E2125" s="5" t="s">
        <v>11114</v>
      </c>
      <c r="F2125" s="5" t="s">
        <v>11115</v>
      </c>
      <c r="G2125" s="5" t="s">
        <v>7670</v>
      </c>
      <c r="H2125" s="5" t="s">
        <v>42</v>
      </c>
      <c r="I2125" s="5" t="s">
        <v>245</v>
      </c>
      <c r="J2125" s="5" t="s">
        <v>1903</v>
      </c>
      <c r="K2125" s="5" t="s">
        <v>8175</v>
      </c>
      <c r="L2125" s="11">
        <v>1</v>
      </c>
      <c r="M2125" s="5" t="s">
        <v>156</v>
      </c>
    </row>
    <row r="2126" spans="2:13" ht="37.5" customHeight="1" x14ac:dyDescent="0.35">
      <c r="B2126" s="12">
        <v>104</v>
      </c>
      <c r="C2126" s="7" t="s">
        <v>11116</v>
      </c>
      <c r="D2126" s="12">
        <v>1</v>
      </c>
      <c r="E2126" s="7" t="s">
        <v>11117</v>
      </c>
      <c r="F2126" s="7" t="s">
        <v>11118</v>
      </c>
      <c r="G2126" s="7" t="s">
        <v>11119</v>
      </c>
      <c r="H2126" s="7" t="s">
        <v>36</v>
      </c>
      <c r="I2126" s="7" t="s">
        <v>48</v>
      </c>
      <c r="J2126" s="7" t="s">
        <v>663</v>
      </c>
      <c r="K2126" s="7" t="s">
        <v>5284</v>
      </c>
      <c r="L2126" s="12">
        <v>1</v>
      </c>
      <c r="M2126" s="7" t="s">
        <v>6348</v>
      </c>
    </row>
    <row r="2127" spans="2:13" ht="37.5" customHeight="1" x14ac:dyDescent="0.35">
      <c r="B2127" s="11">
        <v>105</v>
      </c>
      <c r="C2127" s="5" t="s">
        <v>11120</v>
      </c>
      <c r="D2127" s="11">
        <v>1</v>
      </c>
      <c r="E2127" s="5" t="s">
        <v>11121</v>
      </c>
      <c r="F2127" s="5" t="s">
        <v>11122</v>
      </c>
      <c r="G2127" s="5" t="s">
        <v>560</v>
      </c>
      <c r="H2127" s="5" t="s">
        <v>294</v>
      </c>
      <c r="I2127" s="5" t="s">
        <v>4971</v>
      </c>
      <c r="J2127" s="5" t="s">
        <v>1218</v>
      </c>
      <c r="K2127" s="5" t="s">
        <v>11123</v>
      </c>
      <c r="L2127" s="11">
        <v>2</v>
      </c>
      <c r="M2127" s="5" t="s">
        <v>1892</v>
      </c>
    </row>
    <row r="2128" spans="2:13" ht="37.5" customHeight="1" x14ac:dyDescent="0.35">
      <c r="B2128" s="12">
        <v>105</v>
      </c>
      <c r="C2128" s="7" t="s">
        <v>11120</v>
      </c>
      <c r="D2128" s="12">
        <v>2</v>
      </c>
      <c r="E2128" s="7" t="s">
        <v>11124</v>
      </c>
      <c r="F2128" s="7" t="s">
        <v>11125</v>
      </c>
      <c r="G2128" s="7" t="s">
        <v>825</v>
      </c>
      <c r="H2128" s="7" t="s">
        <v>37</v>
      </c>
      <c r="I2128" s="7" t="s">
        <v>11126</v>
      </c>
      <c r="J2128" s="7" t="s">
        <v>1107</v>
      </c>
      <c r="K2128" s="7" t="s">
        <v>11127</v>
      </c>
      <c r="L2128" s="12">
        <v>1</v>
      </c>
      <c r="M2128" s="7" t="s">
        <v>1892</v>
      </c>
    </row>
    <row r="2129" spans="2:13" ht="37.5" customHeight="1" x14ac:dyDescent="0.35">
      <c r="B2129" s="11">
        <v>105</v>
      </c>
      <c r="C2129" s="5" t="s">
        <v>11120</v>
      </c>
      <c r="D2129" s="11">
        <v>3</v>
      </c>
      <c r="E2129" s="5" t="s">
        <v>11128</v>
      </c>
      <c r="F2129" s="5" t="s">
        <v>11129</v>
      </c>
      <c r="G2129" s="5" t="s">
        <v>1294</v>
      </c>
      <c r="H2129" s="5" t="s">
        <v>4752</v>
      </c>
      <c r="I2129" s="5" t="s">
        <v>5583</v>
      </c>
      <c r="J2129" s="5" t="s">
        <v>11130</v>
      </c>
      <c r="K2129" s="5" t="s">
        <v>11131</v>
      </c>
      <c r="L2129" s="11">
        <v>2</v>
      </c>
      <c r="M2129" s="5" t="s">
        <v>1892</v>
      </c>
    </row>
    <row r="2130" spans="2:13" ht="52.5" customHeight="1" x14ac:dyDescent="0.35">
      <c r="B2130" s="12">
        <v>105</v>
      </c>
      <c r="C2130" s="7" t="s">
        <v>11120</v>
      </c>
      <c r="D2130" s="12">
        <v>4</v>
      </c>
      <c r="E2130" s="7" t="s">
        <v>11132</v>
      </c>
      <c r="F2130" s="7" t="s">
        <v>11133</v>
      </c>
      <c r="G2130" s="7" t="s">
        <v>742</v>
      </c>
      <c r="H2130" s="7" t="s">
        <v>4760</v>
      </c>
      <c r="I2130" s="7" t="s">
        <v>11134</v>
      </c>
      <c r="J2130" s="7" t="s">
        <v>11135</v>
      </c>
      <c r="K2130" s="7" t="s">
        <v>11136</v>
      </c>
      <c r="L2130" s="12">
        <v>3</v>
      </c>
      <c r="M2130" s="7" t="s">
        <v>1892</v>
      </c>
    </row>
    <row r="2131" spans="2:13" ht="37.5" customHeight="1" x14ac:dyDescent="0.35">
      <c r="B2131" s="11">
        <v>105</v>
      </c>
      <c r="C2131" s="5" t="s">
        <v>11120</v>
      </c>
      <c r="D2131" s="11">
        <v>5</v>
      </c>
      <c r="E2131" s="5" t="s">
        <v>11137</v>
      </c>
      <c r="F2131" s="5" t="s">
        <v>11138</v>
      </c>
      <c r="G2131" s="5" t="s">
        <v>993</v>
      </c>
      <c r="H2131" s="5" t="s">
        <v>36</v>
      </c>
      <c r="I2131" s="5" t="s">
        <v>48</v>
      </c>
      <c r="J2131" s="5" t="s">
        <v>7044</v>
      </c>
      <c r="K2131" s="5" t="s">
        <v>7120</v>
      </c>
      <c r="L2131" s="11">
        <v>1</v>
      </c>
      <c r="M2131" s="5" t="s">
        <v>1892</v>
      </c>
    </row>
    <row r="2132" spans="2:13" ht="52.5" customHeight="1" x14ac:dyDescent="0.35">
      <c r="B2132" s="12">
        <v>106</v>
      </c>
      <c r="C2132" s="7" t="s">
        <v>11139</v>
      </c>
      <c r="D2132" s="12">
        <v>1</v>
      </c>
      <c r="E2132" s="7" t="s">
        <v>11140</v>
      </c>
      <c r="F2132" s="7" t="s">
        <v>11141</v>
      </c>
      <c r="G2132" s="7" t="s">
        <v>825</v>
      </c>
      <c r="H2132" s="7" t="s">
        <v>8039</v>
      </c>
      <c r="I2132" s="7" t="s">
        <v>5276</v>
      </c>
      <c r="J2132" s="7" t="s">
        <v>11142</v>
      </c>
      <c r="K2132" s="7" t="s">
        <v>11143</v>
      </c>
      <c r="L2132" s="12">
        <v>2</v>
      </c>
      <c r="M2132" s="7" t="s">
        <v>1892</v>
      </c>
    </row>
    <row r="2133" spans="2:13" ht="52.5" customHeight="1" x14ac:dyDescent="0.35">
      <c r="B2133" s="11">
        <v>106</v>
      </c>
      <c r="C2133" s="5" t="s">
        <v>11139</v>
      </c>
      <c r="D2133" s="11">
        <v>2</v>
      </c>
      <c r="E2133" s="5" t="s">
        <v>11144</v>
      </c>
      <c r="F2133" s="5" t="s">
        <v>11145</v>
      </c>
      <c r="G2133" s="5" t="s">
        <v>557</v>
      </c>
      <c r="H2133" s="5" t="s">
        <v>37</v>
      </c>
      <c r="I2133" s="5" t="s">
        <v>51</v>
      </c>
      <c r="J2133" s="5" t="s">
        <v>5056</v>
      </c>
      <c r="K2133" s="5" t="s">
        <v>5299</v>
      </c>
      <c r="L2133" s="11">
        <v>1</v>
      </c>
      <c r="M2133" s="5" t="s">
        <v>1892</v>
      </c>
    </row>
    <row r="2134" spans="2:13" ht="52.5" customHeight="1" x14ac:dyDescent="0.35">
      <c r="B2134" s="12">
        <v>106</v>
      </c>
      <c r="C2134" s="7" t="s">
        <v>11139</v>
      </c>
      <c r="D2134" s="12">
        <v>3</v>
      </c>
      <c r="E2134" s="7" t="s">
        <v>11146</v>
      </c>
      <c r="F2134" s="7" t="s">
        <v>11147</v>
      </c>
      <c r="G2134" s="7" t="s">
        <v>862</v>
      </c>
      <c r="H2134" s="7" t="s">
        <v>294</v>
      </c>
      <c r="I2134" s="7" t="s">
        <v>4971</v>
      </c>
      <c r="J2134" s="7" t="s">
        <v>9192</v>
      </c>
      <c r="K2134" s="7" t="s">
        <v>11148</v>
      </c>
      <c r="L2134" s="12">
        <v>2</v>
      </c>
      <c r="M2134" s="7" t="s">
        <v>1892</v>
      </c>
    </row>
    <row r="2135" spans="2:13" ht="52.5" customHeight="1" x14ac:dyDescent="0.35">
      <c r="B2135" s="11">
        <v>106</v>
      </c>
      <c r="C2135" s="5" t="s">
        <v>11139</v>
      </c>
      <c r="D2135" s="11">
        <v>4</v>
      </c>
      <c r="E2135" s="5" t="s">
        <v>11149</v>
      </c>
      <c r="F2135" s="5" t="s">
        <v>11150</v>
      </c>
      <c r="G2135" s="5" t="s">
        <v>962</v>
      </c>
      <c r="H2135" s="5" t="s">
        <v>37</v>
      </c>
      <c r="I2135" s="5" t="s">
        <v>51</v>
      </c>
      <c r="J2135" s="5" t="s">
        <v>5056</v>
      </c>
      <c r="K2135" s="5" t="s">
        <v>5299</v>
      </c>
      <c r="L2135" s="11">
        <v>1</v>
      </c>
      <c r="M2135" s="5" t="s">
        <v>1892</v>
      </c>
    </row>
    <row r="2136" spans="2:13" ht="52.5" customHeight="1" x14ac:dyDescent="0.35">
      <c r="B2136" s="12">
        <v>106</v>
      </c>
      <c r="C2136" s="7" t="s">
        <v>11139</v>
      </c>
      <c r="D2136" s="12">
        <v>5</v>
      </c>
      <c r="E2136" s="7" t="s">
        <v>11151</v>
      </c>
      <c r="F2136" s="7" t="s">
        <v>11152</v>
      </c>
      <c r="G2136" s="7" t="s">
        <v>24</v>
      </c>
      <c r="H2136" s="7" t="s">
        <v>306</v>
      </c>
      <c r="I2136" s="7" t="s">
        <v>4738</v>
      </c>
      <c r="J2136" s="7" t="s">
        <v>11153</v>
      </c>
      <c r="K2136" s="7" t="s">
        <v>11154</v>
      </c>
      <c r="L2136" s="12">
        <v>2</v>
      </c>
      <c r="M2136" s="7" t="s">
        <v>1892</v>
      </c>
    </row>
    <row r="2137" spans="2:13" ht="52.5" customHeight="1" x14ac:dyDescent="0.35">
      <c r="B2137" s="11">
        <v>106</v>
      </c>
      <c r="C2137" s="5" t="s">
        <v>11139</v>
      </c>
      <c r="D2137" s="11">
        <v>6</v>
      </c>
      <c r="E2137" s="5" t="s">
        <v>11155</v>
      </c>
      <c r="F2137" s="5" t="s">
        <v>11156</v>
      </c>
      <c r="G2137" s="5" t="s">
        <v>192</v>
      </c>
      <c r="H2137" s="5" t="s">
        <v>37</v>
      </c>
      <c r="I2137" s="5" t="s">
        <v>51</v>
      </c>
      <c r="J2137" s="5" t="s">
        <v>5056</v>
      </c>
      <c r="K2137" s="5" t="s">
        <v>5299</v>
      </c>
      <c r="L2137" s="11">
        <v>1</v>
      </c>
      <c r="M2137" s="5" t="s">
        <v>1892</v>
      </c>
    </row>
    <row r="2138" spans="2:13" ht="52.5" customHeight="1" x14ac:dyDescent="0.35">
      <c r="B2138" s="12">
        <v>106</v>
      </c>
      <c r="C2138" s="7" t="s">
        <v>11139</v>
      </c>
      <c r="D2138" s="12">
        <v>7</v>
      </c>
      <c r="E2138" s="7" t="s">
        <v>11157</v>
      </c>
      <c r="F2138" s="7" t="s">
        <v>11158</v>
      </c>
      <c r="G2138" s="7" t="s">
        <v>30</v>
      </c>
      <c r="H2138" s="7" t="s">
        <v>11159</v>
      </c>
      <c r="I2138" s="7" t="s">
        <v>11160</v>
      </c>
      <c r="J2138" s="7" t="s">
        <v>11161</v>
      </c>
      <c r="K2138" s="7" t="s">
        <v>11162</v>
      </c>
      <c r="L2138" s="12">
        <v>3</v>
      </c>
      <c r="M2138" s="7" t="s">
        <v>1892</v>
      </c>
    </row>
    <row r="2139" spans="2:13" ht="52.5" customHeight="1" x14ac:dyDescent="0.35">
      <c r="B2139" s="11">
        <v>106</v>
      </c>
      <c r="C2139" s="5" t="s">
        <v>11139</v>
      </c>
      <c r="D2139" s="11">
        <v>8</v>
      </c>
      <c r="E2139" s="5" t="s">
        <v>11163</v>
      </c>
      <c r="F2139" s="5" t="s">
        <v>11164</v>
      </c>
      <c r="G2139" s="5" t="s">
        <v>4213</v>
      </c>
      <c r="H2139" s="5" t="s">
        <v>306</v>
      </c>
      <c r="I2139" s="5" t="s">
        <v>5143</v>
      </c>
      <c r="J2139" s="5" t="s">
        <v>11165</v>
      </c>
      <c r="K2139" s="5" t="s">
        <v>11166</v>
      </c>
      <c r="L2139" s="11">
        <v>2</v>
      </c>
      <c r="M2139" s="5" t="s">
        <v>1892</v>
      </c>
    </row>
    <row r="2140" spans="2:13" ht="52.5" customHeight="1" x14ac:dyDescent="0.35">
      <c r="B2140" s="12">
        <v>106</v>
      </c>
      <c r="C2140" s="7" t="s">
        <v>11139</v>
      </c>
      <c r="D2140" s="12">
        <v>9</v>
      </c>
      <c r="E2140" s="7" t="s">
        <v>11167</v>
      </c>
      <c r="F2140" s="7" t="s">
        <v>11168</v>
      </c>
      <c r="G2140" s="7" t="s">
        <v>2685</v>
      </c>
      <c r="H2140" s="7" t="s">
        <v>40</v>
      </c>
      <c r="I2140" s="7" t="s">
        <v>54</v>
      </c>
      <c r="J2140" s="7" t="s">
        <v>4098</v>
      </c>
      <c r="K2140" s="7" t="s">
        <v>11169</v>
      </c>
      <c r="L2140" s="12">
        <v>1</v>
      </c>
      <c r="M2140" s="7" t="s">
        <v>1892</v>
      </c>
    </row>
    <row r="2141" spans="2:13" ht="52.5" customHeight="1" x14ac:dyDescent="0.35">
      <c r="B2141" s="11">
        <v>106</v>
      </c>
      <c r="C2141" s="5" t="s">
        <v>11139</v>
      </c>
      <c r="D2141" s="11">
        <v>10</v>
      </c>
      <c r="E2141" s="5" t="s">
        <v>11170</v>
      </c>
      <c r="F2141" s="5" t="s">
        <v>11171</v>
      </c>
      <c r="G2141" s="5" t="s">
        <v>962</v>
      </c>
      <c r="H2141" s="5" t="s">
        <v>36</v>
      </c>
      <c r="I2141" s="5" t="s">
        <v>48</v>
      </c>
      <c r="J2141" s="5" t="s">
        <v>9228</v>
      </c>
      <c r="K2141" s="5" t="s">
        <v>9229</v>
      </c>
      <c r="L2141" s="11">
        <v>1</v>
      </c>
      <c r="M2141" s="5" t="s">
        <v>1892</v>
      </c>
    </row>
    <row r="2142" spans="2:13" ht="52.5" customHeight="1" x14ac:dyDescent="0.35">
      <c r="B2142" s="12">
        <v>106</v>
      </c>
      <c r="C2142" s="7" t="s">
        <v>11139</v>
      </c>
      <c r="D2142" s="12">
        <v>11</v>
      </c>
      <c r="E2142" s="7" t="s">
        <v>11172</v>
      </c>
      <c r="F2142" s="7" t="s">
        <v>11173</v>
      </c>
      <c r="G2142" s="7" t="s">
        <v>862</v>
      </c>
      <c r="H2142" s="7" t="s">
        <v>36</v>
      </c>
      <c r="I2142" s="7" t="s">
        <v>48</v>
      </c>
      <c r="J2142" s="7" t="s">
        <v>9228</v>
      </c>
      <c r="K2142" s="7" t="s">
        <v>9229</v>
      </c>
      <c r="L2142" s="12">
        <v>1</v>
      </c>
      <c r="M2142" s="7" t="s">
        <v>1892</v>
      </c>
    </row>
    <row r="2143" spans="2:13" ht="52.5" customHeight="1" x14ac:dyDescent="0.35">
      <c r="B2143" s="11">
        <v>106</v>
      </c>
      <c r="C2143" s="5" t="s">
        <v>11139</v>
      </c>
      <c r="D2143" s="11">
        <v>12</v>
      </c>
      <c r="E2143" s="5" t="s">
        <v>11174</v>
      </c>
      <c r="F2143" s="5" t="s">
        <v>11175</v>
      </c>
      <c r="G2143" s="5" t="s">
        <v>1214</v>
      </c>
      <c r="H2143" s="5" t="s">
        <v>36</v>
      </c>
      <c r="I2143" s="5" t="s">
        <v>48</v>
      </c>
      <c r="J2143" s="5" t="s">
        <v>9228</v>
      </c>
      <c r="K2143" s="5" t="s">
        <v>9229</v>
      </c>
      <c r="L2143" s="11">
        <v>1</v>
      </c>
      <c r="M2143" s="5" t="s">
        <v>1892</v>
      </c>
    </row>
    <row r="2144" spans="2:13" ht="52.5" customHeight="1" x14ac:dyDescent="0.35">
      <c r="B2144" s="12">
        <v>106</v>
      </c>
      <c r="C2144" s="7" t="s">
        <v>11139</v>
      </c>
      <c r="D2144" s="12">
        <v>13</v>
      </c>
      <c r="E2144" s="7" t="s">
        <v>11176</v>
      </c>
      <c r="F2144" s="7" t="s">
        <v>11177</v>
      </c>
      <c r="G2144" s="7" t="s">
        <v>761</v>
      </c>
      <c r="H2144" s="7" t="s">
        <v>44</v>
      </c>
      <c r="I2144" s="7" t="s">
        <v>49</v>
      </c>
      <c r="J2144" s="7" t="s">
        <v>1063</v>
      </c>
      <c r="K2144" s="7" t="s">
        <v>5291</v>
      </c>
      <c r="L2144" s="12">
        <v>1</v>
      </c>
      <c r="M2144" s="7" t="s">
        <v>1892</v>
      </c>
    </row>
    <row r="2145" spans="2:13" ht="52.5" customHeight="1" x14ac:dyDescent="0.35">
      <c r="B2145" s="11">
        <v>106</v>
      </c>
      <c r="C2145" s="5" t="s">
        <v>11139</v>
      </c>
      <c r="D2145" s="11">
        <v>14</v>
      </c>
      <c r="E2145" s="5" t="s">
        <v>11178</v>
      </c>
      <c r="F2145" s="5" t="s">
        <v>11179</v>
      </c>
      <c r="G2145" s="5" t="s">
        <v>244</v>
      </c>
      <c r="H2145" s="5" t="s">
        <v>4662</v>
      </c>
      <c r="I2145" s="5" t="s">
        <v>5152</v>
      </c>
      <c r="J2145" s="5" t="s">
        <v>11180</v>
      </c>
      <c r="K2145" s="5" t="s">
        <v>11181</v>
      </c>
      <c r="L2145" s="11">
        <v>2</v>
      </c>
      <c r="M2145" s="5" t="s">
        <v>1892</v>
      </c>
    </row>
    <row r="2146" spans="2:13" ht="52.5" customHeight="1" x14ac:dyDescent="0.35">
      <c r="B2146" s="12">
        <v>106</v>
      </c>
      <c r="C2146" s="7" t="s">
        <v>11139</v>
      </c>
      <c r="D2146" s="12">
        <v>15</v>
      </c>
      <c r="E2146" s="7" t="s">
        <v>11182</v>
      </c>
      <c r="F2146" s="7" t="s">
        <v>11183</v>
      </c>
      <c r="G2146" s="7" t="s">
        <v>26</v>
      </c>
      <c r="H2146" s="7" t="s">
        <v>42</v>
      </c>
      <c r="I2146" s="7" t="s">
        <v>153</v>
      </c>
      <c r="J2146" s="7" t="s">
        <v>7705</v>
      </c>
      <c r="K2146" s="7" t="s">
        <v>7706</v>
      </c>
      <c r="L2146" s="12">
        <v>1</v>
      </c>
      <c r="M2146" s="7" t="s">
        <v>1892</v>
      </c>
    </row>
    <row r="2147" spans="2:13" ht="52.5" customHeight="1" x14ac:dyDescent="0.35">
      <c r="B2147" s="11">
        <v>106</v>
      </c>
      <c r="C2147" s="5" t="s">
        <v>11139</v>
      </c>
      <c r="D2147" s="11">
        <v>16</v>
      </c>
      <c r="E2147" s="5" t="s">
        <v>11184</v>
      </c>
      <c r="F2147" s="5" t="s">
        <v>11185</v>
      </c>
      <c r="G2147" s="5" t="s">
        <v>698</v>
      </c>
      <c r="H2147" s="5" t="s">
        <v>36</v>
      </c>
      <c r="I2147" s="5" t="s">
        <v>48</v>
      </c>
      <c r="J2147" s="5" t="s">
        <v>11186</v>
      </c>
      <c r="K2147" s="5" t="s">
        <v>11187</v>
      </c>
      <c r="L2147" s="11">
        <v>1</v>
      </c>
      <c r="M2147" s="5" t="s">
        <v>1892</v>
      </c>
    </row>
    <row r="2148" spans="2:13" ht="52.5" customHeight="1" x14ac:dyDescent="0.35">
      <c r="B2148" s="12">
        <v>106</v>
      </c>
      <c r="C2148" s="7" t="s">
        <v>11139</v>
      </c>
      <c r="D2148" s="12">
        <v>17</v>
      </c>
      <c r="E2148" s="7" t="s">
        <v>11188</v>
      </c>
      <c r="F2148" s="7" t="s">
        <v>11189</v>
      </c>
      <c r="G2148" s="7" t="s">
        <v>365</v>
      </c>
      <c r="H2148" s="7" t="s">
        <v>36</v>
      </c>
      <c r="I2148" s="7" t="s">
        <v>48</v>
      </c>
      <c r="J2148" s="7" t="s">
        <v>11186</v>
      </c>
      <c r="K2148" s="7" t="s">
        <v>11187</v>
      </c>
      <c r="L2148" s="12">
        <v>1</v>
      </c>
      <c r="M2148" s="7" t="s">
        <v>1892</v>
      </c>
    </row>
    <row r="2149" spans="2:13" ht="52.5" customHeight="1" x14ac:dyDescent="0.35">
      <c r="B2149" s="11">
        <v>106</v>
      </c>
      <c r="C2149" s="5" t="s">
        <v>11139</v>
      </c>
      <c r="D2149" s="11">
        <v>18</v>
      </c>
      <c r="E2149" s="5" t="s">
        <v>11190</v>
      </c>
      <c r="F2149" s="5" t="s">
        <v>11191</v>
      </c>
      <c r="G2149" s="5" t="s">
        <v>1127</v>
      </c>
      <c r="H2149" s="5" t="s">
        <v>36</v>
      </c>
      <c r="I2149" s="5" t="s">
        <v>48</v>
      </c>
      <c r="J2149" s="5" t="s">
        <v>11186</v>
      </c>
      <c r="K2149" s="5" t="s">
        <v>11187</v>
      </c>
      <c r="L2149" s="11">
        <v>1</v>
      </c>
      <c r="M2149" s="5" t="s">
        <v>1892</v>
      </c>
    </row>
    <row r="2150" spans="2:13" ht="52.5" customHeight="1" x14ac:dyDescent="0.35">
      <c r="B2150" s="12">
        <v>106</v>
      </c>
      <c r="C2150" s="7" t="s">
        <v>11139</v>
      </c>
      <c r="D2150" s="12">
        <v>19</v>
      </c>
      <c r="E2150" s="7" t="s">
        <v>11192</v>
      </c>
      <c r="F2150" s="7" t="s">
        <v>11193</v>
      </c>
      <c r="G2150" s="7" t="s">
        <v>25</v>
      </c>
      <c r="H2150" s="7" t="s">
        <v>36</v>
      </c>
      <c r="I2150" s="7" t="s">
        <v>48</v>
      </c>
      <c r="J2150" s="7" t="s">
        <v>11186</v>
      </c>
      <c r="K2150" s="7" t="s">
        <v>11187</v>
      </c>
      <c r="L2150" s="12">
        <v>1</v>
      </c>
      <c r="M2150" s="7" t="s">
        <v>1892</v>
      </c>
    </row>
    <row r="2151" spans="2:13" ht="52.5" customHeight="1" x14ac:dyDescent="0.35">
      <c r="B2151" s="11">
        <v>106</v>
      </c>
      <c r="C2151" s="5" t="s">
        <v>11139</v>
      </c>
      <c r="D2151" s="11">
        <v>20</v>
      </c>
      <c r="E2151" s="5" t="s">
        <v>11194</v>
      </c>
      <c r="F2151" s="5" t="s">
        <v>11195</v>
      </c>
      <c r="G2151" s="5" t="s">
        <v>959</v>
      </c>
      <c r="H2151" s="5" t="s">
        <v>37</v>
      </c>
      <c r="I2151" s="5" t="s">
        <v>51</v>
      </c>
      <c r="J2151" s="5" t="s">
        <v>5400</v>
      </c>
      <c r="K2151" s="5" t="s">
        <v>11196</v>
      </c>
      <c r="L2151" s="11">
        <v>1</v>
      </c>
      <c r="M2151" s="5" t="s">
        <v>1892</v>
      </c>
    </row>
    <row r="2152" spans="2:13" ht="52.5" customHeight="1" x14ac:dyDescent="0.35">
      <c r="B2152" s="12">
        <v>106</v>
      </c>
      <c r="C2152" s="7" t="s">
        <v>11139</v>
      </c>
      <c r="D2152" s="12">
        <v>21</v>
      </c>
      <c r="E2152" s="7" t="s">
        <v>11197</v>
      </c>
      <c r="F2152" s="7" t="s">
        <v>11198</v>
      </c>
      <c r="G2152" s="7" t="s">
        <v>300</v>
      </c>
      <c r="H2152" s="7" t="s">
        <v>36</v>
      </c>
      <c r="I2152" s="7" t="s">
        <v>48</v>
      </c>
      <c r="J2152" s="7" t="s">
        <v>11186</v>
      </c>
      <c r="K2152" s="7" t="s">
        <v>11187</v>
      </c>
      <c r="L2152" s="12">
        <v>1</v>
      </c>
      <c r="M2152" s="7" t="s">
        <v>1892</v>
      </c>
    </row>
    <row r="2153" spans="2:13" ht="52.5" customHeight="1" x14ac:dyDescent="0.35">
      <c r="B2153" s="11">
        <v>106</v>
      </c>
      <c r="C2153" s="5" t="s">
        <v>11139</v>
      </c>
      <c r="D2153" s="11">
        <v>22</v>
      </c>
      <c r="E2153" s="5" t="s">
        <v>11199</v>
      </c>
      <c r="F2153" s="5" t="s">
        <v>11200</v>
      </c>
      <c r="G2153" s="5" t="s">
        <v>11201</v>
      </c>
      <c r="H2153" s="5" t="s">
        <v>1039</v>
      </c>
      <c r="I2153" s="5" t="s">
        <v>5664</v>
      </c>
      <c r="J2153" s="5" t="s">
        <v>11161</v>
      </c>
      <c r="K2153" s="5" t="s">
        <v>11202</v>
      </c>
      <c r="L2153" s="11">
        <v>2</v>
      </c>
      <c r="M2153" s="5" t="s">
        <v>1892</v>
      </c>
    </row>
    <row r="2154" spans="2:13" ht="52.5" customHeight="1" x14ac:dyDescent="0.35">
      <c r="B2154" s="12">
        <v>106</v>
      </c>
      <c r="C2154" s="7" t="s">
        <v>11139</v>
      </c>
      <c r="D2154" s="12">
        <v>23</v>
      </c>
      <c r="E2154" s="7" t="s">
        <v>11203</v>
      </c>
      <c r="F2154" s="7" t="s">
        <v>11204</v>
      </c>
      <c r="G2154" s="7" t="s">
        <v>11205</v>
      </c>
      <c r="H2154" s="7" t="s">
        <v>36</v>
      </c>
      <c r="I2154" s="7" t="s">
        <v>48</v>
      </c>
      <c r="J2154" s="7" t="s">
        <v>11206</v>
      </c>
      <c r="K2154" s="7" t="s">
        <v>11207</v>
      </c>
      <c r="L2154" s="12">
        <v>1</v>
      </c>
      <c r="M2154" s="7" t="s">
        <v>1892</v>
      </c>
    </row>
    <row r="2155" spans="2:13" ht="37.5" customHeight="1" x14ac:dyDescent="0.35">
      <c r="B2155" s="11"/>
      <c r="C2155" s="5" t="s">
        <v>11208</v>
      </c>
      <c r="D2155" s="11">
        <v>24</v>
      </c>
      <c r="E2155" s="5" t="s">
        <v>11209</v>
      </c>
      <c r="F2155" s="5" t="s">
        <v>11210</v>
      </c>
      <c r="G2155" s="5" t="s">
        <v>11211</v>
      </c>
      <c r="H2155" s="5" t="s">
        <v>36</v>
      </c>
      <c r="I2155" s="5" t="s">
        <v>48</v>
      </c>
      <c r="J2155" s="5" t="s">
        <v>11212</v>
      </c>
      <c r="K2155" s="5" t="s">
        <v>11213</v>
      </c>
      <c r="L2155" s="11">
        <v>1</v>
      </c>
      <c r="M2155" s="5"/>
    </row>
    <row r="2156" spans="2:13" ht="21.75" customHeight="1" x14ac:dyDescent="0.35">
      <c r="B2156" s="12"/>
      <c r="C2156" s="7" t="s">
        <v>11208</v>
      </c>
      <c r="D2156" s="12">
        <v>25</v>
      </c>
      <c r="E2156" s="7" t="s">
        <v>11214</v>
      </c>
      <c r="F2156" s="7" t="s">
        <v>11215</v>
      </c>
      <c r="G2156" s="7" t="s">
        <v>11216</v>
      </c>
      <c r="H2156" s="7" t="s">
        <v>36</v>
      </c>
      <c r="I2156" s="7" t="s">
        <v>48</v>
      </c>
      <c r="J2156" s="7" t="s">
        <v>11212</v>
      </c>
      <c r="K2156" s="7" t="s">
        <v>11213</v>
      </c>
      <c r="L2156" s="12">
        <v>1</v>
      </c>
      <c r="M2156" s="7"/>
    </row>
    <row r="2157" spans="2:13" ht="37.5" customHeight="1" x14ac:dyDescent="0.35">
      <c r="B2157" s="11"/>
      <c r="C2157" s="5" t="s">
        <v>11217</v>
      </c>
      <c r="D2157" s="11">
        <v>26</v>
      </c>
      <c r="E2157" s="5" t="s">
        <v>11218</v>
      </c>
      <c r="F2157" s="5" t="s">
        <v>11219</v>
      </c>
      <c r="G2157" s="5" t="s">
        <v>11220</v>
      </c>
      <c r="H2157" s="5" t="s">
        <v>36</v>
      </c>
      <c r="I2157" s="5" t="s">
        <v>48</v>
      </c>
      <c r="J2157" s="5" t="s">
        <v>11206</v>
      </c>
      <c r="K2157" s="5" t="s">
        <v>11207</v>
      </c>
      <c r="L2157" s="11">
        <v>1</v>
      </c>
      <c r="M2157" s="5"/>
    </row>
    <row r="2158" spans="2:13" ht="37.5" customHeight="1" x14ac:dyDescent="0.35">
      <c r="B2158" s="12"/>
      <c r="C2158" s="7" t="s">
        <v>11217</v>
      </c>
      <c r="D2158" s="12">
        <v>27</v>
      </c>
      <c r="E2158" s="7" t="s">
        <v>11221</v>
      </c>
      <c r="F2158" s="7" t="s">
        <v>11222</v>
      </c>
      <c r="G2158" s="7" t="s">
        <v>6090</v>
      </c>
      <c r="H2158" s="7" t="s">
        <v>39</v>
      </c>
      <c r="I2158" s="7" t="s">
        <v>11223</v>
      </c>
      <c r="J2158" s="7" t="s">
        <v>5404</v>
      </c>
      <c r="K2158" s="7" t="s">
        <v>11224</v>
      </c>
      <c r="L2158" s="12">
        <v>1</v>
      </c>
      <c r="M2158" s="7"/>
    </row>
    <row r="2159" spans="2:13" ht="37.5" customHeight="1" x14ac:dyDescent="0.35">
      <c r="B2159" s="11"/>
      <c r="C2159" s="5" t="s">
        <v>11217</v>
      </c>
      <c r="D2159" s="11">
        <v>28</v>
      </c>
      <c r="E2159" s="5" t="s">
        <v>11225</v>
      </c>
      <c r="F2159" s="5" t="s">
        <v>11226</v>
      </c>
      <c r="G2159" s="5" t="s">
        <v>1196</v>
      </c>
      <c r="H2159" s="5" t="s">
        <v>11227</v>
      </c>
      <c r="I2159" s="5" t="s">
        <v>11228</v>
      </c>
      <c r="J2159" s="5" t="s">
        <v>11229</v>
      </c>
      <c r="K2159" s="5" t="s">
        <v>11230</v>
      </c>
      <c r="L2159" s="11">
        <v>2</v>
      </c>
      <c r="M2159" s="5"/>
    </row>
    <row r="2160" spans="2:13" ht="37.5" customHeight="1" x14ac:dyDescent="0.35">
      <c r="B2160" s="12"/>
      <c r="C2160" s="7" t="s">
        <v>11217</v>
      </c>
      <c r="D2160" s="12">
        <v>29</v>
      </c>
      <c r="E2160" s="7" t="s">
        <v>11231</v>
      </c>
      <c r="F2160" s="7" t="s">
        <v>11232</v>
      </c>
      <c r="G2160" s="7" t="s">
        <v>1606</v>
      </c>
      <c r="H2160" s="7" t="s">
        <v>36</v>
      </c>
      <c r="I2160" s="7" t="s">
        <v>48</v>
      </c>
      <c r="J2160" s="7" t="s">
        <v>11212</v>
      </c>
      <c r="K2160" s="7" t="s">
        <v>11213</v>
      </c>
      <c r="L2160" s="12">
        <v>1</v>
      </c>
      <c r="M2160" s="7"/>
    </row>
    <row r="2161" spans="2:13" ht="37.5" customHeight="1" x14ac:dyDescent="0.35">
      <c r="B2161" s="11"/>
      <c r="C2161" s="5" t="s">
        <v>11217</v>
      </c>
      <c r="D2161" s="11">
        <v>30</v>
      </c>
      <c r="E2161" s="5" t="s">
        <v>11233</v>
      </c>
      <c r="F2161" s="5" t="s">
        <v>11234</v>
      </c>
      <c r="G2161" s="5" t="s">
        <v>11235</v>
      </c>
      <c r="H2161" s="5" t="s">
        <v>36</v>
      </c>
      <c r="I2161" s="5" t="s">
        <v>48</v>
      </c>
      <c r="J2161" s="5" t="s">
        <v>11212</v>
      </c>
      <c r="K2161" s="5" t="s">
        <v>11213</v>
      </c>
      <c r="L2161" s="11">
        <v>1</v>
      </c>
      <c r="M2161" s="5"/>
    </row>
    <row r="2162" spans="2:13" ht="37.5" customHeight="1" x14ac:dyDescent="0.35">
      <c r="B2162" s="12"/>
      <c r="C2162" s="7" t="s">
        <v>11217</v>
      </c>
      <c r="D2162" s="12">
        <v>31</v>
      </c>
      <c r="E2162" s="7" t="s">
        <v>11236</v>
      </c>
      <c r="F2162" s="7" t="s">
        <v>11237</v>
      </c>
      <c r="G2162" s="7" t="s">
        <v>7667</v>
      </c>
      <c r="H2162" s="7" t="s">
        <v>36</v>
      </c>
      <c r="I2162" s="7" t="s">
        <v>48</v>
      </c>
      <c r="J2162" s="7" t="s">
        <v>11186</v>
      </c>
      <c r="K2162" s="7" t="s">
        <v>11187</v>
      </c>
      <c r="L2162" s="12">
        <v>1</v>
      </c>
      <c r="M2162" s="7"/>
    </row>
    <row r="2163" spans="2:13" ht="37.5" customHeight="1" x14ac:dyDescent="0.35">
      <c r="B2163" s="11"/>
      <c r="C2163" s="5" t="s">
        <v>11217</v>
      </c>
      <c r="D2163" s="11">
        <v>32</v>
      </c>
      <c r="E2163" s="5" t="s">
        <v>11238</v>
      </c>
      <c r="F2163" s="5" t="s">
        <v>11239</v>
      </c>
      <c r="G2163" s="5" t="s">
        <v>1290</v>
      </c>
      <c r="H2163" s="5" t="s">
        <v>36</v>
      </c>
      <c r="I2163" s="5" t="s">
        <v>48</v>
      </c>
      <c r="J2163" s="5" t="s">
        <v>11186</v>
      </c>
      <c r="K2163" s="5" t="s">
        <v>11187</v>
      </c>
      <c r="L2163" s="11">
        <v>1</v>
      </c>
      <c r="M2163" s="5"/>
    </row>
    <row r="2164" spans="2:13" ht="37.5" customHeight="1" x14ac:dyDescent="0.35">
      <c r="B2164" s="12">
        <v>107</v>
      </c>
      <c r="C2164" s="7" t="s">
        <v>11240</v>
      </c>
      <c r="D2164" s="12">
        <v>1</v>
      </c>
      <c r="E2164" s="7" t="s">
        <v>11241</v>
      </c>
      <c r="F2164" s="7" t="s">
        <v>11242</v>
      </c>
      <c r="G2164" s="7" t="s">
        <v>26</v>
      </c>
      <c r="H2164" s="7" t="s">
        <v>42</v>
      </c>
      <c r="I2164" s="7" t="s">
        <v>5023</v>
      </c>
      <c r="J2164" s="7" t="s">
        <v>11243</v>
      </c>
      <c r="K2164" s="7" t="s">
        <v>11244</v>
      </c>
      <c r="L2164" s="12">
        <v>1</v>
      </c>
      <c r="M2164" s="7" t="s">
        <v>1892</v>
      </c>
    </row>
    <row r="2165" spans="2:13" ht="21.75" customHeight="1" x14ac:dyDescent="0.35">
      <c r="B2165" s="11">
        <v>108</v>
      </c>
      <c r="C2165" s="5" t="s">
        <v>11245</v>
      </c>
      <c r="D2165" s="11">
        <v>1</v>
      </c>
      <c r="E2165" s="5" t="s">
        <v>11246</v>
      </c>
      <c r="F2165" s="5" t="s">
        <v>11247</v>
      </c>
      <c r="G2165" s="5" t="s">
        <v>26</v>
      </c>
      <c r="H2165" s="5" t="s">
        <v>36</v>
      </c>
      <c r="I2165" s="5" t="s">
        <v>4559</v>
      </c>
      <c r="J2165" s="5" t="s">
        <v>177</v>
      </c>
      <c r="K2165" s="5" t="s">
        <v>4560</v>
      </c>
      <c r="L2165" s="11">
        <v>1</v>
      </c>
      <c r="M2165" s="5" t="s">
        <v>5539</v>
      </c>
    </row>
    <row r="2166" spans="2:13" ht="37.5" customHeight="1" x14ac:dyDescent="0.35">
      <c r="B2166" s="12">
        <v>109</v>
      </c>
      <c r="C2166" s="7" t="s">
        <v>11248</v>
      </c>
      <c r="D2166" s="12">
        <v>1</v>
      </c>
      <c r="E2166" s="7" t="s">
        <v>11249</v>
      </c>
      <c r="F2166" s="7" t="s">
        <v>11250</v>
      </c>
      <c r="G2166" s="7" t="s">
        <v>24</v>
      </c>
      <c r="H2166" s="7" t="s">
        <v>36</v>
      </c>
      <c r="I2166" s="7" t="s">
        <v>11251</v>
      </c>
      <c r="J2166" s="7" t="s">
        <v>5782</v>
      </c>
      <c r="K2166" s="7" t="s">
        <v>11252</v>
      </c>
      <c r="L2166" s="12">
        <v>1</v>
      </c>
      <c r="M2166" s="7" t="s">
        <v>156</v>
      </c>
    </row>
    <row r="2167" spans="2:13" ht="52.5" customHeight="1" x14ac:dyDescent="0.35">
      <c r="B2167" s="11">
        <v>109</v>
      </c>
      <c r="C2167" s="5" t="s">
        <v>11248</v>
      </c>
      <c r="D2167" s="11">
        <v>2</v>
      </c>
      <c r="E2167" s="5" t="s">
        <v>11253</v>
      </c>
      <c r="F2167" s="5" t="s">
        <v>11254</v>
      </c>
      <c r="G2167" s="5" t="s">
        <v>365</v>
      </c>
      <c r="H2167" s="5" t="s">
        <v>11255</v>
      </c>
      <c r="I2167" s="5" t="s">
        <v>11256</v>
      </c>
      <c r="J2167" s="5" t="s">
        <v>11257</v>
      </c>
      <c r="K2167" s="5" t="s">
        <v>11258</v>
      </c>
      <c r="L2167" s="11">
        <v>3</v>
      </c>
      <c r="M2167" s="5" t="s">
        <v>156</v>
      </c>
    </row>
    <row r="2168" spans="2:13" ht="37.5" customHeight="1" x14ac:dyDescent="0.35">
      <c r="B2168" s="12">
        <v>109</v>
      </c>
      <c r="C2168" s="7" t="s">
        <v>11248</v>
      </c>
      <c r="D2168" s="12">
        <v>3</v>
      </c>
      <c r="E2168" s="7" t="s">
        <v>11259</v>
      </c>
      <c r="F2168" s="7" t="s">
        <v>11260</v>
      </c>
      <c r="G2168" s="7" t="s">
        <v>504</v>
      </c>
      <c r="H2168" s="7" t="s">
        <v>36</v>
      </c>
      <c r="I2168" s="7" t="s">
        <v>4559</v>
      </c>
      <c r="J2168" s="7" t="s">
        <v>177</v>
      </c>
      <c r="K2168" s="7" t="s">
        <v>4560</v>
      </c>
      <c r="L2168" s="12">
        <v>1</v>
      </c>
      <c r="M2168" s="7" t="s">
        <v>156</v>
      </c>
    </row>
    <row r="2169" spans="2:13" ht="37.5" customHeight="1" x14ac:dyDescent="0.35">
      <c r="B2169" s="11">
        <v>109</v>
      </c>
      <c r="C2169" s="5" t="s">
        <v>11248</v>
      </c>
      <c r="D2169" s="11">
        <v>4</v>
      </c>
      <c r="E2169" s="5" t="s">
        <v>11261</v>
      </c>
      <c r="F2169" s="5" t="s">
        <v>11262</v>
      </c>
      <c r="G2169" s="5" t="s">
        <v>1435</v>
      </c>
      <c r="H2169" s="5" t="s">
        <v>11263</v>
      </c>
      <c r="I2169" s="5" t="s">
        <v>10178</v>
      </c>
      <c r="J2169" s="5" t="s">
        <v>213</v>
      </c>
      <c r="K2169" s="5" t="s">
        <v>11264</v>
      </c>
      <c r="L2169" s="11">
        <v>1</v>
      </c>
      <c r="M2169" s="5" t="s">
        <v>156</v>
      </c>
    </row>
    <row r="2170" spans="2:13" ht="37.5" customHeight="1" x14ac:dyDescent="0.35">
      <c r="B2170" s="12">
        <v>109</v>
      </c>
      <c r="C2170" s="7" t="s">
        <v>11248</v>
      </c>
      <c r="D2170" s="12">
        <v>5</v>
      </c>
      <c r="E2170" s="7" t="s">
        <v>11265</v>
      </c>
      <c r="F2170" s="7" t="s">
        <v>11266</v>
      </c>
      <c r="G2170" s="7" t="s">
        <v>1513</v>
      </c>
      <c r="H2170" s="7" t="s">
        <v>306</v>
      </c>
      <c r="I2170" s="7" t="s">
        <v>4738</v>
      </c>
      <c r="J2170" s="7" t="s">
        <v>4587</v>
      </c>
      <c r="K2170" s="7" t="s">
        <v>11267</v>
      </c>
      <c r="L2170" s="12">
        <v>2</v>
      </c>
      <c r="M2170" s="7" t="s">
        <v>156</v>
      </c>
    </row>
    <row r="2171" spans="2:13" ht="37.5" customHeight="1" x14ac:dyDescent="0.35">
      <c r="B2171" s="11">
        <v>109</v>
      </c>
      <c r="C2171" s="5" t="s">
        <v>11248</v>
      </c>
      <c r="D2171" s="11">
        <v>6</v>
      </c>
      <c r="E2171" s="5" t="s">
        <v>11268</v>
      </c>
      <c r="F2171" s="5" t="s">
        <v>11269</v>
      </c>
      <c r="G2171" s="5" t="s">
        <v>825</v>
      </c>
      <c r="H2171" s="5" t="s">
        <v>36</v>
      </c>
      <c r="I2171" s="5" t="s">
        <v>48</v>
      </c>
      <c r="J2171" s="5" t="s">
        <v>177</v>
      </c>
      <c r="K2171" s="5" t="s">
        <v>4570</v>
      </c>
      <c r="L2171" s="11">
        <v>1</v>
      </c>
      <c r="M2171" s="5" t="s">
        <v>156</v>
      </c>
    </row>
    <row r="2172" spans="2:13" ht="37.5" customHeight="1" x14ac:dyDescent="0.35">
      <c r="B2172" s="12">
        <v>109</v>
      </c>
      <c r="C2172" s="7" t="s">
        <v>11248</v>
      </c>
      <c r="D2172" s="12">
        <v>7</v>
      </c>
      <c r="E2172" s="7" t="s">
        <v>11270</v>
      </c>
      <c r="F2172" s="7" t="s">
        <v>11271</v>
      </c>
      <c r="G2172" s="7" t="s">
        <v>1294</v>
      </c>
      <c r="H2172" s="7" t="s">
        <v>36</v>
      </c>
      <c r="I2172" s="7" t="s">
        <v>4559</v>
      </c>
      <c r="J2172" s="7" t="s">
        <v>177</v>
      </c>
      <c r="K2172" s="7" t="s">
        <v>4560</v>
      </c>
      <c r="L2172" s="12">
        <v>1</v>
      </c>
      <c r="M2172" s="7" t="s">
        <v>156</v>
      </c>
    </row>
    <row r="2173" spans="2:13" ht="21.75" customHeight="1" x14ac:dyDescent="0.35">
      <c r="B2173" s="11">
        <v>109</v>
      </c>
      <c r="C2173" s="5" t="s">
        <v>11248</v>
      </c>
      <c r="D2173" s="11">
        <v>8</v>
      </c>
      <c r="E2173" s="5" t="s">
        <v>11272</v>
      </c>
      <c r="F2173" s="5" t="s">
        <v>11273</v>
      </c>
      <c r="G2173" s="5" t="s">
        <v>402</v>
      </c>
      <c r="H2173" s="5" t="s">
        <v>37</v>
      </c>
      <c r="I2173" s="5" t="s">
        <v>51</v>
      </c>
      <c r="J2173" s="5" t="s">
        <v>194</v>
      </c>
      <c r="K2173" s="5" t="s">
        <v>5169</v>
      </c>
      <c r="L2173" s="11">
        <v>1</v>
      </c>
      <c r="M2173" s="5" t="s">
        <v>156</v>
      </c>
    </row>
    <row r="2174" spans="2:13" ht="37.5" customHeight="1" x14ac:dyDescent="0.35">
      <c r="B2174" s="12">
        <v>109</v>
      </c>
      <c r="C2174" s="7" t="s">
        <v>11248</v>
      </c>
      <c r="D2174" s="12">
        <v>9</v>
      </c>
      <c r="E2174" s="7" t="s">
        <v>11274</v>
      </c>
      <c r="F2174" s="7" t="s">
        <v>11275</v>
      </c>
      <c r="G2174" s="7" t="s">
        <v>1953</v>
      </c>
      <c r="H2174" s="7" t="s">
        <v>36</v>
      </c>
      <c r="I2174" s="7" t="s">
        <v>5409</v>
      </c>
      <c r="J2174" s="7" t="s">
        <v>5782</v>
      </c>
      <c r="K2174" s="7" t="s">
        <v>6100</v>
      </c>
      <c r="L2174" s="12">
        <v>1</v>
      </c>
      <c r="M2174" s="7" t="s">
        <v>156</v>
      </c>
    </row>
    <row r="2175" spans="2:13" ht="37.5" customHeight="1" x14ac:dyDescent="0.35">
      <c r="B2175" s="11">
        <v>109</v>
      </c>
      <c r="C2175" s="5" t="s">
        <v>11248</v>
      </c>
      <c r="D2175" s="11">
        <v>10</v>
      </c>
      <c r="E2175" s="5" t="s">
        <v>11276</v>
      </c>
      <c r="F2175" s="5" t="s">
        <v>11277</v>
      </c>
      <c r="G2175" s="5" t="s">
        <v>1294</v>
      </c>
      <c r="H2175" s="5" t="s">
        <v>37</v>
      </c>
      <c r="I2175" s="5" t="s">
        <v>51</v>
      </c>
      <c r="J2175" s="5" t="s">
        <v>194</v>
      </c>
      <c r="K2175" s="5" t="s">
        <v>5169</v>
      </c>
      <c r="L2175" s="11">
        <v>1</v>
      </c>
      <c r="M2175" s="5" t="s">
        <v>156</v>
      </c>
    </row>
    <row r="2176" spans="2:13" ht="37.5" customHeight="1" x14ac:dyDescent="0.35">
      <c r="B2176" s="12">
        <v>110</v>
      </c>
      <c r="C2176" s="7" t="s">
        <v>11278</v>
      </c>
      <c r="D2176" s="12">
        <v>1</v>
      </c>
      <c r="E2176" s="7" t="s">
        <v>11279</v>
      </c>
      <c r="F2176" s="7" t="s">
        <v>11280</v>
      </c>
      <c r="G2176" s="7" t="s">
        <v>1435</v>
      </c>
      <c r="H2176" s="7" t="s">
        <v>11281</v>
      </c>
      <c r="I2176" s="7" t="s">
        <v>11282</v>
      </c>
      <c r="J2176" s="7" t="s">
        <v>1063</v>
      </c>
      <c r="K2176" s="7" t="s">
        <v>11283</v>
      </c>
      <c r="L2176" s="12">
        <v>1</v>
      </c>
      <c r="M2176" s="7" t="s">
        <v>156</v>
      </c>
    </row>
    <row r="2177" spans="2:13" ht="37.5" customHeight="1" x14ac:dyDescent="0.35">
      <c r="B2177" s="11">
        <v>111</v>
      </c>
      <c r="C2177" s="5" t="s">
        <v>11284</v>
      </c>
      <c r="D2177" s="11">
        <v>1</v>
      </c>
      <c r="E2177" s="5" t="s">
        <v>11285</v>
      </c>
      <c r="F2177" s="5" t="s">
        <v>11286</v>
      </c>
      <c r="G2177" s="5" t="s">
        <v>1589</v>
      </c>
      <c r="H2177" s="5" t="s">
        <v>38</v>
      </c>
      <c r="I2177" s="5" t="s">
        <v>53</v>
      </c>
      <c r="J2177" s="5" t="s">
        <v>269</v>
      </c>
      <c r="K2177" s="5" t="s">
        <v>11287</v>
      </c>
      <c r="L2177" s="11">
        <v>1</v>
      </c>
      <c r="M2177" s="5"/>
    </row>
    <row r="2178" spans="2:13" ht="37.5" customHeight="1" x14ac:dyDescent="0.35">
      <c r="B2178" s="12">
        <v>112</v>
      </c>
      <c r="C2178" s="7" t="s">
        <v>11288</v>
      </c>
      <c r="D2178" s="12">
        <v>1</v>
      </c>
      <c r="E2178" s="7" t="s">
        <v>11289</v>
      </c>
      <c r="F2178" s="7" t="s">
        <v>11290</v>
      </c>
      <c r="G2178" s="7" t="s">
        <v>576</v>
      </c>
      <c r="H2178" s="7" t="s">
        <v>42</v>
      </c>
      <c r="I2178" s="7" t="s">
        <v>5433</v>
      </c>
      <c r="J2178" s="7" t="s">
        <v>2371</v>
      </c>
      <c r="K2178" s="7" t="s">
        <v>11291</v>
      </c>
      <c r="L2178" s="12">
        <v>1</v>
      </c>
      <c r="M2178" s="7" t="s">
        <v>156</v>
      </c>
    </row>
    <row r="2179" spans="2:13" ht="67.5" customHeight="1" x14ac:dyDescent="0.35">
      <c r="B2179" s="11">
        <v>112</v>
      </c>
      <c r="C2179" s="5" t="s">
        <v>11288</v>
      </c>
      <c r="D2179" s="11">
        <v>2</v>
      </c>
      <c r="E2179" s="5" t="s">
        <v>11292</v>
      </c>
      <c r="F2179" s="5" t="s">
        <v>11293</v>
      </c>
      <c r="G2179" s="5" t="s">
        <v>25</v>
      </c>
      <c r="H2179" s="5" t="s">
        <v>11294</v>
      </c>
      <c r="I2179" s="5" t="s">
        <v>11295</v>
      </c>
      <c r="J2179" s="5" t="s">
        <v>11296</v>
      </c>
      <c r="K2179" s="5" t="s">
        <v>11297</v>
      </c>
      <c r="L2179" s="11">
        <v>4</v>
      </c>
      <c r="M2179" s="5" t="s">
        <v>156</v>
      </c>
    </row>
    <row r="2180" spans="2:13" ht="21.75" customHeight="1" x14ac:dyDescent="0.35">
      <c r="B2180" s="12">
        <v>112</v>
      </c>
      <c r="C2180" s="7" t="s">
        <v>11288</v>
      </c>
      <c r="D2180" s="12">
        <v>3</v>
      </c>
      <c r="E2180" s="7" t="s">
        <v>11298</v>
      </c>
      <c r="F2180" s="7" t="s">
        <v>11299</v>
      </c>
      <c r="G2180" s="7" t="s">
        <v>10050</v>
      </c>
      <c r="H2180" s="7" t="s">
        <v>36</v>
      </c>
      <c r="I2180" s="7" t="s">
        <v>48</v>
      </c>
      <c r="J2180" s="7" t="s">
        <v>177</v>
      </c>
      <c r="K2180" s="7" t="s">
        <v>4570</v>
      </c>
      <c r="L2180" s="12">
        <v>1</v>
      </c>
      <c r="M2180" s="7" t="s">
        <v>156</v>
      </c>
    </row>
    <row r="2181" spans="2:13" ht="157.5" customHeight="1" x14ac:dyDescent="0.35">
      <c r="B2181" s="11">
        <v>113</v>
      </c>
      <c r="C2181" s="5" t="s">
        <v>11300</v>
      </c>
      <c r="D2181" s="11">
        <v>1</v>
      </c>
      <c r="E2181" s="5" t="s">
        <v>11301</v>
      </c>
      <c r="F2181" s="5" t="s">
        <v>11302</v>
      </c>
      <c r="G2181" s="5" t="s">
        <v>421</v>
      </c>
      <c r="H2181" s="5" t="s">
        <v>11303</v>
      </c>
      <c r="I2181" s="5" t="s">
        <v>11304</v>
      </c>
      <c r="J2181" s="5" t="s">
        <v>11305</v>
      </c>
      <c r="K2181" s="5" t="s">
        <v>11306</v>
      </c>
      <c r="L2181" s="11">
        <v>8</v>
      </c>
      <c r="M2181" s="5" t="s">
        <v>156</v>
      </c>
    </row>
    <row r="2182" spans="2:13" ht="37.5" customHeight="1" x14ac:dyDescent="0.35">
      <c r="B2182" s="12"/>
      <c r="C2182" s="7" t="s">
        <v>11307</v>
      </c>
      <c r="D2182" s="12">
        <v>2</v>
      </c>
      <c r="E2182" s="7" t="s">
        <v>11308</v>
      </c>
      <c r="F2182" s="7" t="s">
        <v>11309</v>
      </c>
      <c r="G2182" s="7" t="s">
        <v>566</v>
      </c>
      <c r="H2182" s="7" t="s">
        <v>41</v>
      </c>
      <c r="I2182" s="7" t="s">
        <v>49</v>
      </c>
      <c r="J2182" s="7" t="s">
        <v>213</v>
      </c>
      <c r="K2182" s="7" t="s">
        <v>214</v>
      </c>
      <c r="L2182" s="12">
        <v>1</v>
      </c>
      <c r="M2182" s="7"/>
    </row>
    <row r="2183" spans="2:13" ht="37.5" customHeight="1" x14ac:dyDescent="0.35">
      <c r="B2183" s="11"/>
      <c r="C2183" s="5" t="s">
        <v>11307</v>
      </c>
      <c r="D2183" s="11">
        <v>3</v>
      </c>
      <c r="E2183" s="5" t="s">
        <v>11310</v>
      </c>
      <c r="F2183" s="5" t="s">
        <v>11311</v>
      </c>
      <c r="G2183" s="5" t="s">
        <v>1294</v>
      </c>
      <c r="H2183" s="5" t="s">
        <v>40</v>
      </c>
      <c r="I2183" s="5" t="s">
        <v>54</v>
      </c>
      <c r="J2183" s="5" t="s">
        <v>213</v>
      </c>
      <c r="K2183" s="5" t="s">
        <v>254</v>
      </c>
      <c r="L2183" s="11">
        <v>1</v>
      </c>
      <c r="M2183" s="5"/>
    </row>
    <row r="2184" spans="2:13" ht="37.5" customHeight="1" x14ac:dyDescent="0.35">
      <c r="B2184" s="12"/>
      <c r="C2184" s="7" t="s">
        <v>11307</v>
      </c>
      <c r="D2184" s="12">
        <v>4</v>
      </c>
      <c r="E2184" s="7" t="s">
        <v>11312</v>
      </c>
      <c r="F2184" s="7" t="s">
        <v>11313</v>
      </c>
      <c r="G2184" s="7" t="s">
        <v>27</v>
      </c>
      <c r="H2184" s="7" t="s">
        <v>8840</v>
      </c>
      <c r="I2184" s="7" t="s">
        <v>10395</v>
      </c>
      <c r="J2184" s="7" t="s">
        <v>11314</v>
      </c>
      <c r="K2184" s="7" t="s">
        <v>11315</v>
      </c>
      <c r="L2184" s="12">
        <v>2</v>
      </c>
      <c r="M2184" s="7"/>
    </row>
    <row r="2185" spans="2:13" ht="21.75" customHeight="1" x14ac:dyDescent="0.35">
      <c r="B2185" s="11"/>
      <c r="C2185" s="5" t="s">
        <v>11307</v>
      </c>
      <c r="D2185" s="11">
        <v>5</v>
      </c>
      <c r="E2185" s="5" t="s">
        <v>11316</v>
      </c>
      <c r="F2185" s="5" t="s">
        <v>11317</v>
      </c>
      <c r="G2185" s="5" t="s">
        <v>27</v>
      </c>
      <c r="H2185" s="5" t="s">
        <v>39</v>
      </c>
      <c r="I2185" s="5" t="s">
        <v>57</v>
      </c>
      <c r="J2185" s="5" t="s">
        <v>228</v>
      </c>
      <c r="K2185" s="5" t="s">
        <v>11318</v>
      </c>
      <c r="L2185" s="11">
        <v>1</v>
      </c>
      <c r="M2185" s="5"/>
    </row>
    <row r="2186" spans="2:13" ht="37.5" customHeight="1" x14ac:dyDescent="0.35">
      <c r="B2186" s="12">
        <v>114</v>
      </c>
      <c r="C2186" s="7" t="s">
        <v>11319</v>
      </c>
      <c r="D2186" s="12">
        <v>1</v>
      </c>
      <c r="E2186" s="7" t="s">
        <v>11320</v>
      </c>
      <c r="F2186" s="7" t="s">
        <v>11321</v>
      </c>
      <c r="G2186" s="7" t="s">
        <v>30</v>
      </c>
      <c r="H2186" s="7" t="s">
        <v>40</v>
      </c>
      <c r="I2186" s="7" t="s">
        <v>54</v>
      </c>
      <c r="J2186" s="7" t="s">
        <v>213</v>
      </c>
      <c r="K2186" s="7" t="s">
        <v>254</v>
      </c>
      <c r="L2186" s="12">
        <v>1</v>
      </c>
      <c r="M2186" s="7" t="s">
        <v>156</v>
      </c>
    </row>
    <row r="2187" spans="2:13" ht="52.5" customHeight="1" x14ac:dyDescent="0.35">
      <c r="B2187" s="11">
        <v>115</v>
      </c>
      <c r="C2187" s="5" t="s">
        <v>11322</v>
      </c>
      <c r="D2187" s="11">
        <v>1</v>
      </c>
      <c r="E2187" s="5" t="s">
        <v>11323</v>
      </c>
      <c r="F2187" s="5" t="s">
        <v>11324</v>
      </c>
      <c r="G2187" s="5" t="s">
        <v>701</v>
      </c>
      <c r="H2187" s="5" t="s">
        <v>5577</v>
      </c>
      <c r="I2187" s="5" t="s">
        <v>5578</v>
      </c>
      <c r="J2187" s="5" t="s">
        <v>11325</v>
      </c>
      <c r="K2187" s="5" t="s">
        <v>11326</v>
      </c>
      <c r="L2187" s="11">
        <v>3</v>
      </c>
      <c r="M2187" s="5" t="s">
        <v>156</v>
      </c>
    </row>
    <row r="2188" spans="2:13" ht="37.5" customHeight="1" x14ac:dyDescent="0.35">
      <c r="B2188" s="12">
        <v>115</v>
      </c>
      <c r="C2188" s="7" t="s">
        <v>11322</v>
      </c>
      <c r="D2188" s="12">
        <v>2</v>
      </c>
      <c r="E2188" s="7" t="s">
        <v>11327</v>
      </c>
      <c r="F2188" s="7" t="s">
        <v>11328</v>
      </c>
      <c r="G2188" s="7" t="s">
        <v>1603</v>
      </c>
      <c r="H2188" s="7" t="s">
        <v>36</v>
      </c>
      <c r="I2188" s="7" t="s">
        <v>48</v>
      </c>
      <c r="J2188" s="7" t="s">
        <v>5176</v>
      </c>
      <c r="K2188" s="7" t="s">
        <v>5177</v>
      </c>
      <c r="L2188" s="12">
        <v>1</v>
      </c>
      <c r="M2188" s="7" t="s">
        <v>156</v>
      </c>
    </row>
    <row r="2189" spans="2:13" ht="37.5" customHeight="1" x14ac:dyDescent="0.35">
      <c r="B2189" s="11">
        <v>116</v>
      </c>
      <c r="C2189" s="5" t="s">
        <v>11329</v>
      </c>
      <c r="D2189" s="11">
        <v>1</v>
      </c>
      <c r="E2189" s="5" t="s">
        <v>11330</v>
      </c>
      <c r="F2189" s="5" t="s">
        <v>11331</v>
      </c>
      <c r="G2189" s="5" t="s">
        <v>421</v>
      </c>
      <c r="H2189" s="5" t="s">
        <v>4393</v>
      </c>
      <c r="I2189" s="5" t="s">
        <v>5387</v>
      </c>
      <c r="J2189" s="5" t="s">
        <v>11332</v>
      </c>
      <c r="K2189" s="5" t="s">
        <v>11333</v>
      </c>
      <c r="L2189" s="11">
        <v>2</v>
      </c>
      <c r="M2189" s="5" t="s">
        <v>7693</v>
      </c>
    </row>
    <row r="2190" spans="2:13" ht="37.5" customHeight="1" x14ac:dyDescent="0.35">
      <c r="B2190" s="12">
        <v>116</v>
      </c>
      <c r="C2190" s="7" t="s">
        <v>11329</v>
      </c>
      <c r="D2190" s="12">
        <v>2</v>
      </c>
      <c r="E2190" s="7" t="s">
        <v>11334</v>
      </c>
      <c r="F2190" s="7" t="s">
        <v>11335</v>
      </c>
      <c r="G2190" s="7" t="s">
        <v>778</v>
      </c>
      <c r="H2190" s="7" t="s">
        <v>4752</v>
      </c>
      <c r="I2190" s="7" t="s">
        <v>5583</v>
      </c>
      <c r="J2190" s="7" t="s">
        <v>3415</v>
      </c>
      <c r="K2190" s="7" t="s">
        <v>11336</v>
      </c>
      <c r="L2190" s="12">
        <v>2</v>
      </c>
      <c r="M2190" s="7" t="s">
        <v>7693</v>
      </c>
    </row>
    <row r="2191" spans="2:13" ht="21.75" customHeight="1" x14ac:dyDescent="0.35">
      <c r="B2191" s="11">
        <v>116</v>
      </c>
      <c r="C2191" s="5" t="s">
        <v>11329</v>
      </c>
      <c r="D2191" s="11">
        <v>3</v>
      </c>
      <c r="E2191" s="5" t="s">
        <v>11337</v>
      </c>
      <c r="F2191" s="5" t="s">
        <v>11338</v>
      </c>
      <c r="G2191" s="5" t="s">
        <v>29</v>
      </c>
      <c r="H2191" s="5" t="s">
        <v>36</v>
      </c>
      <c r="I2191" s="5" t="s">
        <v>48</v>
      </c>
      <c r="J2191" s="5" t="s">
        <v>663</v>
      </c>
      <c r="K2191" s="5" t="s">
        <v>5284</v>
      </c>
      <c r="L2191" s="11">
        <v>1</v>
      </c>
      <c r="M2191" s="5" t="s">
        <v>7693</v>
      </c>
    </row>
    <row r="2192" spans="2:13" ht="37.5" customHeight="1" x14ac:dyDescent="0.35">
      <c r="B2192" s="12">
        <v>116</v>
      </c>
      <c r="C2192" s="7" t="s">
        <v>11329</v>
      </c>
      <c r="D2192" s="12">
        <v>4</v>
      </c>
      <c r="E2192" s="7" t="s">
        <v>11339</v>
      </c>
      <c r="F2192" s="7" t="s">
        <v>11340</v>
      </c>
      <c r="G2192" s="7" t="s">
        <v>1294</v>
      </c>
      <c r="H2192" s="7" t="s">
        <v>36</v>
      </c>
      <c r="I2192" s="7" t="s">
        <v>48</v>
      </c>
      <c r="J2192" s="7" t="s">
        <v>9030</v>
      </c>
      <c r="K2192" s="7" t="s">
        <v>9031</v>
      </c>
      <c r="L2192" s="12">
        <v>1</v>
      </c>
      <c r="M2192" s="7" t="s">
        <v>7693</v>
      </c>
    </row>
    <row r="2193" spans="2:13" ht="37.5" customHeight="1" x14ac:dyDescent="0.35">
      <c r="B2193" s="11">
        <v>116</v>
      </c>
      <c r="C2193" s="5" t="s">
        <v>11329</v>
      </c>
      <c r="D2193" s="11">
        <v>5</v>
      </c>
      <c r="E2193" s="5" t="s">
        <v>11341</v>
      </c>
      <c r="F2193" s="5" t="s">
        <v>11342</v>
      </c>
      <c r="G2193" s="5" t="s">
        <v>9781</v>
      </c>
      <c r="H2193" s="5" t="s">
        <v>306</v>
      </c>
      <c r="I2193" s="5" t="s">
        <v>4738</v>
      </c>
      <c r="J2193" s="5" t="s">
        <v>1579</v>
      </c>
      <c r="K2193" s="5" t="s">
        <v>11343</v>
      </c>
      <c r="L2193" s="11">
        <v>2</v>
      </c>
      <c r="M2193" s="5" t="s">
        <v>7693</v>
      </c>
    </row>
    <row r="2194" spans="2:13" ht="37.5" customHeight="1" x14ac:dyDescent="0.35">
      <c r="B2194" s="12">
        <v>116</v>
      </c>
      <c r="C2194" s="7" t="s">
        <v>11329</v>
      </c>
      <c r="D2194" s="12">
        <v>7</v>
      </c>
      <c r="E2194" s="7" t="s">
        <v>11344</v>
      </c>
      <c r="F2194" s="7" t="s">
        <v>11345</v>
      </c>
      <c r="G2194" s="7" t="s">
        <v>1161</v>
      </c>
      <c r="H2194" s="7" t="s">
        <v>39</v>
      </c>
      <c r="I2194" s="7" t="s">
        <v>57</v>
      </c>
      <c r="J2194" s="7" t="s">
        <v>5056</v>
      </c>
      <c r="K2194" s="7" t="s">
        <v>9161</v>
      </c>
      <c r="L2194" s="12">
        <v>1</v>
      </c>
      <c r="M2194" s="7" t="s">
        <v>7693</v>
      </c>
    </row>
    <row r="2195" spans="2:13" ht="37.5" customHeight="1" x14ac:dyDescent="0.35">
      <c r="B2195" s="11">
        <v>116</v>
      </c>
      <c r="C2195" s="5" t="s">
        <v>11329</v>
      </c>
      <c r="D2195" s="11">
        <v>8</v>
      </c>
      <c r="E2195" s="5" t="s">
        <v>11346</v>
      </c>
      <c r="F2195" s="5" t="s">
        <v>11347</v>
      </c>
      <c r="G2195" s="5" t="s">
        <v>279</v>
      </c>
      <c r="H2195" s="5" t="s">
        <v>37</v>
      </c>
      <c r="I2195" s="5" t="s">
        <v>51</v>
      </c>
      <c r="J2195" s="5" t="s">
        <v>1579</v>
      </c>
      <c r="K2195" s="5" t="s">
        <v>5270</v>
      </c>
      <c r="L2195" s="11">
        <v>1</v>
      </c>
      <c r="M2195" s="5" t="s">
        <v>7693</v>
      </c>
    </row>
    <row r="2196" spans="2:13" ht="37.5" customHeight="1" x14ac:dyDescent="0.35">
      <c r="B2196" s="12">
        <v>116</v>
      </c>
      <c r="C2196" s="7" t="s">
        <v>11329</v>
      </c>
      <c r="D2196" s="12">
        <v>9</v>
      </c>
      <c r="E2196" s="7" t="s">
        <v>11348</v>
      </c>
      <c r="F2196" s="7" t="s">
        <v>11349</v>
      </c>
      <c r="G2196" s="7" t="s">
        <v>30</v>
      </c>
      <c r="H2196" s="7" t="s">
        <v>36</v>
      </c>
      <c r="I2196" s="7" t="s">
        <v>48</v>
      </c>
      <c r="J2196" s="7" t="s">
        <v>4308</v>
      </c>
      <c r="K2196" s="7" t="s">
        <v>11350</v>
      </c>
      <c r="L2196" s="12">
        <v>1</v>
      </c>
      <c r="M2196" s="7" t="s">
        <v>7693</v>
      </c>
    </row>
    <row r="2197" spans="2:13" ht="21.75" customHeight="1" x14ac:dyDescent="0.35">
      <c r="B2197" s="11">
        <v>116</v>
      </c>
      <c r="C2197" s="5" t="s">
        <v>11329</v>
      </c>
      <c r="D2197" s="11">
        <v>10</v>
      </c>
      <c r="E2197" s="5" t="s">
        <v>11351</v>
      </c>
      <c r="F2197" s="5" t="s">
        <v>11352</v>
      </c>
      <c r="G2197" s="5" t="s">
        <v>188</v>
      </c>
      <c r="H2197" s="5" t="s">
        <v>44</v>
      </c>
      <c r="I2197" s="5" t="s">
        <v>49</v>
      </c>
      <c r="J2197" s="5" t="s">
        <v>1063</v>
      </c>
      <c r="K2197" s="5" t="s">
        <v>5291</v>
      </c>
      <c r="L2197" s="11">
        <v>1</v>
      </c>
      <c r="M2197" s="5" t="s">
        <v>7693</v>
      </c>
    </row>
    <row r="2198" spans="2:13" ht="21.75" customHeight="1" x14ac:dyDescent="0.35">
      <c r="B2198" s="12">
        <v>116</v>
      </c>
      <c r="C2198" s="7" t="s">
        <v>11329</v>
      </c>
      <c r="D2198" s="12">
        <v>11</v>
      </c>
      <c r="E2198" s="7" t="s">
        <v>11353</v>
      </c>
      <c r="F2198" s="7" t="s">
        <v>11354</v>
      </c>
      <c r="G2198" s="7" t="s">
        <v>11355</v>
      </c>
      <c r="H2198" s="7" t="s">
        <v>36</v>
      </c>
      <c r="I2198" s="7" t="s">
        <v>48</v>
      </c>
      <c r="J2198" s="7" t="s">
        <v>1579</v>
      </c>
      <c r="K2198" s="7" t="s">
        <v>9015</v>
      </c>
      <c r="L2198" s="12">
        <v>1</v>
      </c>
      <c r="M2198" s="7" t="s">
        <v>7693</v>
      </c>
    </row>
    <row r="2199" spans="2:13" ht="21.75" customHeight="1" x14ac:dyDescent="0.35">
      <c r="B2199" s="11">
        <v>116</v>
      </c>
      <c r="C2199" s="5" t="s">
        <v>11329</v>
      </c>
      <c r="D2199" s="11">
        <v>12</v>
      </c>
      <c r="E2199" s="5" t="s">
        <v>11356</v>
      </c>
      <c r="F2199" s="5" t="s">
        <v>11357</v>
      </c>
      <c r="G2199" s="5" t="s">
        <v>2261</v>
      </c>
      <c r="H2199" s="5" t="s">
        <v>41</v>
      </c>
      <c r="I2199" s="5" t="s">
        <v>49</v>
      </c>
      <c r="J2199" s="5" t="s">
        <v>11358</v>
      </c>
      <c r="K2199" s="5" t="s">
        <v>11359</v>
      </c>
      <c r="L2199" s="11">
        <v>1</v>
      </c>
      <c r="M2199" s="5" t="s">
        <v>7693</v>
      </c>
    </row>
    <row r="2200" spans="2:13" ht="21.75" customHeight="1" x14ac:dyDescent="0.35">
      <c r="B2200" s="12">
        <v>116</v>
      </c>
      <c r="C2200" s="7" t="s">
        <v>11329</v>
      </c>
      <c r="D2200" s="12">
        <v>13</v>
      </c>
      <c r="E2200" s="7" t="s">
        <v>11360</v>
      </c>
      <c r="F2200" s="7" t="s">
        <v>11361</v>
      </c>
      <c r="G2200" s="7" t="s">
        <v>927</v>
      </c>
      <c r="H2200" s="7" t="s">
        <v>39</v>
      </c>
      <c r="I2200" s="7" t="s">
        <v>57</v>
      </c>
      <c r="J2200" s="7" t="s">
        <v>11362</v>
      </c>
      <c r="K2200" s="7" t="s">
        <v>11363</v>
      </c>
      <c r="L2200" s="12">
        <v>1</v>
      </c>
      <c r="M2200" s="7" t="s">
        <v>7693</v>
      </c>
    </row>
    <row r="2201" spans="2:13" ht="37.5" customHeight="1" x14ac:dyDescent="0.35">
      <c r="B2201" s="11">
        <v>116</v>
      </c>
      <c r="C2201" s="5" t="s">
        <v>11329</v>
      </c>
      <c r="D2201" s="11">
        <v>14</v>
      </c>
      <c r="E2201" s="5" t="s">
        <v>11364</v>
      </c>
      <c r="F2201" s="5" t="s">
        <v>11365</v>
      </c>
      <c r="G2201" s="5" t="s">
        <v>582</v>
      </c>
      <c r="H2201" s="5" t="s">
        <v>39</v>
      </c>
      <c r="I2201" s="5" t="s">
        <v>57</v>
      </c>
      <c r="J2201" s="5" t="s">
        <v>11362</v>
      </c>
      <c r="K2201" s="5" t="s">
        <v>11363</v>
      </c>
      <c r="L2201" s="11">
        <v>1</v>
      </c>
      <c r="M2201" s="5" t="s">
        <v>7693</v>
      </c>
    </row>
    <row r="2202" spans="2:13" ht="37.5" customHeight="1" x14ac:dyDescent="0.35">
      <c r="B2202" s="12">
        <v>117</v>
      </c>
      <c r="C2202" s="7" t="s">
        <v>11366</v>
      </c>
      <c r="D2202" s="12">
        <v>1</v>
      </c>
      <c r="E2202" s="7" t="s">
        <v>11367</v>
      </c>
      <c r="F2202" s="7" t="s">
        <v>11368</v>
      </c>
      <c r="G2202" s="7" t="s">
        <v>713</v>
      </c>
      <c r="H2202" s="7" t="s">
        <v>5142</v>
      </c>
      <c r="I2202" s="7" t="s">
        <v>5143</v>
      </c>
      <c r="J2202" s="7" t="s">
        <v>10958</v>
      </c>
      <c r="K2202" s="7" t="s">
        <v>11369</v>
      </c>
      <c r="L2202" s="12">
        <v>2</v>
      </c>
      <c r="M2202" s="7" t="s">
        <v>7693</v>
      </c>
    </row>
    <row r="2203" spans="2:13" ht="37.5" customHeight="1" x14ac:dyDescent="0.35">
      <c r="B2203" s="11">
        <v>117</v>
      </c>
      <c r="C2203" s="5" t="s">
        <v>11366</v>
      </c>
      <c r="D2203" s="11">
        <v>2</v>
      </c>
      <c r="E2203" s="5" t="s">
        <v>11370</v>
      </c>
      <c r="F2203" s="5" t="s">
        <v>11371</v>
      </c>
      <c r="G2203" s="5" t="s">
        <v>32</v>
      </c>
      <c r="H2203" s="5" t="s">
        <v>11372</v>
      </c>
      <c r="I2203" s="5" t="s">
        <v>11373</v>
      </c>
      <c r="J2203" s="5" t="s">
        <v>11374</v>
      </c>
      <c r="K2203" s="5" t="s">
        <v>11375</v>
      </c>
      <c r="L2203" s="11">
        <v>2</v>
      </c>
      <c r="M2203" s="5" t="s">
        <v>7693</v>
      </c>
    </row>
    <row r="2204" spans="2:13" ht="37.5" customHeight="1" x14ac:dyDescent="0.35">
      <c r="B2204" s="12">
        <v>118</v>
      </c>
      <c r="C2204" s="7" t="s">
        <v>11376</v>
      </c>
      <c r="D2204" s="12">
        <v>1</v>
      </c>
      <c r="E2204" s="7" t="s">
        <v>11377</v>
      </c>
      <c r="F2204" s="7" t="s">
        <v>11378</v>
      </c>
      <c r="G2204" s="7" t="s">
        <v>224</v>
      </c>
      <c r="H2204" s="7" t="s">
        <v>37</v>
      </c>
      <c r="I2204" s="7" t="s">
        <v>193</v>
      </c>
      <c r="J2204" s="7" t="s">
        <v>5056</v>
      </c>
      <c r="K2204" s="7" t="s">
        <v>11379</v>
      </c>
      <c r="L2204" s="12">
        <v>1</v>
      </c>
      <c r="M2204" s="7" t="s">
        <v>7693</v>
      </c>
    </row>
    <row r="2205" spans="2:13" ht="37.5" customHeight="1" x14ac:dyDescent="0.35">
      <c r="B2205" s="11">
        <v>118</v>
      </c>
      <c r="C2205" s="5" t="s">
        <v>11376</v>
      </c>
      <c r="D2205" s="11">
        <v>2</v>
      </c>
      <c r="E2205" s="5" t="s">
        <v>11380</v>
      </c>
      <c r="F2205" s="5" t="s">
        <v>11381</v>
      </c>
      <c r="G2205" s="5" t="s">
        <v>217</v>
      </c>
      <c r="H2205" s="5" t="s">
        <v>37</v>
      </c>
      <c r="I2205" s="5" t="s">
        <v>193</v>
      </c>
      <c r="J2205" s="5" t="s">
        <v>5056</v>
      </c>
      <c r="K2205" s="5" t="s">
        <v>11379</v>
      </c>
      <c r="L2205" s="11">
        <v>1</v>
      </c>
      <c r="M2205" s="5" t="s">
        <v>7693</v>
      </c>
    </row>
    <row r="2206" spans="2:13" ht="37.5" customHeight="1" x14ac:dyDescent="0.35">
      <c r="B2206" s="12">
        <v>118</v>
      </c>
      <c r="C2206" s="7" t="s">
        <v>11376</v>
      </c>
      <c r="D2206" s="12">
        <v>3</v>
      </c>
      <c r="E2206" s="7" t="s">
        <v>11382</v>
      </c>
      <c r="F2206" s="7" t="s">
        <v>11383</v>
      </c>
      <c r="G2206" s="7" t="s">
        <v>1294</v>
      </c>
      <c r="H2206" s="7" t="s">
        <v>36</v>
      </c>
      <c r="I2206" s="7" t="s">
        <v>48</v>
      </c>
      <c r="J2206" s="7" t="s">
        <v>11384</v>
      </c>
      <c r="K2206" s="7" t="s">
        <v>11385</v>
      </c>
      <c r="L2206" s="12">
        <v>1</v>
      </c>
      <c r="M2206" s="7" t="s">
        <v>7693</v>
      </c>
    </row>
    <row r="2207" spans="2:13" ht="37.5" customHeight="1" x14ac:dyDescent="0.35">
      <c r="B2207" s="11">
        <v>119</v>
      </c>
      <c r="C2207" s="5" t="s">
        <v>11386</v>
      </c>
      <c r="D2207" s="11">
        <v>1</v>
      </c>
      <c r="E2207" s="5" t="s">
        <v>11387</v>
      </c>
      <c r="F2207" s="5" t="s">
        <v>11388</v>
      </c>
      <c r="G2207" s="5" t="s">
        <v>30</v>
      </c>
      <c r="H2207" s="5" t="s">
        <v>306</v>
      </c>
      <c r="I2207" s="5" t="s">
        <v>307</v>
      </c>
      <c r="J2207" s="5" t="s">
        <v>1579</v>
      </c>
      <c r="K2207" s="5" t="s">
        <v>11389</v>
      </c>
      <c r="L2207" s="11">
        <v>2</v>
      </c>
      <c r="M2207" s="5" t="s">
        <v>9318</v>
      </c>
    </row>
    <row r="2208" spans="2:13" ht="37.5" customHeight="1" x14ac:dyDescent="0.35">
      <c r="B2208" s="12">
        <v>120</v>
      </c>
      <c r="C2208" s="7" t="s">
        <v>11390</v>
      </c>
      <c r="D2208" s="12">
        <v>1</v>
      </c>
      <c r="E2208" s="7" t="s">
        <v>11391</v>
      </c>
      <c r="F2208" s="7" t="s">
        <v>11392</v>
      </c>
      <c r="G2208" s="7" t="s">
        <v>29</v>
      </c>
      <c r="H2208" s="7" t="s">
        <v>6394</v>
      </c>
      <c r="I2208" s="7" t="s">
        <v>5225</v>
      </c>
      <c r="J2208" s="7" t="s">
        <v>11393</v>
      </c>
      <c r="K2208" s="7" t="s">
        <v>11394</v>
      </c>
      <c r="L2208" s="12">
        <v>2</v>
      </c>
      <c r="M2208" s="7"/>
    </row>
    <row r="2209" spans="2:13" ht="37.5" customHeight="1" x14ac:dyDescent="0.35">
      <c r="B2209" s="11">
        <v>120</v>
      </c>
      <c r="C2209" s="5" t="s">
        <v>11390</v>
      </c>
      <c r="D2209" s="11">
        <v>2</v>
      </c>
      <c r="E2209" s="5" t="s">
        <v>11395</v>
      </c>
      <c r="F2209" s="5" t="s">
        <v>11396</v>
      </c>
      <c r="G2209" s="5" t="s">
        <v>993</v>
      </c>
      <c r="H2209" s="5" t="s">
        <v>36</v>
      </c>
      <c r="I2209" s="5" t="s">
        <v>48</v>
      </c>
      <c r="J2209" s="5" t="s">
        <v>177</v>
      </c>
      <c r="K2209" s="5" t="s">
        <v>4570</v>
      </c>
      <c r="L2209" s="11">
        <v>1</v>
      </c>
      <c r="M2209" s="5"/>
    </row>
    <row r="2210" spans="2:13" ht="37.5" customHeight="1" x14ac:dyDescent="0.35">
      <c r="B2210" s="12">
        <v>121</v>
      </c>
      <c r="C2210" s="7" t="s">
        <v>11397</v>
      </c>
      <c r="D2210" s="12">
        <v>1</v>
      </c>
      <c r="E2210" s="7" t="s">
        <v>11398</v>
      </c>
      <c r="F2210" s="7" t="s">
        <v>11399</v>
      </c>
      <c r="G2210" s="7" t="s">
        <v>582</v>
      </c>
      <c r="H2210" s="7" t="s">
        <v>39</v>
      </c>
      <c r="I2210" s="7" t="s">
        <v>57</v>
      </c>
      <c r="J2210" s="7" t="s">
        <v>4851</v>
      </c>
      <c r="K2210" s="7" t="s">
        <v>11400</v>
      </c>
      <c r="L2210" s="12">
        <v>1</v>
      </c>
      <c r="M2210" s="7"/>
    </row>
    <row r="2211" spans="2:13" ht="37.5" customHeight="1" x14ac:dyDescent="0.35">
      <c r="B2211" s="11">
        <v>122</v>
      </c>
      <c r="C2211" s="5" t="s">
        <v>11401</v>
      </c>
      <c r="D2211" s="11">
        <v>1</v>
      </c>
      <c r="E2211" s="5" t="s">
        <v>11402</v>
      </c>
      <c r="F2211" s="5" t="s">
        <v>11403</v>
      </c>
      <c r="G2211" s="5" t="s">
        <v>472</v>
      </c>
      <c r="H2211" s="5" t="s">
        <v>1521</v>
      </c>
      <c r="I2211" s="5" t="s">
        <v>11404</v>
      </c>
      <c r="J2211" s="5" t="s">
        <v>11405</v>
      </c>
      <c r="K2211" s="5" t="s">
        <v>11406</v>
      </c>
      <c r="L2211" s="11">
        <v>2</v>
      </c>
      <c r="M2211" s="5" t="s">
        <v>156</v>
      </c>
    </row>
    <row r="2212" spans="2:13" ht="67.5" customHeight="1" x14ac:dyDescent="0.35">
      <c r="B2212" s="12">
        <v>122</v>
      </c>
      <c r="C2212" s="7" t="s">
        <v>11401</v>
      </c>
      <c r="D2212" s="12">
        <v>2</v>
      </c>
      <c r="E2212" s="7" t="s">
        <v>11407</v>
      </c>
      <c r="F2212" s="7" t="s">
        <v>11408</v>
      </c>
      <c r="G2212" s="7" t="s">
        <v>428</v>
      </c>
      <c r="H2212" s="7" t="s">
        <v>4915</v>
      </c>
      <c r="I2212" s="7" t="s">
        <v>11409</v>
      </c>
      <c r="J2212" s="7" t="s">
        <v>11410</v>
      </c>
      <c r="K2212" s="7" t="s">
        <v>11411</v>
      </c>
      <c r="L2212" s="12">
        <v>3</v>
      </c>
      <c r="M2212" s="7" t="s">
        <v>156</v>
      </c>
    </row>
    <row r="2213" spans="2:13" ht="37.5" customHeight="1" x14ac:dyDescent="0.35">
      <c r="B2213" s="11">
        <v>122</v>
      </c>
      <c r="C2213" s="5" t="s">
        <v>11401</v>
      </c>
      <c r="D2213" s="11">
        <v>3</v>
      </c>
      <c r="E2213" s="5" t="s">
        <v>11412</v>
      </c>
      <c r="F2213" s="5" t="s">
        <v>11413</v>
      </c>
      <c r="G2213" s="5" t="s">
        <v>358</v>
      </c>
      <c r="H2213" s="5" t="s">
        <v>36</v>
      </c>
      <c r="I2213" s="5" t="s">
        <v>48</v>
      </c>
      <c r="J2213" s="5" t="s">
        <v>1988</v>
      </c>
      <c r="K2213" s="5" t="s">
        <v>11414</v>
      </c>
      <c r="L2213" s="11">
        <v>1</v>
      </c>
      <c r="M2213" s="5" t="s">
        <v>156</v>
      </c>
    </row>
    <row r="2214" spans="2:13" ht="37.5" customHeight="1" x14ac:dyDescent="0.35">
      <c r="B2214" s="12">
        <v>122</v>
      </c>
      <c r="C2214" s="7" t="s">
        <v>11401</v>
      </c>
      <c r="D2214" s="12">
        <v>4</v>
      </c>
      <c r="E2214" s="7" t="s">
        <v>11415</v>
      </c>
      <c r="F2214" s="7" t="s">
        <v>11416</v>
      </c>
      <c r="G2214" s="7" t="s">
        <v>733</v>
      </c>
      <c r="H2214" s="7" t="s">
        <v>36</v>
      </c>
      <c r="I2214" s="7" t="s">
        <v>1885</v>
      </c>
      <c r="J2214" s="7" t="s">
        <v>177</v>
      </c>
      <c r="K2214" s="7" t="s">
        <v>4796</v>
      </c>
      <c r="L2214" s="12">
        <v>1</v>
      </c>
      <c r="M2214" s="7" t="s">
        <v>156</v>
      </c>
    </row>
    <row r="2215" spans="2:13" ht="21.75" customHeight="1" x14ac:dyDescent="0.35">
      <c r="B2215" s="11">
        <v>122</v>
      </c>
      <c r="C2215" s="5" t="s">
        <v>11401</v>
      </c>
      <c r="D2215" s="11">
        <v>5</v>
      </c>
      <c r="E2215" s="5" t="s">
        <v>11417</v>
      </c>
      <c r="F2215" s="5" t="s">
        <v>11418</v>
      </c>
      <c r="G2215" s="5" t="s">
        <v>188</v>
      </c>
      <c r="H2215" s="5" t="s">
        <v>36</v>
      </c>
      <c r="I2215" s="5" t="s">
        <v>1885</v>
      </c>
      <c r="J2215" s="5" t="s">
        <v>177</v>
      </c>
      <c r="K2215" s="5" t="s">
        <v>4796</v>
      </c>
      <c r="L2215" s="11">
        <v>1</v>
      </c>
      <c r="M2215" s="5" t="s">
        <v>156</v>
      </c>
    </row>
    <row r="2216" spans="2:13" ht="52.5" customHeight="1" x14ac:dyDescent="0.35">
      <c r="B2216" s="12">
        <v>122</v>
      </c>
      <c r="C2216" s="7" t="s">
        <v>11401</v>
      </c>
      <c r="D2216" s="12"/>
      <c r="E2216" s="7" t="s">
        <v>11419</v>
      </c>
      <c r="F2216" s="7" t="s">
        <v>11420</v>
      </c>
      <c r="G2216" s="7" t="s">
        <v>282</v>
      </c>
      <c r="H2216" s="7" t="s">
        <v>4720</v>
      </c>
      <c r="I2216" s="7" t="s">
        <v>11421</v>
      </c>
      <c r="J2216" s="7" t="s">
        <v>11422</v>
      </c>
      <c r="K2216" s="7" t="s">
        <v>11423</v>
      </c>
      <c r="L2216" s="12">
        <v>2</v>
      </c>
      <c r="M2216" s="7" t="s">
        <v>156</v>
      </c>
    </row>
    <row r="2217" spans="2:13" ht="37.5" customHeight="1" x14ac:dyDescent="0.35">
      <c r="B2217" s="11">
        <v>122</v>
      </c>
      <c r="C2217" s="5" t="s">
        <v>11401</v>
      </c>
      <c r="D2217" s="11">
        <v>6</v>
      </c>
      <c r="E2217" s="5" t="s">
        <v>11424</v>
      </c>
      <c r="F2217" s="5" t="s">
        <v>11425</v>
      </c>
      <c r="G2217" s="5" t="s">
        <v>28</v>
      </c>
      <c r="H2217" s="5" t="s">
        <v>36</v>
      </c>
      <c r="I2217" s="5" t="s">
        <v>5253</v>
      </c>
      <c r="J2217" s="5" t="s">
        <v>1988</v>
      </c>
      <c r="K2217" s="5" t="s">
        <v>6325</v>
      </c>
      <c r="L2217" s="11">
        <v>1</v>
      </c>
      <c r="M2217" s="5" t="s">
        <v>156</v>
      </c>
    </row>
    <row r="2218" spans="2:13" ht="37.5" customHeight="1" x14ac:dyDescent="0.35">
      <c r="B2218" s="12">
        <v>122</v>
      </c>
      <c r="C2218" s="7" t="s">
        <v>11401</v>
      </c>
      <c r="D2218" s="12">
        <v>7</v>
      </c>
      <c r="E2218" s="7" t="s">
        <v>11426</v>
      </c>
      <c r="F2218" s="7" t="s">
        <v>11427</v>
      </c>
      <c r="G2218" s="7" t="s">
        <v>33</v>
      </c>
      <c r="H2218" s="7" t="s">
        <v>36</v>
      </c>
      <c r="I2218" s="7" t="s">
        <v>1885</v>
      </c>
      <c r="J2218" s="7" t="s">
        <v>177</v>
      </c>
      <c r="K2218" s="7" t="s">
        <v>4796</v>
      </c>
      <c r="L2218" s="12">
        <v>1</v>
      </c>
      <c r="M2218" s="7" t="s">
        <v>156</v>
      </c>
    </row>
    <row r="2219" spans="2:13" ht="37.5" customHeight="1" x14ac:dyDescent="0.35">
      <c r="B2219" s="11">
        <v>122</v>
      </c>
      <c r="C2219" s="5" t="s">
        <v>11401</v>
      </c>
      <c r="D2219" s="11">
        <v>8</v>
      </c>
      <c r="E2219" s="5" t="s">
        <v>11428</v>
      </c>
      <c r="F2219" s="5" t="s">
        <v>11429</v>
      </c>
      <c r="G2219" s="5" t="s">
        <v>536</v>
      </c>
      <c r="H2219" s="5" t="s">
        <v>4662</v>
      </c>
      <c r="I2219" s="5" t="s">
        <v>11430</v>
      </c>
      <c r="J2219" s="5" t="s">
        <v>11431</v>
      </c>
      <c r="K2219" s="5" t="s">
        <v>11432</v>
      </c>
      <c r="L2219" s="11">
        <v>2</v>
      </c>
      <c r="M2219" s="5" t="s">
        <v>156</v>
      </c>
    </row>
    <row r="2220" spans="2:13" ht="37.5" customHeight="1" x14ac:dyDescent="0.35">
      <c r="B2220" s="12">
        <v>122</v>
      </c>
      <c r="C2220" s="7" t="s">
        <v>11401</v>
      </c>
      <c r="D2220" s="12">
        <v>9</v>
      </c>
      <c r="E2220" s="7" t="s">
        <v>11433</v>
      </c>
      <c r="F2220" s="7" t="s">
        <v>11434</v>
      </c>
      <c r="G2220" s="7" t="s">
        <v>653</v>
      </c>
      <c r="H2220" s="7" t="s">
        <v>37</v>
      </c>
      <c r="I2220" s="7" t="s">
        <v>51</v>
      </c>
      <c r="J2220" s="7" t="s">
        <v>11435</v>
      </c>
      <c r="K2220" s="7" t="s">
        <v>11436</v>
      </c>
      <c r="L2220" s="12">
        <v>1</v>
      </c>
      <c r="M2220" s="7" t="s">
        <v>156</v>
      </c>
    </row>
    <row r="2221" spans="2:13" ht="37.5" customHeight="1" x14ac:dyDescent="0.35">
      <c r="B2221" s="11">
        <v>122</v>
      </c>
      <c r="C2221" s="5" t="s">
        <v>11401</v>
      </c>
      <c r="D2221" s="11">
        <v>10</v>
      </c>
      <c r="E2221" s="5" t="s">
        <v>11437</v>
      </c>
      <c r="F2221" s="5" t="s">
        <v>11438</v>
      </c>
      <c r="G2221" s="5" t="s">
        <v>805</v>
      </c>
      <c r="H2221" s="5" t="s">
        <v>36</v>
      </c>
      <c r="I2221" s="5" t="s">
        <v>48</v>
      </c>
      <c r="J2221" s="5" t="s">
        <v>1988</v>
      </c>
      <c r="K2221" s="5" t="s">
        <v>11414</v>
      </c>
      <c r="L2221" s="11">
        <v>1</v>
      </c>
      <c r="M2221" s="5" t="s">
        <v>156</v>
      </c>
    </row>
    <row r="2222" spans="2:13" ht="37.5" customHeight="1" x14ac:dyDescent="0.35">
      <c r="B2222" s="12">
        <v>122</v>
      </c>
      <c r="C2222" s="7" t="s">
        <v>11401</v>
      </c>
      <c r="D2222" s="12">
        <v>11</v>
      </c>
      <c r="E2222" s="7" t="s">
        <v>11439</v>
      </c>
      <c r="F2222" s="7" t="s">
        <v>11440</v>
      </c>
      <c r="G2222" s="7" t="s">
        <v>428</v>
      </c>
      <c r="H2222" s="7" t="s">
        <v>36</v>
      </c>
      <c r="I2222" s="7" t="s">
        <v>1885</v>
      </c>
      <c r="J2222" s="7" t="s">
        <v>177</v>
      </c>
      <c r="K2222" s="7" t="s">
        <v>4796</v>
      </c>
      <c r="L2222" s="12">
        <v>1</v>
      </c>
      <c r="M2222" s="7" t="s">
        <v>156</v>
      </c>
    </row>
    <row r="2223" spans="2:13" ht="52.5" customHeight="1" x14ac:dyDescent="0.35">
      <c r="B2223" s="11">
        <v>122</v>
      </c>
      <c r="C2223" s="5" t="s">
        <v>11401</v>
      </c>
      <c r="D2223" s="11">
        <v>12</v>
      </c>
      <c r="E2223" s="5" t="s">
        <v>11441</v>
      </c>
      <c r="F2223" s="5" t="s">
        <v>11442</v>
      </c>
      <c r="G2223" s="5" t="s">
        <v>541</v>
      </c>
      <c r="H2223" s="5" t="s">
        <v>11443</v>
      </c>
      <c r="I2223" s="5" t="s">
        <v>5593</v>
      </c>
      <c r="J2223" s="5" t="s">
        <v>11444</v>
      </c>
      <c r="K2223" s="5" t="s">
        <v>11445</v>
      </c>
      <c r="L2223" s="11">
        <v>3</v>
      </c>
      <c r="M2223" s="5" t="s">
        <v>156</v>
      </c>
    </row>
    <row r="2224" spans="2:13" ht="21.75" customHeight="1" x14ac:dyDescent="0.35">
      <c r="B2224" s="12">
        <v>122</v>
      </c>
      <c r="C2224" s="7" t="s">
        <v>11401</v>
      </c>
      <c r="D2224" s="12">
        <v>13</v>
      </c>
      <c r="E2224" s="7" t="s">
        <v>11446</v>
      </c>
      <c r="F2224" s="7" t="s">
        <v>11447</v>
      </c>
      <c r="G2224" s="7" t="s">
        <v>26</v>
      </c>
      <c r="H2224" s="7" t="s">
        <v>36</v>
      </c>
      <c r="I2224" s="7" t="s">
        <v>10940</v>
      </c>
      <c r="J2224" s="7" t="s">
        <v>1988</v>
      </c>
      <c r="K2224" s="7" t="s">
        <v>11448</v>
      </c>
      <c r="L2224" s="12">
        <v>1</v>
      </c>
      <c r="M2224" s="7" t="s">
        <v>156</v>
      </c>
    </row>
    <row r="2225" spans="2:13" ht="37.5" customHeight="1" x14ac:dyDescent="0.35">
      <c r="B2225" s="11">
        <v>122</v>
      </c>
      <c r="C2225" s="5" t="s">
        <v>11401</v>
      </c>
      <c r="D2225" s="11">
        <v>14</v>
      </c>
      <c r="E2225" s="5" t="s">
        <v>11449</v>
      </c>
      <c r="F2225" s="5" t="s">
        <v>11450</v>
      </c>
      <c r="G2225" s="5" t="s">
        <v>11451</v>
      </c>
      <c r="H2225" s="5" t="s">
        <v>42</v>
      </c>
      <c r="I2225" s="5" t="s">
        <v>11452</v>
      </c>
      <c r="J2225" s="5" t="s">
        <v>177</v>
      </c>
      <c r="K2225" s="5" t="s">
        <v>11453</v>
      </c>
      <c r="L2225" s="11">
        <v>1</v>
      </c>
      <c r="M2225" s="5" t="s">
        <v>156</v>
      </c>
    </row>
    <row r="2226" spans="2:13" ht="37.5" customHeight="1" x14ac:dyDescent="0.35">
      <c r="B2226" s="12">
        <v>122</v>
      </c>
      <c r="C2226" s="7" t="s">
        <v>11401</v>
      </c>
      <c r="D2226" s="12">
        <v>15</v>
      </c>
      <c r="E2226" s="7" t="s">
        <v>11454</v>
      </c>
      <c r="F2226" s="7" t="s">
        <v>11455</v>
      </c>
      <c r="G2226" s="7" t="s">
        <v>1435</v>
      </c>
      <c r="H2226" s="7" t="s">
        <v>11456</v>
      </c>
      <c r="I2226" s="7" t="s">
        <v>11457</v>
      </c>
      <c r="J2226" s="7" t="s">
        <v>11458</v>
      </c>
      <c r="K2226" s="7" t="s">
        <v>11459</v>
      </c>
      <c r="L2226" s="12">
        <v>2</v>
      </c>
      <c r="M2226" s="7" t="s">
        <v>156</v>
      </c>
    </row>
    <row r="2227" spans="2:13" ht="37.5" customHeight="1" x14ac:dyDescent="0.35">
      <c r="B2227" s="11">
        <v>122</v>
      </c>
      <c r="C2227" s="5" t="s">
        <v>11401</v>
      </c>
      <c r="D2227" s="11">
        <v>16</v>
      </c>
      <c r="E2227" s="5" t="s">
        <v>11460</v>
      </c>
      <c r="F2227" s="5" t="s">
        <v>11461</v>
      </c>
      <c r="G2227" s="5" t="s">
        <v>582</v>
      </c>
      <c r="H2227" s="5" t="s">
        <v>1521</v>
      </c>
      <c r="I2227" s="5" t="s">
        <v>11462</v>
      </c>
      <c r="J2227" s="5" t="s">
        <v>11463</v>
      </c>
      <c r="K2227" s="5" t="s">
        <v>11464</v>
      </c>
      <c r="L2227" s="11">
        <v>2</v>
      </c>
      <c r="M2227" s="5" t="s">
        <v>156</v>
      </c>
    </row>
    <row r="2228" spans="2:13" ht="37.5" customHeight="1" x14ac:dyDescent="0.35">
      <c r="B2228" s="12">
        <v>122</v>
      </c>
      <c r="C2228" s="7" t="s">
        <v>11401</v>
      </c>
      <c r="D2228" s="12">
        <v>17</v>
      </c>
      <c r="E2228" s="7" t="s">
        <v>11465</v>
      </c>
      <c r="F2228" s="7" t="s">
        <v>11466</v>
      </c>
      <c r="G2228" s="7" t="s">
        <v>3643</v>
      </c>
      <c r="H2228" s="7" t="s">
        <v>37</v>
      </c>
      <c r="I2228" s="7" t="s">
        <v>51</v>
      </c>
      <c r="J2228" s="7" t="s">
        <v>11467</v>
      </c>
      <c r="K2228" s="7" t="s">
        <v>11468</v>
      </c>
      <c r="L2228" s="12">
        <v>1</v>
      </c>
      <c r="M2228" s="7" t="s">
        <v>156</v>
      </c>
    </row>
    <row r="2229" spans="2:13" ht="37.5" customHeight="1" x14ac:dyDescent="0.35">
      <c r="B2229" s="11">
        <v>122</v>
      </c>
      <c r="C2229" s="5" t="s">
        <v>11401</v>
      </c>
      <c r="D2229" s="11">
        <v>18</v>
      </c>
      <c r="E2229" s="5" t="s">
        <v>11469</v>
      </c>
      <c r="F2229" s="5" t="s">
        <v>11470</v>
      </c>
      <c r="G2229" s="5" t="s">
        <v>6122</v>
      </c>
      <c r="H2229" s="5" t="s">
        <v>37</v>
      </c>
      <c r="I2229" s="5" t="s">
        <v>11126</v>
      </c>
      <c r="J2229" s="5" t="s">
        <v>4650</v>
      </c>
      <c r="K2229" s="5" t="s">
        <v>11471</v>
      </c>
      <c r="L2229" s="11">
        <v>1</v>
      </c>
      <c r="M2229" s="5" t="s">
        <v>156</v>
      </c>
    </row>
    <row r="2230" spans="2:13" ht="37.5" customHeight="1" x14ac:dyDescent="0.35">
      <c r="B2230" s="12">
        <v>122</v>
      </c>
      <c r="C2230" s="7" t="s">
        <v>11401</v>
      </c>
      <c r="D2230" s="12">
        <v>19</v>
      </c>
      <c r="E2230" s="7" t="s">
        <v>11472</v>
      </c>
      <c r="F2230" s="7" t="s">
        <v>11473</v>
      </c>
      <c r="G2230" s="7" t="s">
        <v>7235</v>
      </c>
      <c r="H2230" s="7" t="s">
        <v>37</v>
      </c>
      <c r="I2230" s="7" t="s">
        <v>51</v>
      </c>
      <c r="J2230" s="7" t="s">
        <v>177</v>
      </c>
      <c r="K2230" s="7" t="s">
        <v>5517</v>
      </c>
      <c r="L2230" s="12">
        <v>1</v>
      </c>
      <c r="M2230" s="7" t="s">
        <v>156</v>
      </c>
    </row>
    <row r="2231" spans="2:13" ht="37.5" customHeight="1" x14ac:dyDescent="0.35">
      <c r="B2231" s="11">
        <v>122</v>
      </c>
      <c r="C2231" s="5" t="s">
        <v>11401</v>
      </c>
      <c r="D2231" s="11">
        <v>20</v>
      </c>
      <c r="E2231" s="5" t="s">
        <v>11474</v>
      </c>
      <c r="F2231" s="5" t="s">
        <v>11475</v>
      </c>
      <c r="G2231" s="5" t="s">
        <v>206</v>
      </c>
      <c r="H2231" s="5" t="s">
        <v>39</v>
      </c>
      <c r="I2231" s="5" t="s">
        <v>57</v>
      </c>
      <c r="J2231" s="5" t="s">
        <v>177</v>
      </c>
      <c r="K2231" s="5" t="s">
        <v>8597</v>
      </c>
      <c r="L2231" s="11">
        <v>1</v>
      </c>
      <c r="M2231" s="5" t="s">
        <v>156</v>
      </c>
    </row>
    <row r="2232" spans="2:13" ht="37.5" customHeight="1" x14ac:dyDescent="0.35">
      <c r="B2232" s="12">
        <v>122</v>
      </c>
      <c r="C2232" s="7" t="s">
        <v>11401</v>
      </c>
      <c r="D2232" s="12">
        <v>21</v>
      </c>
      <c r="E2232" s="7" t="s">
        <v>11476</v>
      </c>
      <c r="F2232" s="7" t="s">
        <v>11477</v>
      </c>
      <c r="G2232" s="7" t="s">
        <v>825</v>
      </c>
      <c r="H2232" s="7" t="s">
        <v>41</v>
      </c>
      <c r="I2232" s="7" t="s">
        <v>49</v>
      </c>
      <c r="J2232" s="7" t="s">
        <v>213</v>
      </c>
      <c r="K2232" s="7" t="s">
        <v>214</v>
      </c>
      <c r="L2232" s="12">
        <v>1</v>
      </c>
      <c r="M2232" s="7" t="s">
        <v>156</v>
      </c>
    </row>
    <row r="2233" spans="2:13" ht="21.75" customHeight="1" x14ac:dyDescent="0.35">
      <c r="B2233" s="11">
        <v>122</v>
      </c>
      <c r="C2233" s="5" t="s">
        <v>11401</v>
      </c>
      <c r="D2233" s="11">
        <v>22</v>
      </c>
      <c r="E2233" s="5" t="s">
        <v>11478</v>
      </c>
      <c r="F2233" s="5" t="s">
        <v>11479</v>
      </c>
      <c r="G2233" s="5" t="s">
        <v>402</v>
      </c>
      <c r="H2233" s="5" t="s">
        <v>37</v>
      </c>
      <c r="I2233" s="5" t="s">
        <v>51</v>
      </c>
      <c r="J2233" s="5" t="s">
        <v>194</v>
      </c>
      <c r="K2233" s="5" t="s">
        <v>5169</v>
      </c>
      <c r="L2233" s="11">
        <v>1</v>
      </c>
      <c r="M2233" s="5" t="s">
        <v>156</v>
      </c>
    </row>
    <row r="2234" spans="2:13" ht="37.5" customHeight="1" x14ac:dyDescent="0.35">
      <c r="B2234" s="12">
        <v>122</v>
      </c>
      <c r="C2234" s="7" t="s">
        <v>11401</v>
      </c>
      <c r="D2234" s="12">
        <v>23</v>
      </c>
      <c r="E2234" s="7" t="s">
        <v>11480</v>
      </c>
      <c r="F2234" s="7" t="s">
        <v>11481</v>
      </c>
      <c r="G2234" s="7" t="s">
        <v>552</v>
      </c>
      <c r="H2234" s="7" t="s">
        <v>36</v>
      </c>
      <c r="I2234" s="7" t="s">
        <v>48</v>
      </c>
      <c r="J2234" s="7" t="s">
        <v>1988</v>
      </c>
      <c r="K2234" s="7" t="s">
        <v>11414</v>
      </c>
      <c r="L2234" s="12">
        <v>1</v>
      </c>
      <c r="M2234" s="7" t="s">
        <v>156</v>
      </c>
    </row>
    <row r="2235" spans="2:13" ht="37.5" customHeight="1" x14ac:dyDescent="0.35">
      <c r="B2235" s="11">
        <v>122</v>
      </c>
      <c r="C2235" s="5" t="s">
        <v>11401</v>
      </c>
      <c r="D2235" s="11">
        <v>24</v>
      </c>
      <c r="E2235" s="5" t="s">
        <v>11482</v>
      </c>
      <c r="F2235" s="5" t="s">
        <v>11483</v>
      </c>
      <c r="G2235" s="5" t="s">
        <v>648</v>
      </c>
      <c r="H2235" s="5" t="s">
        <v>37</v>
      </c>
      <c r="I2235" s="5" t="s">
        <v>51</v>
      </c>
      <c r="J2235" s="5" t="s">
        <v>194</v>
      </c>
      <c r="K2235" s="5" t="s">
        <v>5169</v>
      </c>
      <c r="L2235" s="11">
        <v>1</v>
      </c>
      <c r="M2235" s="5" t="s">
        <v>156</v>
      </c>
    </row>
    <row r="2236" spans="2:13" ht="37.5" customHeight="1" x14ac:dyDescent="0.35">
      <c r="B2236" s="12">
        <v>122</v>
      </c>
      <c r="C2236" s="7" t="s">
        <v>11401</v>
      </c>
      <c r="D2236" s="12">
        <v>25</v>
      </c>
      <c r="E2236" s="7" t="s">
        <v>11484</v>
      </c>
      <c r="F2236" s="7" t="s">
        <v>11485</v>
      </c>
      <c r="G2236" s="7" t="s">
        <v>6147</v>
      </c>
      <c r="H2236" s="7" t="s">
        <v>37</v>
      </c>
      <c r="I2236" s="7" t="s">
        <v>7683</v>
      </c>
      <c r="J2236" s="7" t="s">
        <v>194</v>
      </c>
      <c r="K2236" s="7" t="s">
        <v>11486</v>
      </c>
      <c r="L2236" s="12">
        <v>1</v>
      </c>
      <c r="M2236" s="7" t="s">
        <v>156</v>
      </c>
    </row>
    <row r="2237" spans="2:13" ht="21.75" customHeight="1" x14ac:dyDescent="0.35">
      <c r="B2237" s="11">
        <v>122</v>
      </c>
      <c r="C2237" s="5" t="s">
        <v>11401</v>
      </c>
      <c r="D2237" s="11">
        <v>26</v>
      </c>
      <c r="E2237" s="5" t="s">
        <v>11487</v>
      </c>
      <c r="F2237" s="5" t="s">
        <v>11488</v>
      </c>
      <c r="G2237" s="5" t="s">
        <v>445</v>
      </c>
      <c r="H2237" s="5" t="s">
        <v>39</v>
      </c>
      <c r="I2237" s="5" t="s">
        <v>57</v>
      </c>
      <c r="J2237" s="5" t="s">
        <v>11489</v>
      </c>
      <c r="K2237" s="5" t="s">
        <v>11490</v>
      </c>
      <c r="L2237" s="11">
        <v>1</v>
      </c>
      <c r="M2237" s="5" t="s">
        <v>156</v>
      </c>
    </row>
    <row r="2238" spans="2:13" ht="37.5" customHeight="1" x14ac:dyDescent="0.35">
      <c r="B2238" s="12">
        <v>122</v>
      </c>
      <c r="C2238" s="7" t="s">
        <v>11401</v>
      </c>
      <c r="D2238" s="12">
        <v>27</v>
      </c>
      <c r="E2238" s="7" t="s">
        <v>11491</v>
      </c>
      <c r="F2238" s="7" t="s">
        <v>11492</v>
      </c>
      <c r="G2238" s="7" t="s">
        <v>670</v>
      </c>
      <c r="H2238" s="7" t="s">
        <v>1521</v>
      </c>
      <c r="I2238" s="7" t="s">
        <v>11493</v>
      </c>
      <c r="J2238" s="7" t="s">
        <v>8274</v>
      </c>
      <c r="K2238" s="7" t="s">
        <v>11494</v>
      </c>
      <c r="L2238" s="12">
        <v>2</v>
      </c>
      <c r="M2238" s="7" t="s">
        <v>156</v>
      </c>
    </row>
    <row r="2239" spans="2:13" ht="21.75" customHeight="1" x14ac:dyDescent="0.35">
      <c r="B2239" s="11">
        <v>122</v>
      </c>
      <c r="C2239" s="5" t="s">
        <v>11401</v>
      </c>
      <c r="D2239" s="11">
        <v>28</v>
      </c>
      <c r="E2239" s="5" t="s">
        <v>11495</v>
      </c>
      <c r="F2239" s="5" t="s">
        <v>11496</v>
      </c>
      <c r="G2239" s="5" t="s">
        <v>755</v>
      </c>
      <c r="H2239" s="5" t="s">
        <v>37</v>
      </c>
      <c r="I2239" s="5" t="s">
        <v>51</v>
      </c>
      <c r="J2239" s="5" t="s">
        <v>194</v>
      </c>
      <c r="K2239" s="5" t="s">
        <v>5169</v>
      </c>
      <c r="L2239" s="11">
        <v>1</v>
      </c>
      <c r="M2239" s="5" t="s">
        <v>156</v>
      </c>
    </row>
    <row r="2240" spans="2:13" ht="37.5" customHeight="1" x14ac:dyDescent="0.35">
      <c r="B2240" s="12">
        <v>123</v>
      </c>
      <c r="C2240" s="7" t="s">
        <v>11497</v>
      </c>
      <c r="D2240" s="12">
        <v>1</v>
      </c>
      <c r="E2240" s="7" t="s">
        <v>11498</v>
      </c>
      <c r="F2240" s="7" t="s">
        <v>11499</v>
      </c>
      <c r="G2240" s="7" t="s">
        <v>1560</v>
      </c>
      <c r="H2240" s="7" t="s">
        <v>37</v>
      </c>
      <c r="I2240" s="7" t="s">
        <v>11500</v>
      </c>
      <c r="J2240" s="7" t="s">
        <v>11501</v>
      </c>
      <c r="K2240" s="7" t="s">
        <v>11502</v>
      </c>
      <c r="L2240" s="12">
        <v>1</v>
      </c>
      <c r="M2240" s="7" t="s">
        <v>156</v>
      </c>
    </row>
    <row r="2241" spans="2:13" ht="37.5" customHeight="1" x14ac:dyDescent="0.35">
      <c r="B2241" s="11">
        <v>123</v>
      </c>
      <c r="C2241" s="5" t="s">
        <v>11497</v>
      </c>
      <c r="D2241" s="11">
        <v>2</v>
      </c>
      <c r="E2241" s="5" t="s">
        <v>11503</v>
      </c>
      <c r="F2241" s="5" t="s">
        <v>11504</v>
      </c>
      <c r="G2241" s="5" t="s">
        <v>656</v>
      </c>
      <c r="H2241" s="5" t="s">
        <v>37</v>
      </c>
      <c r="I2241" s="5" t="s">
        <v>51</v>
      </c>
      <c r="J2241" s="5" t="s">
        <v>11501</v>
      </c>
      <c r="K2241" s="5" t="s">
        <v>11505</v>
      </c>
      <c r="L2241" s="11">
        <v>1</v>
      </c>
      <c r="M2241" s="5" t="s">
        <v>156</v>
      </c>
    </row>
    <row r="2242" spans="2:13" ht="37.5" customHeight="1" x14ac:dyDescent="0.35">
      <c r="B2242" s="12">
        <v>123</v>
      </c>
      <c r="C2242" s="7" t="s">
        <v>11497</v>
      </c>
      <c r="D2242" s="12">
        <v>3</v>
      </c>
      <c r="E2242" s="7" t="s">
        <v>11506</v>
      </c>
      <c r="F2242" s="7" t="s">
        <v>11507</v>
      </c>
      <c r="G2242" s="7" t="s">
        <v>11508</v>
      </c>
      <c r="H2242" s="7" t="s">
        <v>37</v>
      </c>
      <c r="I2242" s="7" t="s">
        <v>51</v>
      </c>
      <c r="J2242" s="7" t="s">
        <v>4851</v>
      </c>
      <c r="K2242" s="7" t="s">
        <v>11509</v>
      </c>
      <c r="L2242" s="12">
        <v>1</v>
      </c>
      <c r="M2242" s="7" t="s">
        <v>156</v>
      </c>
    </row>
    <row r="2243" spans="2:13" ht="82.5" customHeight="1" x14ac:dyDescent="0.35">
      <c r="B2243" s="11">
        <v>124</v>
      </c>
      <c r="C2243" s="5" t="s">
        <v>11510</v>
      </c>
      <c r="D2243" s="11">
        <v>1</v>
      </c>
      <c r="E2243" s="5" t="s">
        <v>11511</v>
      </c>
      <c r="F2243" s="5" t="s">
        <v>11512</v>
      </c>
      <c r="G2243" s="5" t="s">
        <v>29</v>
      </c>
      <c r="H2243" s="5" t="s">
        <v>11513</v>
      </c>
      <c r="I2243" s="5" t="s">
        <v>11514</v>
      </c>
      <c r="J2243" s="5" t="s">
        <v>11515</v>
      </c>
      <c r="K2243" s="5" t="s">
        <v>11516</v>
      </c>
      <c r="L2243" s="11">
        <v>3</v>
      </c>
      <c r="M2243" s="5" t="s">
        <v>11517</v>
      </c>
    </row>
    <row r="2244" spans="2:13" ht="52.5" customHeight="1" x14ac:dyDescent="0.35">
      <c r="B2244" s="12">
        <v>124</v>
      </c>
      <c r="C2244" s="7" t="s">
        <v>11510</v>
      </c>
      <c r="D2244" s="12">
        <v>2</v>
      </c>
      <c r="E2244" s="7" t="s">
        <v>11518</v>
      </c>
      <c r="F2244" s="7" t="s">
        <v>11519</v>
      </c>
      <c r="G2244" s="7" t="s">
        <v>29</v>
      </c>
      <c r="H2244" s="7" t="s">
        <v>4599</v>
      </c>
      <c r="I2244" s="7" t="s">
        <v>11520</v>
      </c>
      <c r="J2244" s="7" t="s">
        <v>11521</v>
      </c>
      <c r="K2244" s="7" t="s">
        <v>11522</v>
      </c>
      <c r="L2244" s="12">
        <v>2</v>
      </c>
      <c r="M2244" s="7" t="s">
        <v>11517</v>
      </c>
    </row>
    <row r="2245" spans="2:13" ht="37.5" customHeight="1" x14ac:dyDescent="0.35">
      <c r="B2245" s="11">
        <v>124</v>
      </c>
      <c r="C2245" s="5" t="s">
        <v>11510</v>
      </c>
      <c r="D2245" s="11">
        <v>3</v>
      </c>
      <c r="E2245" s="5" t="s">
        <v>11523</v>
      </c>
      <c r="F2245" s="5" t="s">
        <v>11524</v>
      </c>
      <c r="G2245" s="5" t="s">
        <v>28</v>
      </c>
      <c r="H2245" s="5" t="s">
        <v>42</v>
      </c>
      <c r="I2245" s="5" t="s">
        <v>4657</v>
      </c>
      <c r="J2245" s="5" t="s">
        <v>194</v>
      </c>
      <c r="K2245" s="5" t="s">
        <v>5060</v>
      </c>
      <c r="L2245" s="11">
        <v>1</v>
      </c>
      <c r="M2245" s="5" t="s">
        <v>11517</v>
      </c>
    </row>
    <row r="2246" spans="2:13" ht="37.5" customHeight="1" x14ac:dyDescent="0.35">
      <c r="B2246" s="12">
        <v>124</v>
      </c>
      <c r="C2246" s="7" t="s">
        <v>11510</v>
      </c>
      <c r="D2246" s="12">
        <v>4</v>
      </c>
      <c r="E2246" s="7" t="s">
        <v>11525</v>
      </c>
      <c r="F2246" s="7" t="s">
        <v>11526</v>
      </c>
      <c r="G2246" s="7" t="s">
        <v>1680</v>
      </c>
      <c r="H2246" s="7" t="s">
        <v>42</v>
      </c>
      <c r="I2246" s="7" t="s">
        <v>4657</v>
      </c>
      <c r="J2246" s="7" t="s">
        <v>194</v>
      </c>
      <c r="K2246" s="7" t="s">
        <v>5060</v>
      </c>
      <c r="L2246" s="12">
        <v>1</v>
      </c>
      <c r="M2246" s="7" t="s">
        <v>11517</v>
      </c>
    </row>
    <row r="2247" spans="2:13" ht="21.75" customHeight="1" x14ac:dyDescent="0.35">
      <c r="B2247" s="11">
        <v>124</v>
      </c>
      <c r="C2247" s="5" t="s">
        <v>11510</v>
      </c>
      <c r="D2247" s="11">
        <v>5</v>
      </c>
      <c r="E2247" s="5" t="s">
        <v>11527</v>
      </c>
      <c r="F2247" s="5" t="s">
        <v>11528</v>
      </c>
      <c r="G2247" s="5" t="s">
        <v>27</v>
      </c>
      <c r="H2247" s="5" t="s">
        <v>39</v>
      </c>
      <c r="I2247" s="5" t="s">
        <v>57</v>
      </c>
      <c r="J2247" s="5" t="s">
        <v>207</v>
      </c>
      <c r="K2247" s="5" t="s">
        <v>11529</v>
      </c>
      <c r="L2247" s="11">
        <v>1</v>
      </c>
      <c r="M2247" s="5" t="s">
        <v>11517</v>
      </c>
    </row>
    <row r="2248" spans="2:13" ht="21.75" customHeight="1" x14ac:dyDescent="0.35">
      <c r="B2248" s="12">
        <v>124</v>
      </c>
      <c r="C2248" s="7" t="s">
        <v>11510</v>
      </c>
      <c r="D2248" s="12">
        <v>6</v>
      </c>
      <c r="E2248" s="7" t="s">
        <v>11530</v>
      </c>
      <c r="F2248" s="7" t="s">
        <v>11531</v>
      </c>
      <c r="G2248" s="7" t="s">
        <v>249</v>
      </c>
      <c r="H2248" s="7" t="s">
        <v>39</v>
      </c>
      <c r="I2248" s="7" t="s">
        <v>57</v>
      </c>
      <c r="J2248" s="7" t="s">
        <v>207</v>
      </c>
      <c r="K2248" s="7" t="s">
        <v>11529</v>
      </c>
      <c r="L2248" s="12">
        <v>1</v>
      </c>
      <c r="M2248" s="7" t="s">
        <v>11517</v>
      </c>
    </row>
    <row r="2249" spans="2:13" ht="21.75" customHeight="1" x14ac:dyDescent="0.35">
      <c r="B2249" s="11">
        <v>124</v>
      </c>
      <c r="C2249" s="5" t="s">
        <v>11510</v>
      </c>
      <c r="D2249" s="11">
        <v>7</v>
      </c>
      <c r="E2249" s="5" t="s">
        <v>11532</v>
      </c>
      <c r="F2249" s="5" t="s">
        <v>11533</v>
      </c>
      <c r="G2249" s="5" t="s">
        <v>198</v>
      </c>
      <c r="H2249" s="5" t="s">
        <v>39</v>
      </c>
      <c r="I2249" s="5" t="s">
        <v>57</v>
      </c>
      <c r="J2249" s="5" t="s">
        <v>207</v>
      </c>
      <c r="K2249" s="5" t="s">
        <v>11529</v>
      </c>
      <c r="L2249" s="11">
        <v>1</v>
      </c>
      <c r="M2249" s="5" t="s">
        <v>11517</v>
      </c>
    </row>
    <row r="2250" spans="2:13" ht="37.5" customHeight="1" x14ac:dyDescent="0.35">
      <c r="B2250" s="12">
        <v>124</v>
      </c>
      <c r="C2250" s="7" t="s">
        <v>11510</v>
      </c>
      <c r="D2250" s="12">
        <v>8</v>
      </c>
      <c r="E2250" s="7" t="s">
        <v>11534</v>
      </c>
      <c r="F2250" s="7" t="s">
        <v>11535</v>
      </c>
      <c r="G2250" s="7" t="s">
        <v>282</v>
      </c>
      <c r="H2250" s="7" t="s">
        <v>36</v>
      </c>
      <c r="I2250" s="7" t="s">
        <v>11536</v>
      </c>
      <c r="J2250" s="7" t="s">
        <v>207</v>
      </c>
      <c r="K2250" s="7" t="s">
        <v>11537</v>
      </c>
      <c r="L2250" s="12">
        <v>1</v>
      </c>
      <c r="M2250" s="7" t="s">
        <v>11517</v>
      </c>
    </row>
    <row r="2251" spans="2:13" ht="37.5" customHeight="1" x14ac:dyDescent="0.35">
      <c r="B2251" s="11">
        <v>124</v>
      </c>
      <c r="C2251" s="5" t="s">
        <v>11510</v>
      </c>
      <c r="D2251" s="11">
        <v>9</v>
      </c>
      <c r="E2251" s="5" t="s">
        <v>11538</v>
      </c>
      <c r="F2251" s="5" t="s">
        <v>11539</v>
      </c>
      <c r="G2251" s="5" t="s">
        <v>552</v>
      </c>
      <c r="H2251" s="5" t="s">
        <v>36</v>
      </c>
      <c r="I2251" s="5" t="s">
        <v>11536</v>
      </c>
      <c r="J2251" s="5" t="s">
        <v>207</v>
      </c>
      <c r="K2251" s="5" t="s">
        <v>11537</v>
      </c>
      <c r="L2251" s="11">
        <v>1</v>
      </c>
      <c r="M2251" s="5" t="s">
        <v>11517</v>
      </c>
    </row>
    <row r="2252" spans="2:13" ht="21.75" customHeight="1" x14ac:dyDescent="0.35">
      <c r="B2252" s="12">
        <v>124</v>
      </c>
      <c r="C2252" s="7" t="s">
        <v>11510</v>
      </c>
      <c r="D2252" s="12">
        <v>10</v>
      </c>
      <c r="E2252" s="7" t="s">
        <v>11540</v>
      </c>
      <c r="F2252" s="7" t="s">
        <v>11541</v>
      </c>
      <c r="G2252" s="7" t="s">
        <v>4908</v>
      </c>
      <c r="H2252" s="7" t="s">
        <v>39</v>
      </c>
      <c r="I2252" s="7" t="s">
        <v>57</v>
      </c>
      <c r="J2252" s="7" t="s">
        <v>2617</v>
      </c>
      <c r="K2252" s="7" t="s">
        <v>11542</v>
      </c>
      <c r="L2252" s="12">
        <v>1</v>
      </c>
      <c r="M2252" s="7" t="s">
        <v>11517</v>
      </c>
    </row>
    <row r="2253" spans="2:13" ht="21.75" customHeight="1" x14ac:dyDescent="0.35">
      <c r="B2253" s="11">
        <v>124</v>
      </c>
      <c r="C2253" s="5" t="s">
        <v>11510</v>
      </c>
      <c r="D2253" s="11">
        <v>11</v>
      </c>
      <c r="E2253" s="5" t="s">
        <v>11543</v>
      </c>
      <c r="F2253" s="5" t="s">
        <v>11544</v>
      </c>
      <c r="G2253" s="5" t="s">
        <v>11545</v>
      </c>
      <c r="H2253" s="5" t="s">
        <v>39</v>
      </c>
      <c r="I2253" s="5" t="s">
        <v>57</v>
      </c>
      <c r="J2253" s="5" t="s">
        <v>2617</v>
      </c>
      <c r="K2253" s="5" t="s">
        <v>11542</v>
      </c>
      <c r="L2253" s="11">
        <v>1</v>
      </c>
      <c r="M2253" s="5" t="s">
        <v>11517</v>
      </c>
    </row>
    <row r="2254" spans="2:13" ht="21.75" customHeight="1" x14ac:dyDescent="0.35">
      <c r="B2254" s="12">
        <v>124</v>
      </c>
      <c r="C2254" s="7" t="s">
        <v>11510</v>
      </c>
      <c r="D2254" s="12">
        <v>12</v>
      </c>
      <c r="E2254" s="7" t="s">
        <v>11546</v>
      </c>
      <c r="F2254" s="7" t="s">
        <v>11547</v>
      </c>
      <c r="G2254" s="7" t="s">
        <v>445</v>
      </c>
      <c r="H2254" s="7" t="s">
        <v>39</v>
      </c>
      <c r="I2254" s="7" t="s">
        <v>57</v>
      </c>
      <c r="J2254" s="7" t="s">
        <v>2617</v>
      </c>
      <c r="K2254" s="7" t="s">
        <v>11542</v>
      </c>
      <c r="L2254" s="12">
        <v>1</v>
      </c>
      <c r="M2254" s="7" t="s">
        <v>11517</v>
      </c>
    </row>
    <row r="2255" spans="2:13" ht="21.75" customHeight="1" x14ac:dyDescent="0.35">
      <c r="B2255" s="11">
        <v>124</v>
      </c>
      <c r="C2255" s="5" t="s">
        <v>11510</v>
      </c>
      <c r="D2255" s="11">
        <v>13</v>
      </c>
      <c r="E2255" s="5" t="s">
        <v>11548</v>
      </c>
      <c r="F2255" s="5" t="s">
        <v>11549</v>
      </c>
      <c r="G2255" s="5" t="s">
        <v>32</v>
      </c>
      <c r="H2255" s="5" t="s">
        <v>36</v>
      </c>
      <c r="I2255" s="5" t="s">
        <v>48</v>
      </c>
      <c r="J2255" s="5" t="s">
        <v>11550</v>
      </c>
      <c r="K2255" s="5" t="s">
        <v>11551</v>
      </c>
      <c r="L2255" s="11">
        <v>1</v>
      </c>
      <c r="M2255" s="5" t="s">
        <v>11517</v>
      </c>
    </row>
    <row r="2256" spans="2:13" ht="37.5" customHeight="1" x14ac:dyDescent="0.35">
      <c r="B2256" s="12">
        <v>124</v>
      </c>
      <c r="C2256" s="7" t="s">
        <v>11510</v>
      </c>
      <c r="D2256" s="12">
        <v>14</v>
      </c>
      <c r="E2256" s="7" t="s">
        <v>11552</v>
      </c>
      <c r="F2256" s="7" t="s">
        <v>11553</v>
      </c>
      <c r="G2256" s="7" t="s">
        <v>2209</v>
      </c>
      <c r="H2256" s="7" t="s">
        <v>38</v>
      </c>
      <c r="I2256" s="7" t="s">
        <v>49</v>
      </c>
      <c r="J2256" s="7" t="s">
        <v>11554</v>
      </c>
      <c r="K2256" s="7" t="s">
        <v>11555</v>
      </c>
      <c r="L2256" s="12">
        <v>1</v>
      </c>
      <c r="M2256" s="7" t="s">
        <v>11517</v>
      </c>
    </row>
    <row r="2257" spans="2:13" ht="37.5" customHeight="1" x14ac:dyDescent="0.35">
      <c r="B2257" s="11">
        <v>124</v>
      </c>
      <c r="C2257" s="5" t="s">
        <v>11510</v>
      </c>
      <c r="D2257" s="11">
        <v>15</v>
      </c>
      <c r="E2257" s="5" t="s">
        <v>11556</v>
      </c>
      <c r="F2257" s="5" t="s">
        <v>11557</v>
      </c>
      <c r="G2257" s="5" t="s">
        <v>33</v>
      </c>
      <c r="H2257" s="5" t="s">
        <v>36</v>
      </c>
      <c r="I2257" s="5" t="s">
        <v>48</v>
      </c>
      <c r="J2257" s="5" t="s">
        <v>7044</v>
      </c>
      <c r="K2257" s="5" t="s">
        <v>7120</v>
      </c>
      <c r="L2257" s="11">
        <v>1</v>
      </c>
      <c r="M2257" s="5" t="s">
        <v>11517</v>
      </c>
    </row>
    <row r="2258" spans="2:13" ht="37.5" customHeight="1" x14ac:dyDescent="0.35">
      <c r="B2258" s="12">
        <v>124</v>
      </c>
      <c r="C2258" s="7" t="s">
        <v>11510</v>
      </c>
      <c r="D2258" s="12">
        <v>16</v>
      </c>
      <c r="E2258" s="7" t="s">
        <v>11558</v>
      </c>
      <c r="F2258" s="7" t="s">
        <v>11559</v>
      </c>
      <c r="G2258" s="7" t="s">
        <v>279</v>
      </c>
      <c r="H2258" s="7" t="s">
        <v>39</v>
      </c>
      <c r="I2258" s="7" t="s">
        <v>57</v>
      </c>
      <c r="J2258" s="7" t="s">
        <v>2617</v>
      </c>
      <c r="K2258" s="7" t="s">
        <v>11542</v>
      </c>
      <c r="L2258" s="12">
        <v>1</v>
      </c>
      <c r="M2258" s="7" t="s">
        <v>11517</v>
      </c>
    </row>
    <row r="2259" spans="2:13" ht="21.75" customHeight="1" x14ac:dyDescent="0.35">
      <c r="B2259" s="11">
        <v>124</v>
      </c>
      <c r="C2259" s="5" t="s">
        <v>11510</v>
      </c>
      <c r="D2259" s="11">
        <v>17</v>
      </c>
      <c r="E2259" s="5" t="s">
        <v>11560</v>
      </c>
      <c r="F2259" s="5" t="s">
        <v>11561</v>
      </c>
      <c r="G2259" s="5" t="s">
        <v>1713</v>
      </c>
      <c r="H2259" s="5" t="s">
        <v>39</v>
      </c>
      <c r="I2259" s="5" t="s">
        <v>57</v>
      </c>
      <c r="J2259" s="5" t="s">
        <v>2617</v>
      </c>
      <c r="K2259" s="5" t="s">
        <v>11542</v>
      </c>
      <c r="L2259" s="11">
        <v>1</v>
      </c>
      <c r="M2259" s="5" t="s">
        <v>11517</v>
      </c>
    </row>
    <row r="2260" spans="2:13" ht="21.75" customHeight="1" x14ac:dyDescent="0.35">
      <c r="B2260" s="12">
        <v>124</v>
      </c>
      <c r="C2260" s="7" t="s">
        <v>11510</v>
      </c>
      <c r="D2260" s="12">
        <v>18</v>
      </c>
      <c r="E2260" s="7" t="s">
        <v>11562</v>
      </c>
      <c r="F2260" s="7" t="s">
        <v>11563</v>
      </c>
      <c r="G2260" s="7" t="s">
        <v>625</v>
      </c>
      <c r="H2260" s="7" t="s">
        <v>39</v>
      </c>
      <c r="I2260" s="7" t="s">
        <v>57</v>
      </c>
      <c r="J2260" s="7" t="s">
        <v>2617</v>
      </c>
      <c r="K2260" s="7" t="s">
        <v>11542</v>
      </c>
      <c r="L2260" s="12">
        <v>1</v>
      </c>
      <c r="M2260" s="7" t="s">
        <v>11517</v>
      </c>
    </row>
    <row r="2261" spans="2:13" ht="37.5" customHeight="1" x14ac:dyDescent="0.35">
      <c r="B2261" s="11">
        <v>124</v>
      </c>
      <c r="C2261" s="5" t="s">
        <v>11510</v>
      </c>
      <c r="D2261" s="11">
        <v>19</v>
      </c>
      <c r="E2261" s="5" t="s">
        <v>11564</v>
      </c>
      <c r="F2261" s="5" t="s">
        <v>11565</v>
      </c>
      <c r="G2261" s="5" t="s">
        <v>713</v>
      </c>
      <c r="H2261" s="5" t="s">
        <v>42</v>
      </c>
      <c r="I2261" s="5" t="s">
        <v>4657</v>
      </c>
      <c r="J2261" s="5" t="s">
        <v>258</v>
      </c>
      <c r="K2261" s="5" t="s">
        <v>8048</v>
      </c>
      <c r="L2261" s="11">
        <v>1</v>
      </c>
      <c r="M2261" s="5" t="s">
        <v>11517</v>
      </c>
    </row>
    <row r="2262" spans="2:13" ht="21.75" customHeight="1" x14ac:dyDescent="0.35">
      <c r="B2262" s="12">
        <v>124</v>
      </c>
      <c r="C2262" s="7" t="s">
        <v>11510</v>
      </c>
      <c r="D2262" s="12">
        <v>20</v>
      </c>
      <c r="E2262" s="7" t="s">
        <v>11566</v>
      </c>
      <c r="F2262" s="7" t="s">
        <v>11567</v>
      </c>
      <c r="G2262" s="7" t="s">
        <v>26</v>
      </c>
      <c r="H2262" s="7" t="s">
        <v>42</v>
      </c>
      <c r="I2262" s="7" t="s">
        <v>5433</v>
      </c>
      <c r="J2262" s="7" t="s">
        <v>2617</v>
      </c>
      <c r="K2262" s="7" t="s">
        <v>11568</v>
      </c>
      <c r="L2262" s="12">
        <v>1</v>
      </c>
      <c r="M2262" s="7" t="s">
        <v>11517</v>
      </c>
    </row>
    <row r="2263" spans="2:13" ht="37.5" customHeight="1" x14ac:dyDescent="0.35">
      <c r="B2263" s="11">
        <v>124</v>
      </c>
      <c r="C2263" s="5" t="s">
        <v>11510</v>
      </c>
      <c r="D2263" s="11">
        <v>21</v>
      </c>
      <c r="E2263" s="5" t="s">
        <v>11569</v>
      </c>
      <c r="F2263" s="5" t="s">
        <v>11570</v>
      </c>
      <c r="G2263" s="5" t="s">
        <v>32</v>
      </c>
      <c r="H2263" s="5" t="s">
        <v>4752</v>
      </c>
      <c r="I2263" s="5" t="s">
        <v>5583</v>
      </c>
      <c r="J2263" s="5" t="s">
        <v>11571</v>
      </c>
      <c r="K2263" s="5" t="s">
        <v>11572</v>
      </c>
      <c r="L2263" s="11">
        <v>2</v>
      </c>
      <c r="M2263" s="5" t="s">
        <v>11517</v>
      </c>
    </row>
    <row r="2264" spans="2:13" ht="37.5" customHeight="1" x14ac:dyDescent="0.35">
      <c r="B2264" s="12">
        <v>125</v>
      </c>
      <c r="C2264" s="7" t="s">
        <v>11573</v>
      </c>
      <c r="D2264" s="12">
        <v>1</v>
      </c>
      <c r="E2264" s="7" t="s">
        <v>11574</v>
      </c>
      <c r="F2264" s="7" t="s">
        <v>11575</v>
      </c>
      <c r="G2264" s="7" t="s">
        <v>2919</v>
      </c>
      <c r="H2264" s="7" t="s">
        <v>4984</v>
      </c>
      <c r="I2264" s="7" t="s">
        <v>11576</v>
      </c>
      <c r="J2264" s="7" t="s">
        <v>11577</v>
      </c>
      <c r="K2264" s="7" t="s">
        <v>11578</v>
      </c>
      <c r="L2264" s="12">
        <v>2</v>
      </c>
      <c r="M2264" s="7" t="s">
        <v>11579</v>
      </c>
    </row>
    <row r="2265" spans="2:13" ht="37.5" customHeight="1" x14ac:dyDescent="0.35">
      <c r="B2265" s="11">
        <v>125</v>
      </c>
      <c r="C2265" s="5" t="s">
        <v>11573</v>
      </c>
      <c r="D2265" s="11">
        <v>2</v>
      </c>
      <c r="E2265" s="5" t="s">
        <v>11580</v>
      </c>
      <c r="F2265" s="5" t="s">
        <v>11581</v>
      </c>
      <c r="G2265" s="5" t="s">
        <v>32</v>
      </c>
      <c r="H2265" s="5" t="s">
        <v>8736</v>
      </c>
      <c r="I2265" s="5" t="s">
        <v>11582</v>
      </c>
      <c r="J2265" s="5" t="s">
        <v>1218</v>
      </c>
      <c r="K2265" s="5" t="s">
        <v>11583</v>
      </c>
      <c r="L2265" s="11">
        <v>2</v>
      </c>
      <c r="M2265" s="5" t="s">
        <v>11579</v>
      </c>
    </row>
    <row r="2266" spans="2:13" ht="37.5" customHeight="1" x14ac:dyDescent="0.35">
      <c r="B2266" s="12">
        <v>125</v>
      </c>
      <c r="C2266" s="7" t="s">
        <v>11573</v>
      </c>
      <c r="D2266" s="12">
        <v>3</v>
      </c>
      <c r="E2266" s="7" t="s">
        <v>11584</v>
      </c>
      <c r="F2266" s="7" t="s">
        <v>11585</v>
      </c>
      <c r="G2266" s="7" t="s">
        <v>3283</v>
      </c>
      <c r="H2266" s="7" t="s">
        <v>39</v>
      </c>
      <c r="I2266" s="7" t="s">
        <v>482</v>
      </c>
      <c r="J2266" s="7" t="s">
        <v>194</v>
      </c>
      <c r="K2266" s="7" t="s">
        <v>11586</v>
      </c>
      <c r="L2266" s="12">
        <v>1</v>
      </c>
      <c r="M2266" s="7" t="s">
        <v>11579</v>
      </c>
    </row>
    <row r="2267" spans="2:13" ht="37.5" customHeight="1" x14ac:dyDescent="0.35">
      <c r="B2267" s="11">
        <v>126</v>
      </c>
      <c r="C2267" s="5" t="s">
        <v>11587</v>
      </c>
      <c r="D2267" s="11">
        <v>1</v>
      </c>
      <c r="E2267" s="5" t="s">
        <v>11588</v>
      </c>
      <c r="F2267" s="5" t="s">
        <v>11589</v>
      </c>
      <c r="G2267" s="5" t="s">
        <v>2919</v>
      </c>
      <c r="H2267" s="5" t="s">
        <v>169</v>
      </c>
      <c r="I2267" s="5" t="s">
        <v>679</v>
      </c>
      <c r="J2267" s="5" t="s">
        <v>10533</v>
      </c>
      <c r="K2267" s="5" t="s">
        <v>11590</v>
      </c>
      <c r="L2267" s="11">
        <v>2</v>
      </c>
      <c r="M2267" s="5" t="s">
        <v>11579</v>
      </c>
    </row>
    <row r="2268" spans="2:13" ht="37.5" customHeight="1" x14ac:dyDescent="0.35">
      <c r="B2268" s="12">
        <v>126</v>
      </c>
      <c r="C2268" s="7" t="s">
        <v>11587</v>
      </c>
      <c r="D2268" s="12">
        <v>2</v>
      </c>
      <c r="E2268" s="7" t="s">
        <v>11591</v>
      </c>
      <c r="F2268" s="7" t="s">
        <v>11592</v>
      </c>
      <c r="G2268" s="7" t="s">
        <v>560</v>
      </c>
      <c r="H2268" s="7" t="s">
        <v>294</v>
      </c>
      <c r="I2268" s="7" t="s">
        <v>11593</v>
      </c>
      <c r="J2268" s="7" t="s">
        <v>11594</v>
      </c>
      <c r="K2268" s="7" t="s">
        <v>11595</v>
      </c>
      <c r="L2268" s="12">
        <v>2</v>
      </c>
      <c r="M2268" s="7" t="s">
        <v>11579</v>
      </c>
    </row>
    <row r="2269" spans="2:13" ht="52.5" customHeight="1" x14ac:dyDescent="0.35">
      <c r="B2269" s="11">
        <v>127</v>
      </c>
      <c r="C2269" s="5" t="s">
        <v>11596</v>
      </c>
      <c r="D2269" s="11">
        <v>1</v>
      </c>
      <c r="E2269" s="5" t="s">
        <v>11597</v>
      </c>
      <c r="F2269" s="5" t="s">
        <v>11598</v>
      </c>
      <c r="G2269" s="5" t="s">
        <v>27</v>
      </c>
      <c r="H2269" s="5" t="s">
        <v>44</v>
      </c>
      <c r="I2269" s="5" t="s">
        <v>49</v>
      </c>
      <c r="J2269" s="5" t="s">
        <v>233</v>
      </c>
      <c r="K2269" s="5" t="s">
        <v>5524</v>
      </c>
      <c r="L2269" s="11">
        <v>1</v>
      </c>
      <c r="M2269" s="5" t="s">
        <v>1892</v>
      </c>
    </row>
    <row r="2270" spans="2:13" ht="52.5" customHeight="1" x14ac:dyDescent="0.35">
      <c r="B2270" s="12">
        <v>127</v>
      </c>
      <c r="C2270" s="7" t="s">
        <v>11596</v>
      </c>
      <c r="D2270" s="12">
        <v>2</v>
      </c>
      <c r="E2270" s="7" t="s">
        <v>11599</v>
      </c>
      <c r="F2270" s="7" t="s">
        <v>11600</v>
      </c>
      <c r="G2270" s="7" t="s">
        <v>26</v>
      </c>
      <c r="H2270" s="7" t="s">
        <v>42</v>
      </c>
      <c r="I2270" s="7" t="s">
        <v>11601</v>
      </c>
      <c r="J2270" s="7" t="s">
        <v>5176</v>
      </c>
      <c r="K2270" s="7" t="s">
        <v>11602</v>
      </c>
      <c r="L2270" s="12">
        <v>1</v>
      </c>
      <c r="M2270" s="7" t="s">
        <v>1892</v>
      </c>
    </row>
    <row r="2271" spans="2:13" ht="52.5" customHeight="1" x14ac:dyDescent="0.35">
      <c r="B2271" s="11">
        <v>127</v>
      </c>
      <c r="C2271" s="5" t="s">
        <v>11596</v>
      </c>
      <c r="D2271" s="11">
        <v>3</v>
      </c>
      <c r="E2271" s="5" t="s">
        <v>11603</v>
      </c>
      <c r="F2271" s="5" t="s">
        <v>11604</v>
      </c>
      <c r="G2271" s="5" t="s">
        <v>24</v>
      </c>
      <c r="H2271" s="5" t="s">
        <v>4895</v>
      </c>
      <c r="I2271" s="5" t="s">
        <v>51</v>
      </c>
      <c r="J2271" s="5" t="s">
        <v>2595</v>
      </c>
      <c r="K2271" s="5" t="s">
        <v>11605</v>
      </c>
      <c r="L2271" s="11">
        <v>2</v>
      </c>
      <c r="M2271" s="5" t="s">
        <v>1892</v>
      </c>
    </row>
    <row r="2272" spans="2:13" ht="52.5" customHeight="1" x14ac:dyDescent="0.35">
      <c r="B2272" s="12">
        <v>127</v>
      </c>
      <c r="C2272" s="7" t="s">
        <v>11596</v>
      </c>
      <c r="D2272" s="12">
        <v>4</v>
      </c>
      <c r="E2272" s="7" t="s">
        <v>11606</v>
      </c>
      <c r="F2272" s="7" t="s">
        <v>11607</v>
      </c>
      <c r="G2272" s="7" t="s">
        <v>206</v>
      </c>
      <c r="H2272" s="7" t="s">
        <v>37</v>
      </c>
      <c r="I2272" s="7" t="s">
        <v>51</v>
      </c>
      <c r="J2272" s="7" t="s">
        <v>2617</v>
      </c>
      <c r="K2272" s="7" t="s">
        <v>10059</v>
      </c>
      <c r="L2272" s="12">
        <v>1</v>
      </c>
      <c r="M2272" s="7" t="s">
        <v>1892</v>
      </c>
    </row>
    <row r="2273" spans="2:13" ht="52.5" customHeight="1" x14ac:dyDescent="0.35">
      <c r="B2273" s="11">
        <v>127</v>
      </c>
      <c r="C2273" s="5" t="s">
        <v>11596</v>
      </c>
      <c r="D2273" s="11">
        <v>5</v>
      </c>
      <c r="E2273" s="5" t="s">
        <v>11608</v>
      </c>
      <c r="F2273" s="5" t="s">
        <v>11609</v>
      </c>
      <c r="G2273" s="5" t="s">
        <v>513</v>
      </c>
      <c r="H2273" s="5" t="s">
        <v>4996</v>
      </c>
      <c r="I2273" s="5" t="s">
        <v>4971</v>
      </c>
      <c r="J2273" s="5" t="s">
        <v>11610</v>
      </c>
      <c r="K2273" s="5" t="s">
        <v>11611</v>
      </c>
      <c r="L2273" s="11">
        <v>2</v>
      </c>
      <c r="M2273" s="5" t="s">
        <v>1892</v>
      </c>
    </row>
    <row r="2274" spans="2:13" ht="52.5" customHeight="1" x14ac:dyDescent="0.35">
      <c r="B2274" s="12">
        <v>127</v>
      </c>
      <c r="C2274" s="7" t="s">
        <v>11596</v>
      </c>
      <c r="D2274" s="12">
        <v>6</v>
      </c>
      <c r="E2274" s="7" t="s">
        <v>11612</v>
      </c>
      <c r="F2274" s="7" t="s">
        <v>11613</v>
      </c>
      <c r="G2274" s="7" t="s">
        <v>25</v>
      </c>
      <c r="H2274" s="7" t="s">
        <v>42</v>
      </c>
      <c r="I2274" s="7" t="s">
        <v>5433</v>
      </c>
      <c r="J2274" s="7" t="s">
        <v>2174</v>
      </c>
      <c r="K2274" s="7" t="s">
        <v>11614</v>
      </c>
      <c r="L2274" s="12">
        <v>1</v>
      </c>
      <c r="M2274" s="7" t="s">
        <v>1892</v>
      </c>
    </row>
    <row r="2275" spans="2:13" ht="52.5" customHeight="1" x14ac:dyDescent="0.35">
      <c r="B2275" s="11">
        <v>127</v>
      </c>
      <c r="C2275" s="5" t="s">
        <v>11596</v>
      </c>
      <c r="D2275" s="11">
        <v>7</v>
      </c>
      <c r="E2275" s="5" t="s">
        <v>11615</v>
      </c>
      <c r="F2275" s="5" t="s">
        <v>11616</v>
      </c>
      <c r="G2275" s="5" t="s">
        <v>300</v>
      </c>
      <c r="H2275" s="5" t="s">
        <v>37</v>
      </c>
      <c r="I2275" s="5" t="s">
        <v>51</v>
      </c>
      <c r="J2275" s="5" t="s">
        <v>2617</v>
      </c>
      <c r="K2275" s="5" t="s">
        <v>10059</v>
      </c>
      <c r="L2275" s="11">
        <v>1</v>
      </c>
      <c r="M2275" s="5" t="s">
        <v>1892</v>
      </c>
    </row>
    <row r="2276" spans="2:13" ht="52.5" customHeight="1" x14ac:dyDescent="0.35">
      <c r="B2276" s="12">
        <v>127</v>
      </c>
      <c r="C2276" s="7" t="s">
        <v>11596</v>
      </c>
      <c r="D2276" s="12">
        <v>8</v>
      </c>
      <c r="E2276" s="7" t="s">
        <v>11617</v>
      </c>
      <c r="F2276" s="7" t="s">
        <v>11618</v>
      </c>
      <c r="G2276" s="7" t="s">
        <v>1127</v>
      </c>
      <c r="H2276" s="7" t="s">
        <v>37</v>
      </c>
      <c r="I2276" s="7" t="s">
        <v>51</v>
      </c>
      <c r="J2276" s="7" t="s">
        <v>2617</v>
      </c>
      <c r="K2276" s="7" t="s">
        <v>10059</v>
      </c>
      <c r="L2276" s="12">
        <v>1</v>
      </c>
      <c r="M2276" s="7" t="s">
        <v>1892</v>
      </c>
    </row>
    <row r="2277" spans="2:13" ht="52.5" customHeight="1" x14ac:dyDescent="0.35">
      <c r="B2277" s="11">
        <v>127</v>
      </c>
      <c r="C2277" s="5" t="s">
        <v>11596</v>
      </c>
      <c r="D2277" s="11">
        <v>9</v>
      </c>
      <c r="E2277" s="5" t="s">
        <v>11619</v>
      </c>
      <c r="F2277" s="5" t="s">
        <v>11620</v>
      </c>
      <c r="G2277" s="5" t="s">
        <v>25</v>
      </c>
      <c r="H2277" s="5" t="s">
        <v>11621</v>
      </c>
      <c r="I2277" s="5" t="s">
        <v>11622</v>
      </c>
      <c r="J2277" s="5" t="s">
        <v>11623</v>
      </c>
      <c r="K2277" s="5" t="s">
        <v>11624</v>
      </c>
      <c r="L2277" s="11">
        <v>2</v>
      </c>
      <c r="M2277" s="5" t="s">
        <v>1892</v>
      </c>
    </row>
    <row r="2278" spans="2:13" ht="52.5" customHeight="1" x14ac:dyDescent="0.35">
      <c r="B2278" s="12">
        <v>127</v>
      </c>
      <c r="C2278" s="7" t="s">
        <v>11596</v>
      </c>
      <c r="D2278" s="12">
        <v>10</v>
      </c>
      <c r="E2278" s="7" t="s">
        <v>11625</v>
      </c>
      <c r="F2278" s="7" t="s">
        <v>11626</v>
      </c>
      <c r="G2278" s="7" t="s">
        <v>1252</v>
      </c>
      <c r="H2278" s="7" t="s">
        <v>44</v>
      </c>
      <c r="I2278" s="7" t="s">
        <v>49</v>
      </c>
      <c r="J2278" s="7" t="s">
        <v>233</v>
      </c>
      <c r="K2278" s="7" t="s">
        <v>5524</v>
      </c>
      <c r="L2278" s="12">
        <v>1</v>
      </c>
      <c r="M2278" s="7" t="s">
        <v>1892</v>
      </c>
    </row>
    <row r="2279" spans="2:13" ht="52.5" customHeight="1" x14ac:dyDescent="0.35">
      <c r="B2279" s="11">
        <v>127</v>
      </c>
      <c r="C2279" s="5" t="s">
        <v>11596</v>
      </c>
      <c r="D2279" s="11">
        <v>11</v>
      </c>
      <c r="E2279" s="5" t="s">
        <v>11627</v>
      </c>
      <c r="F2279" s="5" t="s">
        <v>11628</v>
      </c>
      <c r="G2279" s="5" t="s">
        <v>1226</v>
      </c>
      <c r="H2279" s="5" t="s">
        <v>41</v>
      </c>
      <c r="I2279" s="5" t="s">
        <v>49</v>
      </c>
      <c r="J2279" s="5" t="s">
        <v>233</v>
      </c>
      <c r="K2279" s="5" t="s">
        <v>5172</v>
      </c>
      <c r="L2279" s="11">
        <v>1</v>
      </c>
      <c r="M2279" s="5" t="s">
        <v>1892</v>
      </c>
    </row>
    <row r="2280" spans="2:13" ht="52.5" customHeight="1" x14ac:dyDescent="0.35">
      <c r="B2280" s="12">
        <v>127</v>
      </c>
      <c r="C2280" s="7" t="s">
        <v>11596</v>
      </c>
      <c r="D2280" s="12">
        <v>12</v>
      </c>
      <c r="E2280" s="7" t="s">
        <v>11629</v>
      </c>
      <c r="F2280" s="7" t="s">
        <v>11630</v>
      </c>
      <c r="G2280" s="7" t="s">
        <v>428</v>
      </c>
      <c r="H2280" s="7" t="s">
        <v>5017</v>
      </c>
      <c r="I2280" s="7" t="s">
        <v>5018</v>
      </c>
      <c r="J2280" s="7" t="s">
        <v>2595</v>
      </c>
      <c r="K2280" s="7" t="s">
        <v>11631</v>
      </c>
      <c r="L2280" s="12">
        <v>2</v>
      </c>
      <c r="M2280" s="7" t="s">
        <v>1892</v>
      </c>
    </row>
    <row r="2281" spans="2:13" ht="52.5" customHeight="1" x14ac:dyDescent="0.35">
      <c r="B2281" s="11">
        <v>127</v>
      </c>
      <c r="C2281" s="5" t="s">
        <v>11596</v>
      </c>
      <c r="D2281" s="11">
        <v>13</v>
      </c>
      <c r="E2281" s="5" t="s">
        <v>11632</v>
      </c>
      <c r="F2281" s="5" t="s">
        <v>11633</v>
      </c>
      <c r="G2281" s="5" t="s">
        <v>810</v>
      </c>
      <c r="H2281" s="5" t="s">
        <v>40</v>
      </c>
      <c r="I2281" s="5" t="s">
        <v>54</v>
      </c>
      <c r="J2281" s="5" t="s">
        <v>213</v>
      </c>
      <c r="K2281" s="5" t="s">
        <v>254</v>
      </c>
      <c r="L2281" s="11">
        <v>1</v>
      </c>
      <c r="M2281" s="5" t="s">
        <v>1892</v>
      </c>
    </row>
    <row r="2282" spans="2:13" ht="52.5" customHeight="1" x14ac:dyDescent="0.35">
      <c r="B2282" s="12">
        <v>127</v>
      </c>
      <c r="C2282" s="7" t="s">
        <v>11596</v>
      </c>
      <c r="D2282" s="12">
        <v>14</v>
      </c>
      <c r="E2282" s="7" t="s">
        <v>11634</v>
      </c>
      <c r="F2282" s="7" t="s">
        <v>11635</v>
      </c>
      <c r="G2282" s="7" t="s">
        <v>421</v>
      </c>
      <c r="H2282" s="7" t="s">
        <v>43</v>
      </c>
      <c r="I2282" s="7" t="s">
        <v>11282</v>
      </c>
      <c r="J2282" s="7" t="s">
        <v>233</v>
      </c>
      <c r="K2282" s="7" t="s">
        <v>11636</v>
      </c>
      <c r="L2282" s="12">
        <v>1</v>
      </c>
      <c r="M2282" s="7" t="s">
        <v>1892</v>
      </c>
    </row>
    <row r="2283" spans="2:13" ht="37.5" customHeight="1" x14ac:dyDescent="0.35">
      <c r="B2283" s="11">
        <v>128</v>
      </c>
      <c r="C2283" s="5" t="s">
        <v>11637</v>
      </c>
      <c r="D2283" s="11">
        <v>1</v>
      </c>
      <c r="E2283" s="5" t="s">
        <v>11638</v>
      </c>
      <c r="F2283" s="5" t="s">
        <v>11639</v>
      </c>
      <c r="G2283" s="5" t="s">
        <v>28</v>
      </c>
      <c r="H2283" s="5" t="s">
        <v>42</v>
      </c>
      <c r="I2283" s="5" t="s">
        <v>11640</v>
      </c>
      <c r="J2283" s="5" t="s">
        <v>11641</v>
      </c>
      <c r="K2283" s="5" t="s">
        <v>11642</v>
      </c>
      <c r="L2283" s="11">
        <v>1</v>
      </c>
      <c r="M2283" s="5" t="s">
        <v>1892</v>
      </c>
    </row>
    <row r="2284" spans="2:13" ht="52.5" customHeight="1" x14ac:dyDescent="0.35">
      <c r="B2284" s="12">
        <v>128</v>
      </c>
      <c r="C2284" s="7" t="s">
        <v>11637</v>
      </c>
      <c r="D2284" s="12">
        <v>2</v>
      </c>
      <c r="E2284" s="7" t="s">
        <v>11643</v>
      </c>
      <c r="F2284" s="7" t="s">
        <v>11644</v>
      </c>
      <c r="G2284" s="7" t="s">
        <v>2919</v>
      </c>
      <c r="H2284" s="7" t="s">
        <v>4599</v>
      </c>
      <c r="I2284" s="7" t="s">
        <v>11645</v>
      </c>
      <c r="J2284" s="7" t="s">
        <v>11646</v>
      </c>
      <c r="K2284" s="7" t="s">
        <v>11647</v>
      </c>
      <c r="L2284" s="12">
        <v>2</v>
      </c>
      <c r="M2284" s="7" t="s">
        <v>1892</v>
      </c>
    </row>
    <row r="2285" spans="2:13" ht="37.5" customHeight="1" x14ac:dyDescent="0.35">
      <c r="B2285" s="11">
        <v>128</v>
      </c>
      <c r="C2285" s="5" t="s">
        <v>11637</v>
      </c>
      <c r="D2285" s="11">
        <v>3</v>
      </c>
      <c r="E2285" s="5" t="s">
        <v>11648</v>
      </c>
      <c r="F2285" s="5" t="s">
        <v>11649</v>
      </c>
      <c r="G2285" s="5" t="s">
        <v>206</v>
      </c>
      <c r="H2285" s="5" t="s">
        <v>37</v>
      </c>
      <c r="I2285" s="5" t="s">
        <v>51</v>
      </c>
      <c r="J2285" s="5" t="s">
        <v>11650</v>
      </c>
      <c r="K2285" s="5" t="s">
        <v>11651</v>
      </c>
      <c r="L2285" s="11">
        <v>1</v>
      </c>
      <c r="M2285" s="5" t="s">
        <v>1892</v>
      </c>
    </row>
    <row r="2286" spans="2:13" ht="21.75" customHeight="1" x14ac:dyDescent="0.35">
      <c r="B2286" s="12">
        <v>128</v>
      </c>
      <c r="C2286" s="7" t="s">
        <v>11637</v>
      </c>
      <c r="D2286" s="12">
        <v>4</v>
      </c>
      <c r="E2286" s="7" t="s">
        <v>11652</v>
      </c>
      <c r="F2286" s="7" t="s">
        <v>11653</v>
      </c>
      <c r="G2286" s="7" t="s">
        <v>32</v>
      </c>
      <c r="H2286" s="7" t="s">
        <v>39</v>
      </c>
      <c r="I2286" s="7" t="s">
        <v>57</v>
      </c>
      <c r="J2286" s="7" t="s">
        <v>2174</v>
      </c>
      <c r="K2286" s="7" t="s">
        <v>11654</v>
      </c>
      <c r="L2286" s="12">
        <v>1</v>
      </c>
      <c r="M2286" s="7" t="s">
        <v>1892</v>
      </c>
    </row>
    <row r="2287" spans="2:13" ht="21.75" customHeight="1" x14ac:dyDescent="0.35">
      <c r="B2287" s="11">
        <v>128</v>
      </c>
      <c r="C2287" s="5" t="s">
        <v>11637</v>
      </c>
      <c r="D2287" s="11">
        <v>5</v>
      </c>
      <c r="E2287" s="5" t="s">
        <v>11655</v>
      </c>
      <c r="F2287" s="5" t="s">
        <v>11656</v>
      </c>
      <c r="G2287" s="5" t="s">
        <v>897</v>
      </c>
      <c r="H2287" s="5" t="s">
        <v>36</v>
      </c>
      <c r="I2287" s="5" t="s">
        <v>48</v>
      </c>
      <c r="J2287" s="5" t="s">
        <v>331</v>
      </c>
      <c r="K2287" s="5" t="s">
        <v>4837</v>
      </c>
      <c r="L2287" s="11">
        <v>1</v>
      </c>
      <c r="M2287" s="5" t="s">
        <v>1892</v>
      </c>
    </row>
    <row r="2288" spans="2:13" ht="37.5" customHeight="1" x14ac:dyDescent="0.35">
      <c r="B2288" s="12">
        <v>128</v>
      </c>
      <c r="C2288" s="7" t="s">
        <v>11637</v>
      </c>
      <c r="D2288" s="12">
        <v>6</v>
      </c>
      <c r="E2288" s="7" t="s">
        <v>11657</v>
      </c>
      <c r="F2288" s="7" t="s">
        <v>11658</v>
      </c>
      <c r="G2288" s="7" t="s">
        <v>678</v>
      </c>
      <c r="H2288" s="7" t="s">
        <v>41</v>
      </c>
      <c r="I2288" s="7" t="s">
        <v>49</v>
      </c>
      <c r="J2288" s="7" t="s">
        <v>213</v>
      </c>
      <c r="K2288" s="7" t="s">
        <v>214</v>
      </c>
      <c r="L2288" s="12">
        <v>1</v>
      </c>
      <c r="M2288" s="7" t="s">
        <v>1892</v>
      </c>
    </row>
    <row r="2289" spans="2:13" ht="37.5" customHeight="1" x14ac:dyDescent="0.35">
      <c r="B2289" s="11">
        <v>129</v>
      </c>
      <c r="C2289" s="5" t="s">
        <v>11659</v>
      </c>
      <c r="D2289" s="11">
        <v>1</v>
      </c>
      <c r="E2289" s="5" t="s">
        <v>11660</v>
      </c>
      <c r="F2289" s="5" t="s">
        <v>11661</v>
      </c>
      <c r="G2289" s="5" t="s">
        <v>560</v>
      </c>
      <c r="H2289" s="5" t="s">
        <v>37</v>
      </c>
      <c r="I2289" s="5" t="s">
        <v>51</v>
      </c>
      <c r="J2289" s="5" t="s">
        <v>2371</v>
      </c>
      <c r="K2289" s="5" t="s">
        <v>11662</v>
      </c>
      <c r="L2289" s="11">
        <v>1</v>
      </c>
      <c r="M2289" s="5" t="s">
        <v>1892</v>
      </c>
    </row>
    <row r="2290" spans="2:13" ht="157.5" customHeight="1" x14ac:dyDescent="0.35">
      <c r="B2290" s="12">
        <v>130</v>
      </c>
      <c r="C2290" s="7" t="s">
        <v>11663</v>
      </c>
      <c r="D2290" s="12">
        <v>1</v>
      </c>
      <c r="E2290" s="7" t="s">
        <v>11664</v>
      </c>
      <c r="F2290" s="7" t="s">
        <v>11665</v>
      </c>
      <c r="G2290" s="7" t="s">
        <v>421</v>
      </c>
      <c r="H2290" s="7" t="s">
        <v>11666</v>
      </c>
      <c r="I2290" s="7" t="s">
        <v>11667</v>
      </c>
      <c r="J2290" s="7" t="s">
        <v>11668</v>
      </c>
      <c r="K2290" s="7" t="s">
        <v>11669</v>
      </c>
      <c r="L2290" s="12">
        <v>10</v>
      </c>
      <c r="M2290" s="7" t="s">
        <v>1892</v>
      </c>
    </row>
    <row r="2291" spans="2:13" ht="82.5" customHeight="1" x14ac:dyDescent="0.35">
      <c r="B2291" s="11">
        <v>130</v>
      </c>
      <c r="C2291" s="5" t="s">
        <v>11663</v>
      </c>
      <c r="D2291" s="11">
        <v>2</v>
      </c>
      <c r="E2291" s="5" t="s">
        <v>11670</v>
      </c>
      <c r="F2291" s="5" t="s">
        <v>11671</v>
      </c>
      <c r="G2291" s="5" t="s">
        <v>421</v>
      </c>
      <c r="H2291" s="5" t="s">
        <v>11672</v>
      </c>
      <c r="I2291" s="5" t="s">
        <v>11673</v>
      </c>
      <c r="J2291" s="5" t="s">
        <v>11674</v>
      </c>
      <c r="K2291" s="5" t="s">
        <v>11675</v>
      </c>
      <c r="L2291" s="11">
        <v>5</v>
      </c>
      <c r="M2291" s="5" t="s">
        <v>1892</v>
      </c>
    </row>
    <row r="2292" spans="2:13" ht="37.5" customHeight="1" x14ac:dyDescent="0.35">
      <c r="B2292" s="12">
        <v>130</v>
      </c>
      <c r="C2292" s="7" t="s">
        <v>11663</v>
      </c>
      <c r="D2292" s="12">
        <v>3</v>
      </c>
      <c r="E2292" s="7" t="s">
        <v>11676</v>
      </c>
      <c r="F2292" s="7" t="s">
        <v>11677</v>
      </c>
      <c r="G2292" s="7" t="s">
        <v>28</v>
      </c>
      <c r="H2292" s="7" t="s">
        <v>36</v>
      </c>
      <c r="I2292" s="7" t="s">
        <v>1885</v>
      </c>
      <c r="J2292" s="7" t="s">
        <v>11678</v>
      </c>
      <c r="K2292" s="7" t="s">
        <v>11679</v>
      </c>
      <c r="L2292" s="12">
        <v>1</v>
      </c>
      <c r="M2292" s="7" t="s">
        <v>1892</v>
      </c>
    </row>
    <row r="2293" spans="2:13" ht="37.5" customHeight="1" x14ac:dyDescent="0.35">
      <c r="B2293" s="11">
        <v>130</v>
      </c>
      <c r="C2293" s="5" t="s">
        <v>11663</v>
      </c>
      <c r="D2293" s="11">
        <v>4</v>
      </c>
      <c r="E2293" s="5" t="s">
        <v>11680</v>
      </c>
      <c r="F2293" s="5" t="s">
        <v>11681</v>
      </c>
      <c r="G2293" s="5" t="s">
        <v>566</v>
      </c>
      <c r="H2293" s="5" t="s">
        <v>5202</v>
      </c>
      <c r="I2293" s="5" t="s">
        <v>11682</v>
      </c>
      <c r="J2293" s="5" t="s">
        <v>11683</v>
      </c>
      <c r="K2293" s="5" t="s">
        <v>11684</v>
      </c>
      <c r="L2293" s="11">
        <v>2</v>
      </c>
      <c r="M2293" s="5" t="s">
        <v>1892</v>
      </c>
    </row>
    <row r="2294" spans="2:13" ht="37.5" customHeight="1" x14ac:dyDescent="0.35">
      <c r="B2294" s="12">
        <v>130</v>
      </c>
      <c r="C2294" s="7" t="s">
        <v>11663</v>
      </c>
      <c r="D2294" s="12">
        <v>6</v>
      </c>
      <c r="E2294" s="7" t="s">
        <v>11685</v>
      </c>
      <c r="F2294" s="7" t="s">
        <v>11686</v>
      </c>
      <c r="G2294" s="7" t="s">
        <v>1560</v>
      </c>
      <c r="H2294" s="7" t="s">
        <v>36</v>
      </c>
      <c r="I2294" s="7" t="s">
        <v>48</v>
      </c>
      <c r="J2294" s="7" t="s">
        <v>11687</v>
      </c>
      <c r="K2294" s="7" t="s">
        <v>11688</v>
      </c>
      <c r="L2294" s="12">
        <v>1</v>
      </c>
      <c r="M2294" s="7" t="s">
        <v>1892</v>
      </c>
    </row>
    <row r="2295" spans="2:13" ht="37.5" customHeight="1" x14ac:dyDescent="0.35">
      <c r="B2295" s="11">
        <v>130</v>
      </c>
      <c r="C2295" s="5" t="s">
        <v>11663</v>
      </c>
      <c r="D2295" s="11">
        <v>7</v>
      </c>
      <c r="E2295" s="5" t="s">
        <v>11689</v>
      </c>
      <c r="F2295" s="5" t="s">
        <v>11690</v>
      </c>
      <c r="G2295" s="5" t="s">
        <v>573</v>
      </c>
      <c r="H2295" s="5" t="s">
        <v>6286</v>
      </c>
      <c r="I2295" s="5" t="s">
        <v>11691</v>
      </c>
      <c r="J2295" s="5" t="s">
        <v>11692</v>
      </c>
      <c r="K2295" s="5" t="s">
        <v>11693</v>
      </c>
      <c r="L2295" s="11">
        <v>2</v>
      </c>
      <c r="M2295" s="5" t="s">
        <v>1892</v>
      </c>
    </row>
    <row r="2296" spans="2:13" ht="37.5" customHeight="1" x14ac:dyDescent="0.35">
      <c r="B2296" s="12">
        <v>130</v>
      </c>
      <c r="C2296" s="7" t="s">
        <v>11663</v>
      </c>
      <c r="D2296" s="12">
        <v>8</v>
      </c>
      <c r="E2296" s="7" t="s">
        <v>11694</v>
      </c>
      <c r="F2296" s="7" t="s">
        <v>11695</v>
      </c>
      <c r="G2296" s="7" t="s">
        <v>733</v>
      </c>
      <c r="H2296" s="7" t="s">
        <v>1521</v>
      </c>
      <c r="I2296" s="7" t="s">
        <v>5310</v>
      </c>
      <c r="J2296" s="7" t="s">
        <v>11696</v>
      </c>
      <c r="K2296" s="7" t="s">
        <v>11697</v>
      </c>
      <c r="L2296" s="12">
        <v>2</v>
      </c>
      <c r="M2296" s="7" t="s">
        <v>1892</v>
      </c>
    </row>
    <row r="2297" spans="2:13" ht="37.5" customHeight="1" x14ac:dyDescent="0.35">
      <c r="B2297" s="11">
        <v>130</v>
      </c>
      <c r="C2297" s="5" t="s">
        <v>11663</v>
      </c>
      <c r="D2297" s="11">
        <v>9</v>
      </c>
      <c r="E2297" s="5" t="s">
        <v>11698</v>
      </c>
      <c r="F2297" s="5" t="s">
        <v>11699</v>
      </c>
      <c r="G2297" s="5" t="s">
        <v>648</v>
      </c>
      <c r="H2297" s="5" t="s">
        <v>5202</v>
      </c>
      <c r="I2297" s="5" t="s">
        <v>11700</v>
      </c>
      <c r="J2297" s="5" t="s">
        <v>11701</v>
      </c>
      <c r="K2297" s="5" t="s">
        <v>11702</v>
      </c>
      <c r="L2297" s="11">
        <v>2</v>
      </c>
      <c r="M2297" s="5" t="s">
        <v>1892</v>
      </c>
    </row>
    <row r="2298" spans="2:13" ht="21.75" customHeight="1" x14ac:dyDescent="0.35">
      <c r="B2298" s="12">
        <v>130</v>
      </c>
      <c r="C2298" s="7" t="s">
        <v>11663</v>
      </c>
      <c r="D2298" s="12">
        <v>10</v>
      </c>
      <c r="E2298" s="7" t="s">
        <v>11703</v>
      </c>
      <c r="F2298" s="7" t="s">
        <v>11704</v>
      </c>
      <c r="G2298" s="7" t="s">
        <v>531</v>
      </c>
      <c r="H2298" s="7" t="s">
        <v>36</v>
      </c>
      <c r="I2298" s="7" t="s">
        <v>1885</v>
      </c>
      <c r="J2298" s="7" t="s">
        <v>11687</v>
      </c>
      <c r="K2298" s="7" t="s">
        <v>11705</v>
      </c>
      <c r="L2298" s="12">
        <v>1</v>
      </c>
      <c r="M2298" s="7" t="s">
        <v>1892</v>
      </c>
    </row>
    <row r="2299" spans="2:13" ht="37.5" customHeight="1" x14ac:dyDescent="0.35">
      <c r="B2299" s="11">
        <v>130</v>
      </c>
      <c r="C2299" s="5" t="s">
        <v>11663</v>
      </c>
      <c r="D2299" s="11">
        <v>11</v>
      </c>
      <c r="E2299" s="5" t="s">
        <v>11706</v>
      </c>
      <c r="F2299" s="5" t="s">
        <v>11707</v>
      </c>
      <c r="G2299" s="5" t="s">
        <v>704</v>
      </c>
      <c r="H2299" s="5" t="s">
        <v>36</v>
      </c>
      <c r="I2299" s="5" t="s">
        <v>48</v>
      </c>
      <c r="J2299" s="5" t="s">
        <v>11687</v>
      </c>
      <c r="K2299" s="5" t="s">
        <v>11688</v>
      </c>
      <c r="L2299" s="11">
        <v>1</v>
      </c>
      <c r="M2299" s="5" t="s">
        <v>1892</v>
      </c>
    </row>
    <row r="2300" spans="2:13" ht="37.5" customHeight="1" x14ac:dyDescent="0.35">
      <c r="B2300" s="12">
        <v>130</v>
      </c>
      <c r="C2300" s="7" t="s">
        <v>11663</v>
      </c>
      <c r="D2300" s="12">
        <v>12</v>
      </c>
      <c r="E2300" s="7" t="s">
        <v>11708</v>
      </c>
      <c r="F2300" s="7" t="s">
        <v>11709</v>
      </c>
      <c r="G2300" s="7" t="s">
        <v>670</v>
      </c>
      <c r="H2300" s="7" t="s">
        <v>6286</v>
      </c>
      <c r="I2300" s="7" t="s">
        <v>5143</v>
      </c>
      <c r="J2300" s="7" t="s">
        <v>11710</v>
      </c>
      <c r="K2300" s="7" t="s">
        <v>11711</v>
      </c>
      <c r="L2300" s="12">
        <v>2</v>
      </c>
      <c r="M2300" s="7" t="s">
        <v>1892</v>
      </c>
    </row>
    <row r="2301" spans="2:13" ht="52.5" customHeight="1" x14ac:dyDescent="0.35">
      <c r="B2301" s="11">
        <v>130</v>
      </c>
      <c r="C2301" s="5" t="s">
        <v>11663</v>
      </c>
      <c r="D2301" s="11">
        <v>13</v>
      </c>
      <c r="E2301" s="5" t="s">
        <v>11712</v>
      </c>
      <c r="F2301" s="5" t="s">
        <v>11713</v>
      </c>
      <c r="G2301" s="5" t="s">
        <v>31</v>
      </c>
      <c r="H2301" s="5" t="s">
        <v>11714</v>
      </c>
      <c r="I2301" s="5" t="s">
        <v>11715</v>
      </c>
      <c r="J2301" s="5" t="s">
        <v>11716</v>
      </c>
      <c r="K2301" s="5" t="s">
        <v>11717</v>
      </c>
      <c r="L2301" s="11">
        <v>3</v>
      </c>
      <c r="M2301" s="5" t="s">
        <v>1892</v>
      </c>
    </row>
    <row r="2302" spans="2:13" ht="37.5" customHeight="1" x14ac:dyDescent="0.35">
      <c r="B2302" s="12">
        <v>130</v>
      </c>
      <c r="C2302" s="7" t="s">
        <v>11663</v>
      </c>
      <c r="D2302" s="12">
        <v>14</v>
      </c>
      <c r="E2302" s="7" t="s">
        <v>11718</v>
      </c>
      <c r="F2302" s="7" t="s">
        <v>11719</v>
      </c>
      <c r="G2302" s="7" t="s">
        <v>282</v>
      </c>
      <c r="H2302" s="7" t="s">
        <v>36</v>
      </c>
      <c r="I2302" s="7" t="s">
        <v>48</v>
      </c>
      <c r="J2302" s="7" t="s">
        <v>11687</v>
      </c>
      <c r="K2302" s="7" t="s">
        <v>11688</v>
      </c>
      <c r="L2302" s="12">
        <v>1</v>
      </c>
      <c r="M2302" s="7" t="s">
        <v>1892</v>
      </c>
    </row>
    <row r="2303" spans="2:13" ht="37.5" customHeight="1" x14ac:dyDescent="0.35">
      <c r="B2303" s="11">
        <v>130</v>
      </c>
      <c r="C2303" s="5" t="s">
        <v>11663</v>
      </c>
      <c r="D2303" s="11">
        <v>15</v>
      </c>
      <c r="E2303" s="5" t="s">
        <v>11720</v>
      </c>
      <c r="F2303" s="5" t="s">
        <v>11721</v>
      </c>
      <c r="G2303" s="5" t="s">
        <v>552</v>
      </c>
      <c r="H2303" s="5" t="s">
        <v>36</v>
      </c>
      <c r="I2303" s="5" t="s">
        <v>48</v>
      </c>
      <c r="J2303" s="5" t="s">
        <v>11687</v>
      </c>
      <c r="K2303" s="5" t="s">
        <v>11688</v>
      </c>
      <c r="L2303" s="11">
        <v>1</v>
      </c>
      <c r="M2303" s="5" t="s">
        <v>1892</v>
      </c>
    </row>
    <row r="2304" spans="2:13" ht="37.5" customHeight="1" x14ac:dyDescent="0.35">
      <c r="B2304" s="12">
        <v>130</v>
      </c>
      <c r="C2304" s="7" t="s">
        <v>11663</v>
      </c>
      <c r="D2304" s="12">
        <v>16</v>
      </c>
      <c r="E2304" s="7" t="s">
        <v>11722</v>
      </c>
      <c r="F2304" s="7" t="s">
        <v>11723</v>
      </c>
      <c r="G2304" s="7" t="s">
        <v>33</v>
      </c>
      <c r="H2304" s="7" t="s">
        <v>36</v>
      </c>
      <c r="I2304" s="7" t="s">
        <v>48</v>
      </c>
      <c r="J2304" s="7" t="s">
        <v>11687</v>
      </c>
      <c r="K2304" s="7" t="s">
        <v>11688</v>
      </c>
      <c r="L2304" s="12">
        <v>1</v>
      </c>
      <c r="M2304" s="7" t="s">
        <v>1892</v>
      </c>
    </row>
    <row r="2305" spans="2:13" ht="21.75" customHeight="1" x14ac:dyDescent="0.35">
      <c r="B2305" s="11">
        <v>130</v>
      </c>
      <c r="C2305" s="5" t="s">
        <v>11663</v>
      </c>
      <c r="D2305" s="11">
        <v>17</v>
      </c>
      <c r="E2305" s="5" t="s">
        <v>11724</v>
      </c>
      <c r="F2305" s="5" t="s">
        <v>11725</v>
      </c>
      <c r="G2305" s="5" t="s">
        <v>625</v>
      </c>
      <c r="H2305" s="5" t="s">
        <v>36</v>
      </c>
      <c r="I2305" s="5" t="s">
        <v>48</v>
      </c>
      <c r="J2305" s="5" t="s">
        <v>11687</v>
      </c>
      <c r="K2305" s="5" t="s">
        <v>11688</v>
      </c>
      <c r="L2305" s="11">
        <v>1</v>
      </c>
      <c r="M2305" s="5" t="s">
        <v>1892</v>
      </c>
    </row>
    <row r="2306" spans="2:13" ht="37.5" customHeight="1" x14ac:dyDescent="0.35">
      <c r="B2306" s="12">
        <v>130</v>
      </c>
      <c r="C2306" s="7" t="s">
        <v>11663</v>
      </c>
      <c r="D2306" s="12">
        <v>18</v>
      </c>
      <c r="E2306" s="7" t="s">
        <v>11726</v>
      </c>
      <c r="F2306" s="7" t="s">
        <v>11727</v>
      </c>
      <c r="G2306" s="7" t="s">
        <v>678</v>
      </c>
      <c r="H2306" s="7" t="s">
        <v>36</v>
      </c>
      <c r="I2306" s="7" t="s">
        <v>48</v>
      </c>
      <c r="J2306" s="7" t="s">
        <v>11687</v>
      </c>
      <c r="K2306" s="7" t="s">
        <v>11688</v>
      </c>
      <c r="L2306" s="12">
        <v>1</v>
      </c>
      <c r="M2306" s="7" t="s">
        <v>1892</v>
      </c>
    </row>
    <row r="2307" spans="2:13" ht="37.5" customHeight="1" x14ac:dyDescent="0.35">
      <c r="B2307" s="11">
        <v>130</v>
      </c>
      <c r="C2307" s="5" t="s">
        <v>11663</v>
      </c>
      <c r="D2307" s="11">
        <v>19</v>
      </c>
      <c r="E2307" s="5" t="s">
        <v>11728</v>
      </c>
      <c r="F2307" s="5" t="s">
        <v>11729</v>
      </c>
      <c r="G2307" s="5" t="s">
        <v>921</v>
      </c>
      <c r="H2307" s="5" t="s">
        <v>306</v>
      </c>
      <c r="I2307" s="5" t="s">
        <v>4738</v>
      </c>
      <c r="J2307" s="5" t="s">
        <v>5394</v>
      </c>
      <c r="K2307" s="5" t="s">
        <v>11730</v>
      </c>
      <c r="L2307" s="11">
        <v>2</v>
      </c>
      <c r="M2307" s="5" t="s">
        <v>1892</v>
      </c>
    </row>
    <row r="2308" spans="2:13" ht="21.75" customHeight="1" x14ac:dyDescent="0.35">
      <c r="B2308" s="12">
        <v>130</v>
      </c>
      <c r="C2308" s="7" t="s">
        <v>11663</v>
      </c>
      <c r="D2308" s="12">
        <v>20</v>
      </c>
      <c r="E2308" s="7" t="s">
        <v>11731</v>
      </c>
      <c r="F2308" s="7" t="s">
        <v>11732</v>
      </c>
      <c r="G2308" s="7" t="s">
        <v>402</v>
      </c>
      <c r="H2308" s="7" t="s">
        <v>37</v>
      </c>
      <c r="I2308" s="7" t="s">
        <v>49</v>
      </c>
      <c r="J2308" s="7" t="s">
        <v>5394</v>
      </c>
      <c r="K2308" s="7" t="s">
        <v>11733</v>
      </c>
      <c r="L2308" s="12">
        <v>1</v>
      </c>
      <c r="M2308" s="7" t="s">
        <v>1892</v>
      </c>
    </row>
    <row r="2309" spans="2:13" ht="21.75" customHeight="1" x14ac:dyDescent="0.35">
      <c r="B2309" s="11">
        <v>130</v>
      </c>
      <c r="C2309" s="5" t="s">
        <v>11663</v>
      </c>
      <c r="D2309" s="11">
        <v>21</v>
      </c>
      <c r="E2309" s="5" t="s">
        <v>11734</v>
      </c>
      <c r="F2309" s="5" t="s">
        <v>11735</v>
      </c>
      <c r="G2309" s="5" t="s">
        <v>897</v>
      </c>
      <c r="H2309" s="5" t="s">
        <v>39</v>
      </c>
      <c r="I2309" s="5" t="s">
        <v>57</v>
      </c>
      <c r="J2309" s="5" t="s">
        <v>11678</v>
      </c>
      <c r="K2309" s="5" t="s">
        <v>11736</v>
      </c>
      <c r="L2309" s="11">
        <v>1</v>
      </c>
      <c r="M2309" s="5" t="s">
        <v>1892</v>
      </c>
    </row>
    <row r="2310" spans="2:13" ht="21.75" customHeight="1" x14ac:dyDescent="0.35">
      <c r="B2310" s="12">
        <v>130</v>
      </c>
      <c r="C2310" s="7" t="s">
        <v>11663</v>
      </c>
      <c r="D2310" s="12">
        <v>22</v>
      </c>
      <c r="E2310" s="7" t="s">
        <v>11737</v>
      </c>
      <c r="F2310" s="7" t="s">
        <v>11738</v>
      </c>
      <c r="G2310" s="7" t="s">
        <v>1196</v>
      </c>
      <c r="H2310" s="7" t="s">
        <v>36</v>
      </c>
      <c r="I2310" s="7" t="s">
        <v>48</v>
      </c>
      <c r="J2310" s="7" t="s">
        <v>11687</v>
      </c>
      <c r="K2310" s="7" t="s">
        <v>11688</v>
      </c>
      <c r="L2310" s="12">
        <v>1</v>
      </c>
      <c r="M2310" s="7" t="s">
        <v>1892</v>
      </c>
    </row>
    <row r="2311" spans="2:13" ht="37.5" customHeight="1" x14ac:dyDescent="0.35">
      <c r="B2311" s="11">
        <v>130</v>
      </c>
      <c r="C2311" s="5" t="s">
        <v>11663</v>
      </c>
      <c r="D2311" s="11">
        <v>23</v>
      </c>
      <c r="E2311" s="5" t="s">
        <v>11739</v>
      </c>
      <c r="F2311" s="5" t="s">
        <v>11740</v>
      </c>
      <c r="G2311" s="5" t="s">
        <v>993</v>
      </c>
      <c r="H2311" s="5" t="s">
        <v>36</v>
      </c>
      <c r="I2311" s="5" t="s">
        <v>48</v>
      </c>
      <c r="J2311" s="5" t="s">
        <v>11678</v>
      </c>
      <c r="K2311" s="5" t="s">
        <v>11741</v>
      </c>
      <c r="L2311" s="11">
        <v>1</v>
      </c>
      <c r="M2311" s="5" t="s">
        <v>1892</v>
      </c>
    </row>
    <row r="2312" spans="2:13" ht="37.5" customHeight="1" x14ac:dyDescent="0.35">
      <c r="B2312" s="12">
        <v>130</v>
      </c>
      <c r="C2312" s="7" t="s">
        <v>11663</v>
      </c>
      <c r="D2312" s="12">
        <v>24</v>
      </c>
      <c r="E2312" s="7" t="s">
        <v>11742</v>
      </c>
      <c r="F2312" s="7" t="s">
        <v>11743</v>
      </c>
      <c r="G2312" s="7" t="s">
        <v>2126</v>
      </c>
      <c r="H2312" s="7" t="s">
        <v>36</v>
      </c>
      <c r="I2312" s="7" t="s">
        <v>48</v>
      </c>
      <c r="J2312" s="7" t="s">
        <v>11678</v>
      </c>
      <c r="K2312" s="7" t="s">
        <v>11741</v>
      </c>
      <c r="L2312" s="12">
        <v>1</v>
      </c>
      <c r="M2312" s="7" t="s">
        <v>1892</v>
      </c>
    </row>
    <row r="2313" spans="2:13" ht="21.75" customHeight="1" x14ac:dyDescent="0.35">
      <c r="B2313" s="11">
        <v>130</v>
      </c>
      <c r="C2313" s="5" t="s">
        <v>11663</v>
      </c>
      <c r="D2313" s="11">
        <v>25</v>
      </c>
      <c r="E2313" s="5" t="s">
        <v>11744</v>
      </c>
      <c r="F2313" s="5" t="s">
        <v>11745</v>
      </c>
      <c r="G2313" s="5" t="s">
        <v>1196</v>
      </c>
      <c r="H2313" s="5" t="s">
        <v>37</v>
      </c>
      <c r="I2313" s="5" t="s">
        <v>51</v>
      </c>
      <c r="J2313" s="5" t="s">
        <v>5394</v>
      </c>
      <c r="K2313" s="5" t="s">
        <v>11746</v>
      </c>
      <c r="L2313" s="11">
        <v>1</v>
      </c>
      <c r="M2313" s="5" t="s">
        <v>1892</v>
      </c>
    </row>
    <row r="2314" spans="2:13" ht="37.5" customHeight="1" x14ac:dyDescent="0.35">
      <c r="B2314" s="12">
        <v>130</v>
      </c>
      <c r="C2314" s="7" t="s">
        <v>11663</v>
      </c>
      <c r="D2314" s="12">
        <v>26</v>
      </c>
      <c r="E2314" s="7" t="s">
        <v>11747</v>
      </c>
      <c r="F2314" s="7" t="s">
        <v>11748</v>
      </c>
      <c r="G2314" s="7" t="s">
        <v>3283</v>
      </c>
      <c r="H2314" s="7" t="s">
        <v>37</v>
      </c>
      <c r="I2314" s="7" t="s">
        <v>55</v>
      </c>
      <c r="J2314" s="7" t="s">
        <v>4308</v>
      </c>
      <c r="K2314" s="7" t="s">
        <v>10412</v>
      </c>
      <c r="L2314" s="12">
        <v>1</v>
      </c>
      <c r="M2314" s="7" t="s">
        <v>1892</v>
      </c>
    </row>
    <row r="2315" spans="2:13" ht="21.75" customHeight="1" x14ac:dyDescent="0.35">
      <c r="B2315" s="11">
        <v>130</v>
      </c>
      <c r="C2315" s="5" t="s">
        <v>11663</v>
      </c>
      <c r="D2315" s="11">
        <v>27</v>
      </c>
      <c r="E2315" s="5" t="s">
        <v>11749</v>
      </c>
      <c r="F2315" s="5" t="s">
        <v>11750</v>
      </c>
      <c r="G2315" s="5" t="s">
        <v>26</v>
      </c>
      <c r="H2315" s="5" t="s">
        <v>36</v>
      </c>
      <c r="I2315" s="5" t="s">
        <v>48</v>
      </c>
      <c r="J2315" s="5" t="s">
        <v>10368</v>
      </c>
      <c r="K2315" s="5" t="s">
        <v>10369</v>
      </c>
      <c r="L2315" s="11">
        <v>1</v>
      </c>
      <c r="M2315" s="5" t="s">
        <v>1892</v>
      </c>
    </row>
    <row r="2316" spans="2:13" ht="37.5" customHeight="1" x14ac:dyDescent="0.35">
      <c r="B2316" s="12">
        <v>130</v>
      </c>
      <c r="C2316" s="7" t="s">
        <v>11663</v>
      </c>
      <c r="D2316" s="12">
        <v>28</v>
      </c>
      <c r="E2316" s="7" t="s">
        <v>11751</v>
      </c>
      <c r="F2316" s="7" t="s">
        <v>11752</v>
      </c>
      <c r="G2316" s="7" t="s">
        <v>24</v>
      </c>
      <c r="H2316" s="7" t="s">
        <v>37</v>
      </c>
      <c r="I2316" s="7" t="s">
        <v>55</v>
      </c>
      <c r="J2316" s="7" t="s">
        <v>10104</v>
      </c>
      <c r="K2316" s="7" t="s">
        <v>11753</v>
      </c>
      <c r="L2316" s="12">
        <v>1</v>
      </c>
      <c r="M2316" s="7" t="s">
        <v>1892</v>
      </c>
    </row>
    <row r="2317" spans="2:13" ht="37.5" customHeight="1" x14ac:dyDescent="0.35">
      <c r="B2317" s="11">
        <v>131</v>
      </c>
      <c r="C2317" s="5" t="s">
        <v>11754</v>
      </c>
      <c r="D2317" s="11">
        <v>1</v>
      </c>
      <c r="E2317" s="5" t="s">
        <v>11755</v>
      </c>
      <c r="F2317" s="5" t="s">
        <v>11756</v>
      </c>
      <c r="G2317" s="5" t="s">
        <v>421</v>
      </c>
      <c r="H2317" s="5" t="s">
        <v>1355</v>
      </c>
      <c r="I2317" s="5" t="s">
        <v>11757</v>
      </c>
      <c r="J2317" s="5" t="s">
        <v>10368</v>
      </c>
      <c r="K2317" s="5" t="s">
        <v>11758</v>
      </c>
      <c r="L2317" s="11">
        <v>1</v>
      </c>
      <c r="M2317" s="5" t="s">
        <v>1892</v>
      </c>
    </row>
    <row r="2318" spans="2:13" ht="82.5" customHeight="1" x14ac:dyDescent="0.35">
      <c r="B2318" s="12"/>
      <c r="C2318" s="7" t="s">
        <v>11759</v>
      </c>
      <c r="D2318" s="12">
        <v>2</v>
      </c>
      <c r="E2318" s="7" t="s">
        <v>11760</v>
      </c>
      <c r="F2318" s="7" t="s">
        <v>11761</v>
      </c>
      <c r="G2318" s="7" t="s">
        <v>421</v>
      </c>
      <c r="H2318" s="7" t="s">
        <v>11762</v>
      </c>
      <c r="I2318" s="7" t="s">
        <v>11763</v>
      </c>
      <c r="J2318" s="7" t="s">
        <v>233</v>
      </c>
      <c r="K2318" s="7" t="s">
        <v>11764</v>
      </c>
      <c r="L2318" s="12">
        <v>3</v>
      </c>
      <c r="M2318" s="7"/>
    </row>
    <row r="2319" spans="2:13" ht="37.5" customHeight="1" x14ac:dyDescent="0.35">
      <c r="B2319" s="11">
        <v>132</v>
      </c>
      <c r="C2319" s="5" t="s">
        <v>11765</v>
      </c>
      <c r="D2319" s="11">
        <v>1</v>
      </c>
      <c r="E2319" s="5" t="s">
        <v>11766</v>
      </c>
      <c r="F2319" s="5" t="s">
        <v>11767</v>
      </c>
      <c r="G2319" s="5" t="s">
        <v>26</v>
      </c>
      <c r="H2319" s="5" t="s">
        <v>36</v>
      </c>
      <c r="I2319" s="5" t="s">
        <v>48</v>
      </c>
      <c r="J2319" s="5" t="s">
        <v>5394</v>
      </c>
      <c r="K2319" s="5" t="s">
        <v>5395</v>
      </c>
      <c r="L2319" s="11">
        <v>1</v>
      </c>
      <c r="M2319" s="5" t="s">
        <v>1892</v>
      </c>
    </row>
    <row r="2320" spans="2:13" ht="52.5" customHeight="1" x14ac:dyDescent="0.35">
      <c r="B2320" s="12">
        <v>132</v>
      </c>
      <c r="C2320" s="7" t="s">
        <v>11765</v>
      </c>
      <c r="D2320" s="12">
        <v>2</v>
      </c>
      <c r="E2320" s="7" t="s">
        <v>11768</v>
      </c>
      <c r="F2320" s="7" t="s">
        <v>11769</v>
      </c>
      <c r="G2320" s="7" t="s">
        <v>566</v>
      </c>
      <c r="H2320" s="7" t="s">
        <v>4760</v>
      </c>
      <c r="I2320" s="7" t="s">
        <v>7037</v>
      </c>
      <c r="J2320" s="7" t="s">
        <v>11770</v>
      </c>
      <c r="K2320" s="7" t="s">
        <v>11771</v>
      </c>
      <c r="L2320" s="12">
        <v>3</v>
      </c>
      <c r="M2320" s="7" t="s">
        <v>1892</v>
      </c>
    </row>
    <row r="2321" spans="2:13" ht="37.5" customHeight="1" x14ac:dyDescent="0.35">
      <c r="B2321" s="11">
        <v>132</v>
      </c>
      <c r="C2321" s="5" t="s">
        <v>11765</v>
      </c>
      <c r="D2321" s="11">
        <v>3</v>
      </c>
      <c r="E2321" s="5" t="s">
        <v>11772</v>
      </c>
      <c r="F2321" s="5" t="s">
        <v>11773</v>
      </c>
      <c r="G2321" s="5" t="s">
        <v>11774</v>
      </c>
      <c r="H2321" s="5" t="s">
        <v>306</v>
      </c>
      <c r="I2321" s="5" t="s">
        <v>5143</v>
      </c>
      <c r="J2321" s="5" t="s">
        <v>11775</v>
      </c>
      <c r="K2321" s="5" t="s">
        <v>11776</v>
      </c>
      <c r="L2321" s="11">
        <v>2</v>
      </c>
      <c r="M2321" s="5" t="s">
        <v>1892</v>
      </c>
    </row>
    <row r="2322" spans="2:13" ht="37.5" customHeight="1" x14ac:dyDescent="0.35">
      <c r="B2322" s="12">
        <v>132</v>
      </c>
      <c r="C2322" s="7" t="s">
        <v>11765</v>
      </c>
      <c r="D2322" s="12">
        <v>4</v>
      </c>
      <c r="E2322" s="7" t="s">
        <v>11777</v>
      </c>
      <c r="F2322" s="7" t="s">
        <v>11778</v>
      </c>
      <c r="G2322" s="7" t="s">
        <v>188</v>
      </c>
      <c r="H2322" s="7" t="s">
        <v>36</v>
      </c>
      <c r="I2322" s="7" t="s">
        <v>48</v>
      </c>
      <c r="J2322" s="7" t="s">
        <v>11678</v>
      </c>
      <c r="K2322" s="7" t="s">
        <v>11741</v>
      </c>
      <c r="L2322" s="12">
        <v>1</v>
      </c>
      <c r="M2322" s="7" t="s">
        <v>1892</v>
      </c>
    </row>
    <row r="2323" spans="2:13" ht="37.5" customHeight="1" x14ac:dyDescent="0.35">
      <c r="B2323" s="11">
        <v>132</v>
      </c>
      <c r="C2323" s="5" t="s">
        <v>11765</v>
      </c>
      <c r="D2323" s="11">
        <v>5</v>
      </c>
      <c r="E2323" s="5" t="s">
        <v>11779</v>
      </c>
      <c r="F2323" s="5" t="s">
        <v>11780</v>
      </c>
      <c r="G2323" s="5" t="s">
        <v>825</v>
      </c>
      <c r="H2323" s="5" t="s">
        <v>294</v>
      </c>
      <c r="I2323" s="5" t="s">
        <v>4971</v>
      </c>
      <c r="J2323" s="5" t="s">
        <v>11781</v>
      </c>
      <c r="K2323" s="5" t="s">
        <v>11782</v>
      </c>
      <c r="L2323" s="11">
        <v>2</v>
      </c>
      <c r="M2323" s="5" t="s">
        <v>1892</v>
      </c>
    </row>
    <row r="2324" spans="2:13" ht="37.5" customHeight="1" x14ac:dyDescent="0.35">
      <c r="B2324" s="12"/>
      <c r="C2324" s="7" t="s">
        <v>11783</v>
      </c>
      <c r="D2324" s="12">
        <v>6</v>
      </c>
      <c r="E2324" s="7" t="s">
        <v>11784</v>
      </c>
      <c r="F2324" s="7" t="s">
        <v>11785</v>
      </c>
      <c r="G2324" s="7" t="s">
        <v>831</v>
      </c>
      <c r="H2324" s="7" t="s">
        <v>1521</v>
      </c>
      <c r="I2324" s="7" t="s">
        <v>5225</v>
      </c>
      <c r="J2324" s="7" t="s">
        <v>11786</v>
      </c>
      <c r="K2324" s="7" t="s">
        <v>11787</v>
      </c>
      <c r="L2324" s="12">
        <v>2</v>
      </c>
      <c r="M2324" s="7"/>
    </row>
    <row r="2325" spans="2:13" ht="21.75" customHeight="1" x14ac:dyDescent="0.35">
      <c r="B2325" s="11"/>
      <c r="C2325" s="5" t="s">
        <v>11783</v>
      </c>
      <c r="D2325" s="11">
        <v>7</v>
      </c>
      <c r="E2325" s="5" t="s">
        <v>11788</v>
      </c>
      <c r="F2325" s="5" t="s">
        <v>11789</v>
      </c>
      <c r="G2325" s="5" t="s">
        <v>900</v>
      </c>
      <c r="H2325" s="5" t="s">
        <v>36</v>
      </c>
      <c r="I2325" s="5" t="s">
        <v>48</v>
      </c>
      <c r="J2325" s="5" t="s">
        <v>11790</v>
      </c>
      <c r="K2325" s="5" t="s">
        <v>11791</v>
      </c>
      <c r="L2325" s="11">
        <v>1</v>
      </c>
      <c r="M2325" s="5"/>
    </row>
    <row r="2326" spans="2:13" ht="37.5" customHeight="1" x14ac:dyDescent="0.35">
      <c r="B2326" s="12"/>
      <c r="C2326" s="7" t="s">
        <v>11783</v>
      </c>
      <c r="D2326" s="12">
        <v>8</v>
      </c>
      <c r="E2326" s="7" t="s">
        <v>11792</v>
      </c>
      <c r="F2326" s="7" t="s">
        <v>11793</v>
      </c>
      <c r="G2326" s="7" t="s">
        <v>1196</v>
      </c>
      <c r="H2326" s="7" t="s">
        <v>1521</v>
      </c>
      <c r="I2326" s="7" t="s">
        <v>5294</v>
      </c>
      <c r="J2326" s="7" t="s">
        <v>11786</v>
      </c>
      <c r="K2326" s="7" t="s">
        <v>11794</v>
      </c>
      <c r="L2326" s="12">
        <v>2</v>
      </c>
      <c r="M2326" s="7"/>
    </row>
    <row r="2327" spans="2:13" ht="21.75" customHeight="1" x14ac:dyDescent="0.35">
      <c r="B2327" s="11"/>
      <c r="C2327" s="5" t="s">
        <v>11783</v>
      </c>
      <c r="D2327" s="11">
        <v>9</v>
      </c>
      <c r="E2327" s="5" t="s">
        <v>11795</v>
      </c>
      <c r="F2327" s="5" t="s">
        <v>11796</v>
      </c>
      <c r="G2327" s="5" t="s">
        <v>1290</v>
      </c>
      <c r="H2327" s="5" t="s">
        <v>44</v>
      </c>
      <c r="I2327" s="5" t="s">
        <v>49</v>
      </c>
      <c r="J2327" s="5" t="s">
        <v>4098</v>
      </c>
      <c r="K2327" s="5" t="s">
        <v>10955</v>
      </c>
      <c r="L2327" s="11">
        <v>1</v>
      </c>
      <c r="M2327" s="5"/>
    </row>
    <row r="2328" spans="2:13" ht="21.75" customHeight="1" x14ac:dyDescent="0.35">
      <c r="B2328" s="12"/>
      <c r="C2328" s="7" t="s">
        <v>11783</v>
      </c>
      <c r="D2328" s="12">
        <v>10</v>
      </c>
      <c r="E2328" s="7" t="s">
        <v>11797</v>
      </c>
      <c r="F2328" s="7" t="s">
        <v>11798</v>
      </c>
      <c r="G2328" s="7" t="s">
        <v>1244</v>
      </c>
      <c r="H2328" s="7" t="s">
        <v>42</v>
      </c>
      <c r="I2328" s="7" t="s">
        <v>7639</v>
      </c>
      <c r="J2328" s="7" t="s">
        <v>4948</v>
      </c>
      <c r="K2328" s="7" t="s">
        <v>11799</v>
      </c>
      <c r="L2328" s="12">
        <v>1</v>
      </c>
      <c r="M2328" s="7"/>
    </row>
    <row r="2329" spans="2:13" ht="37.5" customHeight="1" x14ac:dyDescent="0.35">
      <c r="B2329" s="11"/>
      <c r="C2329" s="5" t="s">
        <v>11783</v>
      </c>
      <c r="D2329" s="11">
        <v>11</v>
      </c>
      <c r="E2329" s="5" t="s">
        <v>11800</v>
      </c>
      <c r="F2329" s="5" t="s">
        <v>11801</v>
      </c>
      <c r="G2329" s="5" t="s">
        <v>1211</v>
      </c>
      <c r="H2329" s="5" t="s">
        <v>8873</v>
      </c>
      <c r="I2329" s="5" t="s">
        <v>8737</v>
      </c>
      <c r="J2329" s="5" t="s">
        <v>11802</v>
      </c>
      <c r="K2329" s="5" t="s">
        <v>11803</v>
      </c>
      <c r="L2329" s="11">
        <v>2</v>
      </c>
      <c r="M2329" s="5"/>
    </row>
    <row r="2330" spans="2:13" ht="21.75" customHeight="1" x14ac:dyDescent="0.35">
      <c r="B2330" s="12"/>
      <c r="C2330" s="7" t="s">
        <v>11783</v>
      </c>
      <c r="D2330" s="12">
        <v>12</v>
      </c>
      <c r="E2330" s="7" t="s">
        <v>11804</v>
      </c>
      <c r="F2330" s="7" t="s">
        <v>11805</v>
      </c>
      <c r="G2330" s="7" t="s">
        <v>249</v>
      </c>
      <c r="H2330" s="7" t="s">
        <v>39</v>
      </c>
      <c r="I2330" s="7" t="s">
        <v>57</v>
      </c>
      <c r="J2330" s="7" t="s">
        <v>5394</v>
      </c>
      <c r="K2330" s="7" t="s">
        <v>10966</v>
      </c>
      <c r="L2330" s="12">
        <v>1</v>
      </c>
      <c r="M2330" s="7"/>
    </row>
    <row r="2331" spans="2:13" ht="37.5" customHeight="1" x14ac:dyDescent="0.35">
      <c r="B2331" s="11"/>
      <c r="C2331" s="5" t="s">
        <v>11783</v>
      </c>
      <c r="D2331" s="11">
        <v>13</v>
      </c>
      <c r="E2331" s="5" t="s">
        <v>11806</v>
      </c>
      <c r="F2331" s="5" t="s">
        <v>11807</v>
      </c>
      <c r="G2331" s="5" t="s">
        <v>4260</v>
      </c>
      <c r="H2331" s="5" t="s">
        <v>5142</v>
      </c>
      <c r="I2331" s="5" t="s">
        <v>5143</v>
      </c>
      <c r="J2331" s="5" t="s">
        <v>11808</v>
      </c>
      <c r="K2331" s="5" t="s">
        <v>11809</v>
      </c>
      <c r="L2331" s="11">
        <v>2</v>
      </c>
      <c r="M2331" s="5"/>
    </row>
    <row r="2332" spans="2:13" ht="37.5" customHeight="1" x14ac:dyDescent="0.35">
      <c r="B2332" s="12"/>
      <c r="C2332" s="7" t="s">
        <v>11783</v>
      </c>
      <c r="D2332" s="12">
        <v>14</v>
      </c>
      <c r="E2332" s="7" t="s">
        <v>11810</v>
      </c>
      <c r="F2332" s="7" t="s">
        <v>11811</v>
      </c>
      <c r="G2332" s="7" t="s">
        <v>176</v>
      </c>
      <c r="H2332" s="7" t="s">
        <v>36</v>
      </c>
      <c r="I2332" s="7" t="s">
        <v>48</v>
      </c>
      <c r="J2332" s="7" t="s">
        <v>5404</v>
      </c>
      <c r="K2332" s="7" t="s">
        <v>5405</v>
      </c>
      <c r="L2332" s="12">
        <v>1</v>
      </c>
      <c r="M2332" s="7"/>
    </row>
    <row r="2333" spans="2:13" ht="52.5" customHeight="1" x14ac:dyDescent="0.35">
      <c r="B2333" s="11">
        <v>133</v>
      </c>
      <c r="C2333" s="5" t="s">
        <v>11812</v>
      </c>
      <c r="D2333" s="11">
        <v>1</v>
      </c>
      <c r="E2333" s="5" t="s">
        <v>11813</v>
      </c>
      <c r="F2333" s="5" t="s">
        <v>11814</v>
      </c>
      <c r="G2333" s="5" t="s">
        <v>25</v>
      </c>
      <c r="H2333" s="5" t="s">
        <v>11815</v>
      </c>
      <c r="I2333" s="5" t="s">
        <v>10065</v>
      </c>
      <c r="J2333" s="5" t="s">
        <v>11816</v>
      </c>
      <c r="K2333" s="5" t="s">
        <v>11817</v>
      </c>
      <c r="L2333" s="11">
        <v>3</v>
      </c>
      <c r="M2333" s="5" t="s">
        <v>4518</v>
      </c>
    </row>
    <row r="2334" spans="2:13" ht="37.5" customHeight="1" x14ac:dyDescent="0.35">
      <c r="B2334" s="12">
        <v>133</v>
      </c>
      <c r="C2334" s="7" t="s">
        <v>11812</v>
      </c>
      <c r="D2334" s="12">
        <v>2</v>
      </c>
      <c r="E2334" s="7" t="s">
        <v>11818</v>
      </c>
      <c r="F2334" s="7" t="s">
        <v>11819</v>
      </c>
      <c r="G2334" s="7" t="s">
        <v>761</v>
      </c>
      <c r="H2334" s="7" t="s">
        <v>37</v>
      </c>
      <c r="I2334" s="7" t="s">
        <v>49</v>
      </c>
      <c r="J2334" s="7" t="s">
        <v>5056</v>
      </c>
      <c r="K2334" s="7" t="s">
        <v>5063</v>
      </c>
      <c r="L2334" s="12">
        <v>1</v>
      </c>
      <c r="M2334" s="7" t="s">
        <v>4518</v>
      </c>
    </row>
    <row r="2335" spans="2:13" ht="37.5" customHeight="1" x14ac:dyDescent="0.35">
      <c r="B2335" s="11">
        <v>133</v>
      </c>
      <c r="C2335" s="5" t="s">
        <v>11812</v>
      </c>
      <c r="D2335" s="11">
        <v>3</v>
      </c>
      <c r="E2335" s="5" t="s">
        <v>11820</v>
      </c>
      <c r="F2335" s="5" t="s">
        <v>11821</v>
      </c>
      <c r="G2335" s="5" t="s">
        <v>11822</v>
      </c>
      <c r="H2335" s="5" t="s">
        <v>36</v>
      </c>
      <c r="I2335" s="5" t="s">
        <v>48</v>
      </c>
      <c r="J2335" s="5" t="s">
        <v>5404</v>
      </c>
      <c r="K2335" s="5" t="s">
        <v>5405</v>
      </c>
      <c r="L2335" s="11">
        <v>1</v>
      </c>
      <c r="M2335" s="5" t="s">
        <v>4518</v>
      </c>
    </row>
    <row r="2336" spans="2:13" ht="67.5" customHeight="1" x14ac:dyDescent="0.35">
      <c r="B2336" s="12">
        <v>134</v>
      </c>
      <c r="C2336" s="7" t="s">
        <v>11823</v>
      </c>
      <c r="D2336" s="12">
        <v>1</v>
      </c>
      <c r="E2336" s="7" t="s">
        <v>11824</v>
      </c>
      <c r="F2336" s="7" t="s">
        <v>11825</v>
      </c>
      <c r="G2336" s="7" t="s">
        <v>704</v>
      </c>
      <c r="H2336" s="7" t="s">
        <v>5725</v>
      </c>
      <c r="I2336" s="7" t="s">
        <v>11826</v>
      </c>
      <c r="J2336" s="7" t="s">
        <v>11827</v>
      </c>
      <c r="K2336" s="7" t="s">
        <v>11828</v>
      </c>
      <c r="L2336" s="12">
        <v>4</v>
      </c>
      <c r="M2336" s="7" t="s">
        <v>9791</v>
      </c>
    </row>
    <row r="2337" spans="2:13" ht="67.5" customHeight="1" x14ac:dyDescent="0.35">
      <c r="B2337" s="11">
        <v>134</v>
      </c>
      <c r="C2337" s="5" t="s">
        <v>11823</v>
      </c>
      <c r="D2337" s="11">
        <v>2</v>
      </c>
      <c r="E2337" s="5" t="s">
        <v>11829</v>
      </c>
      <c r="F2337" s="5" t="s">
        <v>11830</v>
      </c>
      <c r="G2337" s="5" t="s">
        <v>704</v>
      </c>
      <c r="H2337" s="5" t="s">
        <v>11831</v>
      </c>
      <c r="I2337" s="5" t="s">
        <v>11832</v>
      </c>
      <c r="J2337" s="5" t="s">
        <v>11833</v>
      </c>
      <c r="K2337" s="5" t="s">
        <v>11834</v>
      </c>
      <c r="L2337" s="11">
        <v>3</v>
      </c>
      <c r="M2337" s="5" t="s">
        <v>9791</v>
      </c>
    </row>
    <row r="2338" spans="2:13" ht="37.5" customHeight="1" x14ac:dyDescent="0.35">
      <c r="B2338" s="12">
        <v>135</v>
      </c>
      <c r="C2338" s="7" t="s">
        <v>11835</v>
      </c>
      <c r="D2338" s="12">
        <v>1</v>
      </c>
      <c r="E2338" s="7" t="s">
        <v>11836</v>
      </c>
      <c r="F2338" s="7" t="s">
        <v>11837</v>
      </c>
      <c r="G2338" s="7" t="s">
        <v>2919</v>
      </c>
      <c r="H2338" s="7" t="s">
        <v>7647</v>
      </c>
      <c r="I2338" s="7" t="s">
        <v>11838</v>
      </c>
      <c r="J2338" s="7" t="s">
        <v>11839</v>
      </c>
      <c r="K2338" s="7" t="s">
        <v>11840</v>
      </c>
      <c r="L2338" s="12">
        <v>2</v>
      </c>
      <c r="M2338" s="7" t="s">
        <v>5539</v>
      </c>
    </row>
    <row r="2339" spans="2:13" ht="52.5" customHeight="1" x14ac:dyDescent="0.35">
      <c r="B2339" s="11">
        <v>136</v>
      </c>
      <c r="C2339" s="5" t="s">
        <v>11841</v>
      </c>
      <c r="D2339" s="11">
        <v>1</v>
      </c>
      <c r="E2339" s="5" t="s">
        <v>11842</v>
      </c>
      <c r="F2339" s="5" t="s">
        <v>11843</v>
      </c>
      <c r="G2339" s="5" t="s">
        <v>28</v>
      </c>
      <c r="H2339" s="5" t="s">
        <v>36</v>
      </c>
      <c r="I2339" s="5" t="s">
        <v>48</v>
      </c>
      <c r="J2339" s="5" t="s">
        <v>11844</v>
      </c>
      <c r="K2339" s="5" t="s">
        <v>11845</v>
      </c>
      <c r="L2339" s="11">
        <v>1</v>
      </c>
      <c r="M2339" s="5" t="s">
        <v>1892</v>
      </c>
    </row>
    <row r="2340" spans="2:13" ht="52.5" customHeight="1" x14ac:dyDescent="0.35">
      <c r="B2340" s="12">
        <v>136</v>
      </c>
      <c r="C2340" s="7" t="s">
        <v>11841</v>
      </c>
      <c r="D2340" s="12">
        <v>2</v>
      </c>
      <c r="E2340" s="7" t="s">
        <v>11846</v>
      </c>
      <c r="F2340" s="7" t="s">
        <v>11847</v>
      </c>
      <c r="G2340" s="7" t="s">
        <v>28</v>
      </c>
      <c r="H2340" s="7" t="s">
        <v>6286</v>
      </c>
      <c r="I2340" s="7" t="s">
        <v>11848</v>
      </c>
      <c r="J2340" s="7" t="s">
        <v>5394</v>
      </c>
      <c r="K2340" s="7" t="s">
        <v>11849</v>
      </c>
      <c r="L2340" s="12">
        <v>2</v>
      </c>
      <c r="M2340" s="7" t="s">
        <v>1892</v>
      </c>
    </row>
    <row r="2341" spans="2:13" ht="52.5" customHeight="1" x14ac:dyDescent="0.35">
      <c r="B2341" s="11">
        <v>136</v>
      </c>
      <c r="C2341" s="5" t="s">
        <v>11841</v>
      </c>
      <c r="D2341" s="11">
        <v>3</v>
      </c>
      <c r="E2341" s="5" t="s">
        <v>11850</v>
      </c>
      <c r="F2341" s="5" t="s">
        <v>11851</v>
      </c>
      <c r="G2341" s="5" t="s">
        <v>32</v>
      </c>
      <c r="H2341" s="5" t="s">
        <v>36</v>
      </c>
      <c r="I2341" s="5" t="s">
        <v>48</v>
      </c>
      <c r="J2341" s="5" t="s">
        <v>5394</v>
      </c>
      <c r="K2341" s="5" t="s">
        <v>5395</v>
      </c>
      <c r="L2341" s="11">
        <v>1</v>
      </c>
      <c r="M2341" s="5" t="s">
        <v>1892</v>
      </c>
    </row>
    <row r="2342" spans="2:13" ht="52.5" customHeight="1" x14ac:dyDescent="0.35">
      <c r="B2342" s="12">
        <v>136</v>
      </c>
      <c r="C2342" s="7" t="s">
        <v>11841</v>
      </c>
      <c r="D2342" s="12">
        <v>4</v>
      </c>
      <c r="E2342" s="7" t="s">
        <v>11852</v>
      </c>
      <c r="F2342" s="7" t="s">
        <v>11853</v>
      </c>
      <c r="G2342" s="7" t="s">
        <v>244</v>
      </c>
      <c r="H2342" s="7" t="s">
        <v>36</v>
      </c>
      <c r="I2342" s="7" t="s">
        <v>48</v>
      </c>
      <c r="J2342" s="7" t="s">
        <v>5394</v>
      </c>
      <c r="K2342" s="7" t="s">
        <v>5395</v>
      </c>
      <c r="L2342" s="12">
        <v>1</v>
      </c>
      <c r="M2342" s="7" t="s">
        <v>1892</v>
      </c>
    </row>
    <row r="2343" spans="2:13" ht="52.5" customHeight="1" x14ac:dyDescent="0.35">
      <c r="B2343" s="11">
        <v>136</v>
      </c>
      <c r="C2343" s="5" t="s">
        <v>11841</v>
      </c>
      <c r="D2343" s="11">
        <v>5</v>
      </c>
      <c r="E2343" s="5" t="s">
        <v>11854</v>
      </c>
      <c r="F2343" s="5" t="s">
        <v>11855</v>
      </c>
      <c r="G2343" s="5" t="s">
        <v>778</v>
      </c>
      <c r="H2343" s="5" t="s">
        <v>42</v>
      </c>
      <c r="I2343" s="5" t="s">
        <v>5099</v>
      </c>
      <c r="J2343" s="5" t="s">
        <v>4948</v>
      </c>
      <c r="K2343" s="5" t="s">
        <v>11856</v>
      </c>
      <c r="L2343" s="11">
        <v>1</v>
      </c>
      <c r="M2343" s="5" t="s">
        <v>1892</v>
      </c>
    </row>
    <row r="2344" spans="2:13" ht="52.5" customHeight="1" x14ac:dyDescent="0.35">
      <c r="B2344" s="12">
        <v>136</v>
      </c>
      <c r="C2344" s="7" t="s">
        <v>11841</v>
      </c>
      <c r="D2344" s="12">
        <v>6</v>
      </c>
      <c r="E2344" s="7" t="s">
        <v>11857</v>
      </c>
      <c r="F2344" s="7" t="s">
        <v>11858</v>
      </c>
      <c r="G2344" s="7" t="s">
        <v>212</v>
      </c>
      <c r="H2344" s="7" t="s">
        <v>42</v>
      </c>
      <c r="I2344" s="7" t="s">
        <v>4657</v>
      </c>
      <c r="J2344" s="7" t="s">
        <v>11859</v>
      </c>
      <c r="K2344" s="7" t="s">
        <v>11860</v>
      </c>
      <c r="L2344" s="12">
        <v>1</v>
      </c>
      <c r="M2344" s="7" t="s">
        <v>1892</v>
      </c>
    </row>
    <row r="2345" spans="2:13" ht="52.5" customHeight="1" x14ac:dyDescent="0.35">
      <c r="B2345" s="11">
        <v>136</v>
      </c>
      <c r="C2345" s="5" t="s">
        <v>11841</v>
      </c>
      <c r="D2345" s="11">
        <v>7</v>
      </c>
      <c r="E2345" s="5" t="s">
        <v>11861</v>
      </c>
      <c r="F2345" s="5" t="s">
        <v>11862</v>
      </c>
      <c r="G2345" s="5" t="s">
        <v>3185</v>
      </c>
      <c r="H2345" s="5" t="s">
        <v>42</v>
      </c>
      <c r="I2345" s="5" t="s">
        <v>4657</v>
      </c>
      <c r="J2345" s="5" t="s">
        <v>4658</v>
      </c>
      <c r="K2345" s="5" t="s">
        <v>4659</v>
      </c>
      <c r="L2345" s="11">
        <v>1</v>
      </c>
      <c r="M2345" s="5" t="s">
        <v>1892</v>
      </c>
    </row>
    <row r="2346" spans="2:13" ht="52.5" customHeight="1" x14ac:dyDescent="0.35">
      <c r="B2346" s="12">
        <v>136</v>
      </c>
      <c r="C2346" s="7" t="s">
        <v>11841</v>
      </c>
      <c r="D2346" s="12">
        <v>8</v>
      </c>
      <c r="E2346" s="7" t="s">
        <v>11863</v>
      </c>
      <c r="F2346" s="7" t="s">
        <v>11864</v>
      </c>
      <c r="G2346" s="7" t="s">
        <v>552</v>
      </c>
      <c r="H2346" s="7" t="s">
        <v>36</v>
      </c>
      <c r="I2346" s="7" t="s">
        <v>48</v>
      </c>
      <c r="J2346" s="7" t="s">
        <v>5394</v>
      </c>
      <c r="K2346" s="7" t="s">
        <v>5395</v>
      </c>
      <c r="L2346" s="12">
        <v>1</v>
      </c>
      <c r="M2346" s="7" t="s">
        <v>1892</v>
      </c>
    </row>
    <row r="2347" spans="2:13" ht="52.5" customHeight="1" x14ac:dyDescent="0.35">
      <c r="B2347" s="11">
        <v>136</v>
      </c>
      <c r="C2347" s="5" t="s">
        <v>11841</v>
      </c>
      <c r="D2347" s="11">
        <v>9</v>
      </c>
      <c r="E2347" s="5" t="s">
        <v>11865</v>
      </c>
      <c r="F2347" s="5" t="s">
        <v>11866</v>
      </c>
      <c r="G2347" s="5" t="s">
        <v>282</v>
      </c>
      <c r="H2347" s="5" t="s">
        <v>36</v>
      </c>
      <c r="I2347" s="5" t="s">
        <v>48</v>
      </c>
      <c r="J2347" s="5" t="s">
        <v>5394</v>
      </c>
      <c r="K2347" s="5" t="s">
        <v>5395</v>
      </c>
      <c r="L2347" s="11">
        <v>1</v>
      </c>
      <c r="M2347" s="5" t="s">
        <v>1892</v>
      </c>
    </row>
    <row r="2348" spans="2:13" ht="52.5" customHeight="1" x14ac:dyDescent="0.35">
      <c r="B2348" s="12">
        <v>136</v>
      </c>
      <c r="C2348" s="7" t="s">
        <v>11841</v>
      </c>
      <c r="D2348" s="12">
        <v>10</v>
      </c>
      <c r="E2348" s="7" t="s">
        <v>11867</v>
      </c>
      <c r="F2348" s="7" t="s">
        <v>11868</v>
      </c>
      <c r="G2348" s="7" t="s">
        <v>33</v>
      </c>
      <c r="H2348" s="7" t="s">
        <v>36</v>
      </c>
      <c r="I2348" s="7" t="s">
        <v>48</v>
      </c>
      <c r="J2348" s="7" t="s">
        <v>5394</v>
      </c>
      <c r="K2348" s="7" t="s">
        <v>5395</v>
      </c>
      <c r="L2348" s="12">
        <v>1</v>
      </c>
      <c r="M2348" s="7" t="s">
        <v>1892</v>
      </c>
    </row>
    <row r="2349" spans="2:13" ht="52.5" customHeight="1" x14ac:dyDescent="0.35">
      <c r="B2349" s="11">
        <v>136</v>
      </c>
      <c r="C2349" s="5" t="s">
        <v>11841</v>
      </c>
      <c r="D2349" s="11">
        <v>11</v>
      </c>
      <c r="E2349" s="5" t="s">
        <v>11869</v>
      </c>
      <c r="F2349" s="5" t="s">
        <v>11870</v>
      </c>
      <c r="G2349" s="5" t="s">
        <v>32</v>
      </c>
      <c r="H2349" s="5" t="s">
        <v>6394</v>
      </c>
      <c r="I2349" s="5" t="s">
        <v>5225</v>
      </c>
      <c r="J2349" s="5" t="s">
        <v>11871</v>
      </c>
      <c r="K2349" s="5" t="s">
        <v>11872</v>
      </c>
      <c r="L2349" s="11">
        <v>2</v>
      </c>
      <c r="M2349" s="5" t="s">
        <v>1892</v>
      </c>
    </row>
    <row r="2350" spans="2:13" ht="52.5" customHeight="1" x14ac:dyDescent="0.35">
      <c r="B2350" s="12">
        <v>136</v>
      </c>
      <c r="C2350" s="7" t="s">
        <v>11841</v>
      </c>
      <c r="D2350" s="12">
        <v>12</v>
      </c>
      <c r="E2350" s="7" t="s">
        <v>11873</v>
      </c>
      <c r="F2350" s="7" t="s">
        <v>11874</v>
      </c>
      <c r="G2350" s="7" t="s">
        <v>206</v>
      </c>
      <c r="H2350" s="7" t="s">
        <v>1521</v>
      </c>
      <c r="I2350" s="7" t="s">
        <v>5294</v>
      </c>
      <c r="J2350" s="7" t="s">
        <v>11875</v>
      </c>
      <c r="K2350" s="7" t="s">
        <v>11876</v>
      </c>
      <c r="L2350" s="12">
        <v>2</v>
      </c>
      <c r="M2350" s="7" t="s">
        <v>1892</v>
      </c>
    </row>
    <row r="2351" spans="2:13" ht="52.5" customHeight="1" x14ac:dyDescent="0.35">
      <c r="B2351" s="11">
        <v>136</v>
      </c>
      <c r="C2351" s="5" t="s">
        <v>11841</v>
      </c>
      <c r="D2351" s="11">
        <v>13</v>
      </c>
      <c r="E2351" s="5" t="s">
        <v>11877</v>
      </c>
      <c r="F2351" s="5" t="s">
        <v>11878</v>
      </c>
      <c r="G2351" s="5" t="s">
        <v>206</v>
      </c>
      <c r="H2351" s="5" t="s">
        <v>7020</v>
      </c>
      <c r="I2351" s="5" t="s">
        <v>11879</v>
      </c>
      <c r="J2351" s="5" t="s">
        <v>11880</v>
      </c>
      <c r="K2351" s="5" t="s">
        <v>11881</v>
      </c>
      <c r="L2351" s="11">
        <v>3</v>
      </c>
      <c r="M2351" s="5" t="s">
        <v>1892</v>
      </c>
    </row>
    <row r="2352" spans="2:13" ht="52.5" customHeight="1" x14ac:dyDescent="0.35">
      <c r="B2352" s="12">
        <v>136</v>
      </c>
      <c r="C2352" s="7" t="s">
        <v>11841</v>
      </c>
      <c r="D2352" s="12">
        <v>14</v>
      </c>
      <c r="E2352" s="7" t="s">
        <v>11882</v>
      </c>
      <c r="F2352" s="7" t="s">
        <v>11883</v>
      </c>
      <c r="G2352" s="7" t="s">
        <v>24</v>
      </c>
      <c r="H2352" s="7" t="s">
        <v>36</v>
      </c>
      <c r="I2352" s="7" t="s">
        <v>48</v>
      </c>
      <c r="J2352" s="7" t="s">
        <v>5394</v>
      </c>
      <c r="K2352" s="7" t="s">
        <v>5395</v>
      </c>
      <c r="L2352" s="12">
        <v>1</v>
      </c>
      <c r="M2352" s="7" t="s">
        <v>1892</v>
      </c>
    </row>
    <row r="2353" spans="2:13" ht="52.5" customHeight="1" x14ac:dyDescent="0.35">
      <c r="B2353" s="11">
        <v>136</v>
      </c>
      <c r="C2353" s="5" t="s">
        <v>11841</v>
      </c>
      <c r="D2353" s="11">
        <v>15</v>
      </c>
      <c r="E2353" s="5" t="s">
        <v>11884</v>
      </c>
      <c r="F2353" s="5" t="s">
        <v>11885</v>
      </c>
      <c r="G2353" s="5" t="s">
        <v>625</v>
      </c>
      <c r="H2353" s="5" t="s">
        <v>36</v>
      </c>
      <c r="I2353" s="5" t="s">
        <v>5409</v>
      </c>
      <c r="J2353" s="5" t="s">
        <v>5394</v>
      </c>
      <c r="K2353" s="5" t="s">
        <v>11886</v>
      </c>
      <c r="L2353" s="11">
        <v>1</v>
      </c>
      <c r="M2353" s="5" t="s">
        <v>1892</v>
      </c>
    </row>
    <row r="2354" spans="2:13" ht="52.5" customHeight="1" x14ac:dyDescent="0.35">
      <c r="B2354" s="12">
        <v>136</v>
      </c>
      <c r="C2354" s="7" t="s">
        <v>11841</v>
      </c>
      <c r="D2354" s="12">
        <v>16</v>
      </c>
      <c r="E2354" s="7" t="s">
        <v>11887</v>
      </c>
      <c r="F2354" s="7" t="s">
        <v>11888</v>
      </c>
      <c r="G2354" s="7" t="s">
        <v>3185</v>
      </c>
      <c r="H2354" s="7" t="s">
        <v>42</v>
      </c>
      <c r="I2354" s="7" t="s">
        <v>4657</v>
      </c>
      <c r="J2354" s="7" t="s">
        <v>5056</v>
      </c>
      <c r="K2354" s="7" t="s">
        <v>9272</v>
      </c>
      <c r="L2354" s="12">
        <v>1</v>
      </c>
      <c r="M2354" s="7" t="s">
        <v>1892</v>
      </c>
    </row>
    <row r="2355" spans="2:13" ht="52.5" customHeight="1" x14ac:dyDescent="0.35">
      <c r="B2355" s="11">
        <v>136</v>
      </c>
      <c r="C2355" s="5" t="s">
        <v>11841</v>
      </c>
      <c r="D2355" s="11">
        <v>17</v>
      </c>
      <c r="E2355" s="5" t="s">
        <v>11889</v>
      </c>
      <c r="F2355" s="5" t="s">
        <v>11890</v>
      </c>
      <c r="G2355" s="5" t="s">
        <v>26</v>
      </c>
      <c r="H2355" s="5" t="s">
        <v>36</v>
      </c>
      <c r="I2355" s="5" t="s">
        <v>48</v>
      </c>
      <c r="J2355" s="5" t="s">
        <v>5394</v>
      </c>
      <c r="K2355" s="5" t="s">
        <v>5395</v>
      </c>
      <c r="L2355" s="11">
        <v>1</v>
      </c>
      <c r="M2355" s="5" t="s">
        <v>1892</v>
      </c>
    </row>
    <row r="2356" spans="2:13" ht="52.5" customHeight="1" x14ac:dyDescent="0.35">
      <c r="B2356" s="12">
        <v>136</v>
      </c>
      <c r="C2356" s="7" t="s">
        <v>11841</v>
      </c>
      <c r="D2356" s="12">
        <v>18</v>
      </c>
      <c r="E2356" s="7" t="s">
        <v>11891</v>
      </c>
      <c r="F2356" s="7" t="s">
        <v>11892</v>
      </c>
      <c r="G2356" s="7" t="s">
        <v>800</v>
      </c>
      <c r="H2356" s="7" t="s">
        <v>36</v>
      </c>
      <c r="I2356" s="7" t="s">
        <v>48</v>
      </c>
      <c r="J2356" s="7" t="s">
        <v>5394</v>
      </c>
      <c r="K2356" s="7" t="s">
        <v>5395</v>
      </c>
      <c r="L2356" s="12">
        <v>1</v>
      </c>
      <c r="M2356" s="7" t="s">
        <v>1892</v>
      </c>
    </row>
    <row r="2357" spans="2:13" ht="52.5" customHeight="1" x14ac:dyDescent="0.35">
      <c r="B2357" s="11">
        <v>136</v>
      </c>
      <c r="C2357" s="5" t="s">
        <v>11841</v>
      </c>
      <c r="D2357" s="11">
        <v>19</v>
      </c>
      <c r="E2357" s="5" t="s">
        <v>11893</v>
      </c>
      <c r="F2357" s="5" t="s">
        <v>11894</v>
      </c>
      <c r="G2357" s="5" t="s">
        <v>956</v>
      </c>
      <c r="H2357" s="5" t="s">
        <v>36</v>
      </c>
      <c r="I2357" s="5" t="s">
        <v>48</v>
      </c>
      <c r="J2357" s="5" t="s">
        <v>11895</v>
      </c>
      <c r="K2357" s="5" t="s">
        <v>11896</v>
      </c>
      <c r="L2357" s="11">
        <v>1</v>
      </c>
      <c r="M2357" s="5" t="s">
        <v>1892</v>
      </c>
    </row>
    <row r="2358" spans="2:13" ht="52.5" customHeight="1" x14ac:dyDescent="0.35">
      <c r="B2358" s="12">
        <v>136</v>
      </c>
      <c r="C2358" s="7" t="s">
        <v>11841</v>
      </c>
      <c r="D2358" s="12">
        <v>20</v>
      </c>
      <c r="E2358" s="7" t="s">
        <v>11897</v>
      </c>
      <c r="F2358" s="7" t="s">
        <v>11898</v>
      </c>
      <c r="G2358" s="7" t="s">
        <v>442</v>
      </c>
      <c r="H2358" s="7" t="s">
        <v>41</v>
      </c>
      <c r="I2358" s="7" t="s">
        <v>49</v>
      </c>
      <c r="J2358" s="7" t="s">
        <v>1063</v>
      </c>
      <c r="K2358" s="7" t="s">
        <v>6492</v>
      </c>
      <c r="L2358" s="12">
        <v>1</v>
      </c>
      <c r="M2358" s="7" t="s">
        <v>1892</v>
      </c>
    </row>
    <row r="2359" spans="2:13" ht="52.5" customHeight="1" x14ac:dyDescent="0.35">
      <c r="B2359" s="11">
        <v>136</v>
      </c>
      <c r="C2359" s="5" t="s">
        <v>11841</v>
      </c>
      <c r="D2359" s="11">
        <v>21</v>
      </c>
      <c r="E2359" s="5" t="s">
        <v>11899</v>
      </c>
      <c r="F2359" s="5" t="s">
        <v>11900</v>
      </c>
      <c r="G2359" s="5" t="s">
        <v>1244</v>
      </c>
      <c r="H2359" s="5" t="s">
        <v>4752</v>
      </c>
      <c r="I2359" s="5" t="s">
        <v>4753</v>
      </c>
      <c r="J2359" s="5" t="s">
        <v>11901</v>
      </c>
      <c r="K2359" s="5" t="s">
        <v>11902</v>
      </c>
      <c r="L2359" s="11">
        <v>2</v>
      </c>
      <c r="M2359" s="5" t="s">
        <v>1892</v>
      </c>
    </row>
    <row r="2360" spans="2:13" ht="52.5" customHeight="1" x14ac:dyDescent="0.35">
      <c r="B2360" s="12">
        <v>136</v>
      </c>
      <c r="C2360" s="7" t="s">
        <v>11841</v>
      </c>
      <c r="D2360" s="12">
        <v>22</v>
      </c>
      <c r="E2360" s="7" t="s">
        <v>11903</v>
      </c>
      <c r="F2360" s="7" t="s">
        <v>11904</v>
      </c>
      <c r="G2360" s="7" t="s">
        <v>573</v>
      </c>
      <c r="H2360" s="7" t="s">
        <v>36</v>
      </c>
      <c r="I2360" s="7" t="s">
        <v>48</v>
      </c>
      <c r="J2360" s="7" t="s">
        <v>5394</v>
      </c>
      <c r="K2360" s="7" t="s">
        <v>5395</v>
      </c>
      <c r="L2360" s="12">
        <v>1</v>
      </c>
      <c r="M2360" s="7" t="s">
        <v>1892</v>
      </c>
    </row>
    <row r="2361" spans="2:13" ht="52.5" customHeight="1" x14ac:dyDescent="0.35">
      <c r="B2361" s="11">
        <v>136</v>
      </c>
      <c r="C2361" s="5" t="s">
        <v>11841</v>
      </c>
      <c r="D2361" s="11">
        <v>23</v>
      </c>
      <c r="E2361" s="5" t="s">
        <v>11905</v>
      </c>
      <c r="F2361" s="5" t="s">
        <v>11906</v>
      </c>
      <c r="G2361" s="5" t="s">
        <v>749</v>
      </c>
      <c r="H2361" s="5" t="s">
        <v>36</v>
      </c>
      <c r="I2361" s="5" t="s">
        <v>48</v>
      </c>
      <c r="J2361" s="5" t="s">
        <v>5394</v>
      </c>
      <c r="K2361" s="5" t="s">
        <v>5395</v>
      </c>
      <c r="L2361" s="11">
        <v>1</v>
      </c>
      <c r="M2361" s="5" t="s">
        <v>1892</v>
      </c>
    </row>
    <row r="2362" spans="2:13" ht="52.5" customHeight="1" x14ac:dyDescent="0.35">
      <c r="B2362" s="12">
        <v>136</v>
      </c>
      <c r="C2362" s="7" t="s">
        <v>11841</v>
      </c>
      <c r="D2362" s="12">
        <v>24</v>
      </c>
      <c r="E2362" s="7" t="s">
        <v>11907</v>
      </c>
      <c r="F2362" s="7" t="s">
        <v>11908</v>
      </c>
      <c r="G2362" s="7" t="s">
        <v>552</v>
      </c>
      <c r="H2362" s="7" t="s">
        <v>36</v>
      </c>
      <c r="I2362" s="7" t="s">
        <v>48</v>
      </c>
      <c r="J2362" s="7" t="s">
        <v>2617</v>
      </c>
      <c r="K2362" s="7" t="s">
        <v>5514</v>
      </c>
      <c r="L2362" s="12">
        <v>1</v>
      </c>
      <c r="M2362" s="7" t="s">
        <v>1892</v>
      </c>
    </row>
    <row r="2363" spans="2:13" ht="52.5" customHeight="1" x14ac:dyDescent="0.35">
      <c r="B2363" s="11">
        <v>136</v>
      </c>
      <c r="C2363" s="5" t="s">
        <v>11841</v>
      </c>
      <c r="D2363" s="11">
        <v>25</v>
      </c>
      <c r="E2363" s="5" t="s">
        <v>11909</v>
      </c>
      <c r="F2363" s="5" t="s">
        <v>11910</v>
      </c>
      <c r="G2363" s="5" t="s">
        <v>282</v>
      </c>
      <c r="H2363" s="5" t="s">
        <v>36</v>
      </c>
      <c r="I2363" s="5" t="s">
        <v>48</v>
      </c>
      <c r="J2363" s="5" t="s">
        <v>2617</v>
      </c>
      <c r="K2363" s="5" t="s">
        <v>5514</v>
      </c>
      <c r="L2363" s="11">
        <v>1</v>
      </c>
      <c r="M2363" s="5" t="s">
        <v>1892</v>
      </c>
    </row>
    <row r="2364" spans="2:13" ht="52.5" customHeight="1" x14ac:dyDescent="0.35">
      <c r="B2364" s="12">
        <v>136</v>
      </c>
      <c r="C2364" s="7" t="s">
        <v>11841</v>
      </c>
      <c r="D2364" s="12">
        <v>26</v>
      </c>
      <c r="E2364" s="7" t="s">
        <v>11911</v>
      </c>
      <c r="F2364" s="7" t="s">
        <v>11912</v>
      </c>
      <c r="G2364" s="7" t="s">
        <v>33</v>
      </c>
      <c r="H2364" s="7" t="s">
        <v>36</v>
      </c>
      <c r="I2364" s="7" t="s">
        <v>48</v>
      </c>
      <c r="J2364" s="7" t="s">
        <v>2617</v>
      </c>
      <c r="K2364" s="7" t="s">
        <v>5514</v>
      </c>
      <c r="L2364" s="12">
        <v>1</v>
      </c>
      <c r="M2364" s="7" t="s">
        <v>1892</v>
      </c>
    </row>
    <row r="2365" spans="2:13" ht="52.5" customHeight="1" x14ac:dyDescent="0.35">
      <c r="B2365" s="11">
        <v>136</v>
      </c>
      <c r="C2365" s="5" t="s">
        <v>11841</v>
      </c>
      <c r="D2365" s="11">
        <v>27</v>
      </c>
      <c r="E2365" s="5" t="s">
        <v>11913</v>
      </c>
      <c r="F2365" s="5" t="s">
        <v>11914</v>
      </c>
      <c r="G2365" s="5" t="s">
        <v>686</v>
      </c>
      <c r="H2365" s="5" t="s">
        <v>36</v>
      </c>
      <c r="I2365" s="5" t="s">
        <v>48</v>
      </c>
      <c r="J2365" s="5" t="s">
        <v>5394</v>
      </c>
      <c r="K2365" s="5" t="s">
        <v>5395</v>
      </c>
      <c r="L2365" s="11">
        <v>1</v>
      </c>
      <c r="M2365" s="5" t="s">
        <v>1892</v>
      </c>
    </row>
    <row r="2366" spans="2:13" ht="52.5" customHeight="1" x14ac:dyDescent="0.35">
      <c r="B2366" s="12">
        <v>136</v>
      </c>
      <c r="C2366" s="7" t="s">
        <v>11841</v>
      </c>
      <c r="D2366" s="12">
        <v>28</v>
      </c>
      <c r="E2366" s="7" t="s">
        <v>11915</v>
      </c>
      <c r="F2366" s="7" t="s">
        <v>11916</v>
      </c>
      <c r="G2366" s="7" t="s">
        <v>862</v>
      </c>
      <c r="H2366" s="7" t="s">
        <v>36</v>
      </c>
      <c r="I2366" s="7" t="s">
        <v>48</v>
      </c>
      <c r="J2366" s="7" t="s">
        <v>5394</v>
      </c>
      <c r="K2366" s="7" t="s">
        <v>5395</v>
      </c>
      <c r="L2366" s="12">
        <v>1</v>
      </c>
      <c r="M2366" s="7" t="s">
        <v>1892</v>
      </c>
    </row>
    <row r="2367" spans="2:13" ht="52.5" customHeight="1" x14ac:dyDescent="0.35">
      <c r="B2367" s="11">
        <v>136</v>
      </c>
      <c r="C2367" s="5" t="s">
        <v>11841</v>
      </c>
      <c r="D2367" s="11">
        <v>29</v>
      </c>
      <c r="E2367" s="5" t="s">
        <v>11917</v>
      </c>
      <c r="F2367" s="5" t="s">
        <v>11918</v>
      </c>
      <c r="G2367" s="5" t="s">
        <v>566</v>
      </c>
      <c r="H2367" s="5" t="s">
        <v>1521</v>
      </c>
      <c r="I2367" s="5" t="s">
        <v>5294</v>
      </c>
      <c r="J2367" s="5" t="s">
        <v>5394</v>
      </c>
      <c r="K2367" s="5" t="s">
        <v>11919</v>
      </c>
      <c r="L2367" s="11">
        <v>2</v>
      </c>
      <c r="M2367" s="5" t="s">
        <v>1892</v>
      </c>
    </row>
    <row r="2368" spans="2:13" ht="52.5" customHeight="1" x14ac:dyDescent="0.35">
      <c r="B2368" s="12">
        <v>136</v>
      </c>
      <c r="C2368" s="7" t="s">
        <v>11841</v>
      </c>
      <c r="D2368" s="12">
        <v>30</v>
      </c>
      <c r="E2368" s="7" t="s">
        <v>11920</v>
      </c>
      <c r="F2368" s="7" t="s">
        <v>11921</v>
      </c>
      <c r="G2368" s="7" t="s">
        <v>1127</v>
      </c>
      <c r="H2368" s="7" t="s">
        <v>36</v>
      </c>
      <c r="I2368" s="7" t="s">
        <v>48</v>
      </c>
      <c r="J2368" s="7" t="s">
        <v>5394</v>
      </c>
      <c r="K2368" s="7" t="s">
        <v>5395</v>
      </c>
      <c r="L2368" s="12">
        <v>1</v>
      </c>
      <c r="M2368" s="7" t="s">
        <v>1892</v>
      </c>
    </row>
    <row r="2369" spans="2:13" ht="52.5" customHeight="1" x14ac:dyDescent="0.35">
      <c r="B2369" s="11">
        <v>136</v>
      </c>
      <c r="C2369" s="5" t="s">
        <v>11841</v>
      </c>
      <c r="D2369" s="11" t="s">
        <v>11922</v>
      </c>
      <c r="E2369" s="5" t="s">
        <v>11923</v>
      </c>
      <c r="F2369" s="5" t="s">
        <v>11924</v>
      </c>
      <c r="G2369" s="5" t="s">
        <v>11925</v>
      </c>
      <c r="H2369" s="5" t="s">
        <v>36</v>
      </c>
      <c r="I2369" s="5" t="s">
        <v>48</v>
      </c>
      <c r="J2369" s="5" t="s">
        <v>5394</v>
      </c>
      <c r="K2369" s="5" t="s">
        <v>5395</v>
      </c>
      <c r="L2369" s="11">
        <v>1</v>
      </c>
      <c r="M2369" s="5" t="s">
        <v>1892</v>
      </c>
    </row>
    <row r="2370" spans="2:13" ht="52.5" customHeight="1" x14ac:dyDescent="0.35">
      <c r="B2370" s="12">
        <v>136</v>
      </c>
      <c r="C2370" s="7" t="s">
        <v>11841</v>
      </c>
      <c r="D2370" s="12"/>
      <c r="E2370" s="7" t="s">
        <v>11926</v>
      </c>
      <c r="F2370" s="7" t="s">
        <v>11927</v>
      </c>
      <c r="G2370" s="7" t="s">
        <v>1713</v>
      </c>
      <c r="H2370" s="7" t="s">
        <v>36</v>
      </c>
      <c r="I2370" s="7" t="s">
        <v>48</v>
      </c>
      <c r="J2370" s="7" t="s">
        <v>5394</v>
      </c>
      <c r="K2370" s="7" t="s">
        <v>5395</v>
      </c>
      <c r="L2370" s="12">
        <v>1</v>
      </c>
      <c r="M2370" s="7" t="s">
        <v>1892</v>
      </c>
    </row>
    <row r="2371" spans="2:13" ht="52.5" customHeight="1" x14ac:dyDescent="0.35">
      <c r="B2371" s="11">
        <v>136</v>
      </c>
      <c r="C2371" s="5" t="s">
        <v>11841</v>
      </c>
      <c r="D2371" s="11" t="s">
        <v>11928</v>
      </c>
      <c r="E2371" s="5" t="s">
        <v>11929</v>
      </c>
      <c r="F2371" s="5" t="s">
        <v>11930</v>
      </c>
      <c r="G2371" s="5" t="s">
        <v>1045</v>
      </c>
      <c r="H2371" s="5" t="s">
        <v>36</v>
      </c>
      <c r="I2371" s="5" t="s">
        <v>48</v>
      </c>
      <c r="J2371" s="5" t="s">
        <v>5394</v>
      </c>
      <c r="K2371" s="5" t="s">
        <v>5395</v>
      </c>
      <c r="L2371" s="11">
        <v>1</v>
      </c>
      <c r="M2371" s="5" t="s">
        <v>1892</v>
      </c>
    </row>
    <row r="2372" spans="2:13" ht="52.5" customHeight="1" x14ac:dyDescent="0.35">
      <c r="B2372" s="12">
        <v>136</v>
      </c>
      <c r="C2372" s="7" t="s">
        <v>11841</v>
      </c>
      <c r="D2372" s="12"/>
      <c r="E2372" s="7" t="s">
        <v>11931</v>
      </c>
      <c r="F2372" s="7" t="s">
        <v>11932</v>
      </c>
      <c r="G2372" s="7" t="s">
        <v>733</v>
      </c>
      <c r="H2372" s="7" t="s">
        <v>42</v>
      </c>
      <c r="I2372" s="7" t="s">
        <v>5023</v>
      </c>
      <c r="J2372" s="7" t="s">
        <v>9308</v>
      </c>
      <c r="K2372" s="7" t="s">
        <v>11933</v>
      </c>
      <c r="L2372" s="12">
        <v>1</v>
      </c>
      <c r="M2372" s="7" t="s">
        <v>1892</v>
      </c>
    </row>
    <row r="2373" spans="2:13" ht="52.5" customHeight="1" x14ac:dyDescent="0.35">
      <c r="B2373" s="11">
        <v>136</v>
      </c>
      <c r="C2373" s="5" t="s">
        <v>11841</v>
      </c>
      <c r="D2373" s="11" t="s">
        <v>11934</v>
      </c>
      <c r="E2373" s="5" t="s">
        <v>11935</v>
      </c>
      <c r="F2373" s="5" t="s">
        <v>11936</v>
      </c>
      <c r="G2373" s="5" t="s">
        <v>733</v>
      </c>
      <c r="H2373" s="5" t="s">
        <v>42</v>
      </c>
      <c r="I2373" s="5" t="s">
        <v>5023</v>
      </c>
      <c r="J2373" s="5" t="s">
        <v>5394</v>
      </c>
      <c r="K2373" s="5" t="s">
        <v>9348</v>
      </c>
      <c r="L2373" s="11">
        <v>1</v>
      </c>
      <c r="M2373" s="5" t="s">
        <v>1892</v>
      </c>
    </row>
    <row r="2374" spans="2:13" ht="52.5" customHeight="1" x14ac:dyDescent="0.35">
      <c r="B2374" s="12">
        <v>136</v>
      </c>
      <c r="C2374" s="7" t="s">
        <v>11841</v>
      </c>
      <c r="D2374" s="12"/>
      <c r="E2374" s="7" t="s">
        <v>11937</v>
      </c>
      <c r="F2374" s="7" t="s">
        <v>11938</v>
      </c>
      <c r="G2374" s="7" t="s">
        <v>1610</v>
      </c>
      <c r="H2374" s="7" t="s">
        <v>36</v>
      </c>
      <c r="I2374" s="7" t="s">
        <v>48</v>
      </c>
      <c r="J2374" s="7" t="s">
        <v>5394</v>
      </c>
      <c r="K2374" s="7" t="s">
        <v>5395</v>
      </c>
      <c r="L2374" s="12">
        <v>1</v>
      </c>
      <c r="M2374" s="7" t="s">
        <v>1892</v>
      </c>
    </row>
    <row r="2375" spans="2:13" ht="52.5" customHeight="1" x14ac:dyDescent="0.35">
      <c r="B2375" s="11">
        <v>136</v>
      </c>
      <c r="C2375" s="5" t="s">
        <v>11841</v>
      </c>
      <c r="D2375" s="11">
        <v>37</v>
      </c>
      <c r="E2375" s="5" t="s">
        <v>11939</v>
      </c>
      <c r="F2375" s="5" t="s">
        <v>11940</v>
      </c>
      <c r="G2375" s="5" t="s">
        <v>1628</v>
      </c>
      <c r="H2375" s="5" t="s">
        <v>36</v>
      </c>
      <c r="I2375" s="5" t="s">
        <v>48</v>
      </c>
      <c r="J2375" s="5" t="s">
        <v>5394</v>
      </c>
      <c r="K2375" s="5" t="s">
        <v>5395</v>
      </c>
      <c r="L2375" s="11">
        <v>1</v>
      </c>
      <c r="M2375" s="5" t="s">
        <v>1892</v>
      </c>
    </row>
    <row r="2376" spans="2:13" ht="52.5" customHeight="1" x14ac:dyDescent="0.35">
      <c r="B2376" s="12">
        <v>136</v>
      </c>
      <c r="C2376" s="7" t="s">
        <v>11841</v>
      </c>
      <c r="D2376" s="12">
        <v>38</v>
      </c>
      <c r="E2376" s="7" t="s">
        <v>11941</v>
      </c>
      <c r="F2376" s="7" t="s">
        <v>11942</v>
      </c>
      <c r="G2376" s="7" t="s">
        <v>1203</v>
      </c>
      <c r="H2376" s="7" t="s">
        <v>36</v>
      </c>
      <c r="I2376" s="7" t="s">
        <v>48</v>
      </c>
      <c r="J2376" s="7" t="s">
        <v>5394</v>
      </c>
      <c r="K2376" s="7" t="s">
        <v>5395</v>
      </c>
      <c r="L2376" s="12">
        <v>1</v>
      </c>
      <c r="M2376" s="7" t="s">
        <v>1892</v>
      </c>
    </row>
    <row r="2377" spans="2:13" ht="52.5" customHeight="1" x14ac:dyDescent="0.35">
      <c r="B2377" s="11">
        <v>136</v>
      </c>
      <c r="C2377" s="5" t="s">
        <v>11841</v>
      </c>
      <c r="D2377" s="11">
        <v>39</v>
      </c>
      <c r="E2377" s="5" t="s">
        <v>11943</v>
      </c>
      <c r="F2377" s="5" t="s">
        <v>11944</v>
      </c>
      <c r="G2377" s="5" t="s">
        <v>224</v>
      </c>
      <c r="H2377" s="5" t="s">
        <v>1521</v>
      </c>
      <c r="I2377" s="5" t="s">
        <v>4565</v>
      </c>
      <c r="J2377" s="5" t="s">
        <v>6779</v>
      </c>
      <c r="K2377" s="5" t="s">
        <v>11945</v>
      </c>
      <c r="L2377" s="11">
        <v>2</v>
      </c>
      <c r="M2377" s="5" t="s">
        <v>1892</v>
      </c>
    </row>
    <row r="2378" spans="2:13" ht="52.5" customHeight="1" x14ac:dyDescent="0.35">
      <c r="B2378" s="12">
        <v>136</v>
      </c>
      <c r="C2378" s="7" t="s">
        <v>11841</v>
      </c>
      <c r="D2378" s="12">
        <v>40</v>
      </c>
      <c r="E2378" s="7" t="s">
        <v>11946</v>
      </c>
      <c r="F2378" s="7" t="s">
        <v>11947</v>
      </c>
      <c r="G2378" s="7" t="s">
        <v>862</v>
      </c>
      <c r="H2378" s="7" t="s">
        <v>37</v>
      </c>
      <c r="I2378" s="7" t="s">
        <v>51</v>
      </c>
      <c r="J2378" s="7" t="s">
        <v>4948</v>
      </c>
      <c r="K2378" s="7" t="s">
        <v>10426</v>
      </c>
      <c r="L2378" s="12">
        <v>1</v>
      </c>
      <c r="M2378" s="7" t="s">
        <v>1892</v>
      </c>
    </row>
    <row r="2379" spans="2:13" ht="52.5" customHeight="1" x14ac:dyDescent="0.35">
      <c r="B2379" s="11">
        <v>136</v>
      </c>
      <c r="C2379" s="5" t="s">
        <v>11841</v>
      </c>
      <c r="D2379" s="11">
        <v>41</v>
      </c>
      <c r="E2379" s="5" t="s">
        <v>11948</v>
      </c>
      <c r="F2379" s="5" t="s">
        <v>11949</v>
      </c>
      <c r="G2379" s="5" t="s">
        <v>202</v>
      </c>
      <c r="H2379" s="5" t="s">
        <v>36</v>
      </c>
      <c r="I2379" s="5" t="s">
        <v>48</v>
      </c>
      <c r="J2379" s="5" t="s">
        <v>5394</v>
      </c>
      <c r="K2379" s="5" t="s">
        <v>5395</v>
      </c>
      <c r="L2379" s="11">
        <v>1</v>
      </c>
      <c r="M2379" s="5" t="s">
        <v>1892</v>
      </c>
    </row>
    <row r="2380" spans="2:13" ht="52.5" customHeight="1" x14ac:dyDescent="0.35">
      <c r="B2380" s="12">
        <v>136</v>
      </c>
      <c r="C2380" s="7" t="s">
        <v>11841</v>
      </c>
      <c r="D2380" s="12">
        <v>42</v>
      </c>
      <c r="E2380" s="7" t="s">
        <v>11950</v>
      </c>
      <c r="F2380" s="7" t="s">
        <v>11951</v>
      </c>
      <c r="G2380" s="7" t="s">
        <v>11952</v>
      </c>
      <c r="H2380" s="7" t="s">
        <v>36</v>
      </c>
      <c r="I2380" s="7" t="s">
        <v>48</v>
      </c>
      <c r="J2380" s="7" t="s">
        <v>5394</v>
      </c>
      <c r="K2380" s="7" t="s">
        <v>5395</v>
      </c>
      <c r="L2380" s="12">
        <v>1</v>
      </c>
      <c r="M2380" s="7" t="s">
        <v>1892</v>
      </c>
    </row>
    <row r="2381" spans="2:13" ht="52.5" customHeight="1" x14ac:dyDescent="0.35">
      <c r="B2381" s="11">
        <v>136</v>
      </c>
      <c r="C2381" s="5" t="s">
        <v>11841</v>
      </c>
      <c r="D2381" s="11">
        <v>43</v>
      </c>
      <c r="E2381" s="5" t="s">
        <v>11953</v>
      </c>
      <c r="F2381" s="5" t="s">
        <v>11954</v>
      </c>
      <c r="G2381" s="5" t="s">
        <v>1252</v>
      </c>
      <c r="H2381" s="5" t="s">
        <v>41</v>
      </c>
      <c r="I2381" s="5" t="s">
        <v>49</v>
      </c>
      <c r="J2381" s="5" t="s">
        <v>1004</v>
      </c>
      <c r="K2381" s="5" t="s">
        <v>5073</v>
      </c>
      <c r="L2381" s="11">
        <v>1</v>
      </c>
      <c r="M2381" s="5" t="s">
        <v>1892</v>
      </c>
    </row>
    <row r="2382" spans="2:13" ht="52.5" customHeight="1" x14ac:dyDescent="0.35">
      <c r="B2382" s="12">
        <v>136</v>
      </c>
      <c r="C2382" s="7" t="s">
        <v>11841</v>
      </c>
      <c r="D2382" s="12">
        <v>44</v>
      </c>
      <c r="E2382" s="7" t="s">
        <v>11955</v>
      </c>
      <c r="F2382" s="7" t="s">
        <v>11956</v>
      </c>
      <c r="G2382" s="7" t="s">
        <v>31</v>
      </c>
      <c r="H2382" s="7" t="s">
        <v>42</v>
      </c>
      <c r="I2382" s="7" t="s">
        <v>7348</v>
      </c>
      <c r="J2382" s="7" t="s">
        <v>4948</v>
      </c>
      <c r="K2382" s="7" t="s">
        <v>11957</v>
      </c>
      <c r="L2382" s="12">
        <v>1</v>
      </c>
      <c r="M2382" s="7" t="s">
        <v>1892</v>
      </c>
    </row>
    <row r="2383" spans="2:13" ht="52.5" customHeight="1" x14ac:dyDescent="0.35">
      <c r="B2383" s="11">
        <v>136</v>
      </c>
      <c r="C2383" s="5" t="s">
        <v>11841</v>
      </c>
      <c r="D2383" s="11">
        <v>45</v>
      </c>
      <c r="E2383" s="5" t="s">
        <v>11958</v>
      </c>
      <c r="F2383" s="5" t="s">
        <v>11959</v>
      </c>
      <c r="G2383" s="5" t="s">
        <v>761</v>
      </c>
      <c r="H2383" s="5" t="s">
        <v>42</v>
      </c>
      <c r="I2383" s="5" t="s">
        <v>7348</v>
      </c>
      <c r="J2383" s="5" t="s">
        <v>4948</v>
      </c>
      <c r="K2383" s="5" t="s">
        <v>11957</v>
      </c>
      <c r="L2383" s="11">
        <v>1</v>
      </c>
      <c r="M2383" s="5" t="s">
        <v>1892</v>
      </c>
    </row>
    <row r="2384" spans="2:13" ht="52.5" customHeight="1" x14ac:dyDescent="0.35">
      <c r="B2384" s="12">
        <v>136</v>
      </c>
      <c r="C2384" s="7" t="s">
        <v>11841</v>
      </c>
      <c r="D2384" s="12">
        <v>46</v>
      </c>
      <c r="E2384" s="7" t="s">
        <v>11960</v>
      </c>
      <c r="F2384" s="7" t="s">
        <v>11961</v>
      </c>
      <c r="G2384" s="7" t="s">
        <v>749</v>
      </c>
      <c r="H2384" s="7" t="s">
        <v>37</v>
      </c>
      <c r="I2384" s="7" t="s">
        <v>51</v>
      </c>
      <c r="J2384" s="7" t="s">
        <v>4948</v>
      </c>
      <c r="K2384" s="7" t="s">
        <v>10426</v>
      </c>
      <c r="L2384" s="12">
        <v>1</v>
      </c>
      <c r="M2384" s="7" t="s">
        <v>1892</v>
      </c>
    </row>
    <row r="2385" spans="2:13" ht="52.5" customHeight="1" x14ac:dyDescent="0.35">
      <c r="B2385" s="11">
        <v>136</v>
      </c>
      <c r="C2385" s="5" t="s">
        <v>11841</v>
      </c>
      <c r="D2385" s="11">
        <v>47</v>
      </c>
      <c r="E2385" s="5" t="s">
        <v>11962</v>
      </c>
      <c r="F2385" s="5" t="s">
        <v>11963</v>
      </c>
      <c r="G2385" s="5" t="s">
        <v>973</v>
      </c>
      <c r="H2385" s="5" t="s">
        <v>37</v>
      </c>
      <c r="I2385" s="5" t="s">
        <v>51</v>
      </c>
      <c r="J2385" s="5" t="s">
        <v>4948</v>
      </c>
      <c r="K2385" s="5" t="s">
        <v>10426</v>
      </c>
      <c r="L2385" s="11">
        <v>1</v>
      </c>
      <c r="M2385" s="5" t="s">
        <v>1892</v>
      </c>
    </row>
    <row r="2386" spans="2:13" ht="52.5" customHeight="1" x14ac:dyDescent="0.35">
      <c r="B2386" s="12">
        <v>136</v>
      </c>
      <c r="C2386" s="7" t="s">
        <v>11841</v>
      </c>
      <c r="D2386" s="12">
        <v>48</v>
      </c>
      <c r="E2386" s="7" t="s">
        <v>11964</v>
      </c>
      <c r="F2386" s="7" t="s">
        <v>11965</v>
      </c>
      <c r="G2386" s="7" t="s">
        <v>1161</v>
      </c>
      <c r="H2386" s="7" t="s">
        <v>9207</v>
      </c>
      <c r="I2386" s="7" t="s">
        <v>11966</v>
      </c>
      <c r="J2386" s="7" t="s">
        <v>11967</v>
      </c>
      <c r="K2386" s="7" t="s">
        <v>11968</v>
      </c>
      <c r="L2386" s="12">
        <v>3</v>
      </c>
      <c r="M2386" s="7" t="s">
        <v>1892</v>
      </c>
    </row>
    <row r="2387" spans="2:13" ht="52.5" customHeight="1" x14ac:dyDescent="0.35">
      <c r="B2387" s="11">
        <v>136</v>
      </c>
      <c r="C2387" s="5" t="s">
        <v>11841</v>
      </c>
      <c r="D2387" s="11">
        <v>49</v>
      </c>
      <c r="E2387" s="5" t="s">
        <v>11969</v>
      </c>
      <c r="F2387" s="5" t="s">
        <v>11970</v>
      </c>
      <c r="G2387" s="5" t="s">
        <v>1196</v>
      </c>
      <c r="H2387" s="5" t="s">
        <v>5577</v>
      </c>
      <c r="I2387" s="5" t="s">
        <v>8324</v>
      </c>
      <c r="J2387" s="5" t="s">
        <v>11971</v>
      </c>
      <c r="K2387" s="5" t="s">
        <v>11972</v>
      </c>
      <c r="L2387" s="11">
        <v>3</v>
      </c>
      <c r="M2387" s="5" t="s">
        <v>1892</v>
      </c>
    </row>
    <row r="2388" spans="2:13" ht="52.5" customHeight="1" x14ac:dyDescent="0.35">
      <c r="B2388" s="12">
        <v>136</v>
      </c>
      <c r="C2388" s="7" t="s">
        <v>11841</v>
      </c>
      <c r="D2388" s="12">
        <v>50</v>
      </c>
      <c r="E2388" s="7" t="s">
        <v>11973</v>
      </c>
      <c r="F2388" s="7" t="s">
        <v>11974</v>
      </c>
      <c r="G2388" s="7" t="s">
        <v>198</v>
      </c>
      <c r="H2388" s="7" t="s">
        <v>301</v>
      </c>
      <c r="I2388" s="7" t="s">
        <v>8168</v>
      </c>
      <c r="J2388" s="7" t="s">
        <v>11975</v>
      </c>
      <c r="K2388" s="7" t="s">
        <v>11976</v>
      </c>
      <c r="L2388" s="12">
        <v>2</v>
      </c>
      <c r="M2388" s="7" t="s">
        <v>1892</v>
      </c>
    </row>
    <row r="2389" spans="2:13" ht="52.5" customHeight="1" x14ac:dyDescent="0.35">
      <c r="B2389" s="11">
        <v>136</v>
      </c>
      <c r="C2389" s="5" t="s">
        <v>11841</v>
      </c>
      <c r="D2389" s="11">
        <v>51</v>
      </c>
      <c r="E2389" s="5" t="s">
        <v>11977</v>
      </c>
      <c r="F2389" s="5" t="s">
        <v>11978</v>
      </c>
      <c r="G2389" s="5" t="s">
        <v>30</v>
      </c>
      <c r="H2389" s="5" t="s">
        <v>306</v>
      </c>
      <c r="I2389" s="5" t="s">
        <v>4738</v>
      </c>
      <c r="J2389" s="5" t="s">
        <v>10950</v>
      </c>
      <c r="K2389" s="5" t="s">
        <v>11979</v>
      </c>
      <c r="L2389" s="11">
        <v>2</v>
      </c>
      <c r="M2389" s="5" t="s">
        <v>1892</v>
      </c>
    </row>
    <row r="2390" spans="2:13" ht="52.5" customHeight="1" x14ac:dyDescent="0.35">
      <c r="B2390" s="12">
        <v>136</v>
      </c>
      <c r="C2390" s="7" t="s">
        <v>11841</v>
      </c>
      <c r="D2390" s="12">
        <v>52</v>
      </c>
      <c r="E2390" s="7" t="s">
        <v>11980</v>
      </c>
      <c r="F2390" s="7" t="s">
        <v>11981</v>
      </c>
      <c r="G2390" s="7" t="s">
        <v>249</v>
      </c>
      <c r="H2390" s="7" t="s">
        <v>11982</v>
      </c>
      <c r="I2390" s="7" t="s">
        <v>11983</v>
      </c>
      <c r="J2390" s="7" t="s">
        <v>11984</v>
      </c>
      <c r="K2390" s="7" t="s">
        <v>11985</v>
      </c>
      <c r="L2390" s="12">
        <v>3</v>
      </c>
      <c r="M2390" s="7" t="s">
        <v>1892</v>
      </c>
    </row>
    <row r="2391" spans="2:13" ht="52.5" customHeight="1" x14ac:dyDescent="0.35">
      <c r="B2391" s="11">
        <v>136</v>
      </c>
      <c r="C2391" s="5" t="s">
        <v>11841</v>
      </c>
      <c r="D2391" s="11">
        <v>53</v>
      </c>
      <c r="E2391" s="5" t="s">
        <v>11986</v>
      </c>
      <c r="F2391" s="5" t="s">
        <v>11987</v>
      </c>
      <c r="G2391" s="5" t="s">
        <v>285</v>
      </c>
      <c r="H2391" s="5" t="s">
        <v>37</v>
      </c>
      <c r="I2391" s="5" t="s">
        <v>51</v>
      </c>
      <c r="J2391" s="5" t="s">
        <v>4948</v>
      </c>
      <c r="K2391" s="5" t="s">
        <v>10426</v>
      </c>
      <c r="L2391" s="11">
        <v>1</v>
      </c>
      <c r="M2391" s="5" t="s">
        <v>1892</v>
      </c>
    </row>
    <row r="2392" spans="2:13" ht="52.5" customHeight="1" x14ac:dyDescent="0.35">
      <c r="B2392" s="12">
        <v>136</v>
      </c>
      <c r="C2392" s="7" t="s">
        <v>11841</v>
      </c>
      <c r="D2392" s="12">
        <v>54</v>
      </c>
      <c r="E2392" s="7" t="s">
        <v>11988</v>
      </c>
      <c r="F2392" s="7" t="s">
        <v>11989</v>
      </c>
      <c r="G2392" s="7" t="s">
        <v>831</v>
      </c>
      <c r="H2392" s="7" t="s">
        <v>306</v>
      </c>
      <c r="I2392" s="7" t="s">
        <v>5143</v>
      </c>
      <c r="J2392" s="7" t="s">
        <v>10950</v>
      </c>
      <c r="K2392" s="7" t="s">
        <v>11990</v>
      </c>
      <c r="L2392" s="12">
        <v>2</v>
      </c>
      <c r="M2392" s="7" t="s">
        <v>1892</v>
      </c>
    </row>
    <row r="2393" spans="2:13" ht="52.5" customHeight="1" x14ac:dyDescent="0.35">
      <c r="B2393" s="11">
        <v>136</v>
      </c>
      <c r="C2393" s="5" t="s">
        <v>11841</v>
      </c>
      <c r="D2393" s="11">
        <v>55</v>
      </c>
      <c r="E2393" s="5" t="s">
        <v>11991</v>
      </c>
      <c r="F2393" s="5" t="s">
        <v>11992</v>
      </c>
      <c r="G2393" s="5" t="s">
        <v>1781</v>
      </c>
      <c r="H2393" s="5" t="s">
        <v>36</v>
      </c>
      <c r="I2393" s="5" t="s">
        <v>48</v>
      </c>
      <c r="J2393" s="5" t="s">
        <v>5394</v>
      </c>
      <c r="K2393" s="5" t="s">
        <v>5395</v>
      </c>
      <c r="L2393" s="11">
        <v>1</v>
      </c>
      <c r="M2393" s="5" t="s">
        <v>1892</v>
      </c>
    </row>
    <row r="2394" spans="2:13" ht="52.5" customHeight="1" x14ac:dyDescent="0.35">
      <c r="B2394" s="12">
        <v>136</v>
      </c>
      <c r="C2394" s="7" t="s">
        <v>11841</v>
      </c>
      <c r="D2394" s="12">
        <v>56</v>
      </c>
      <c r="E2394" s="7" t="s">
        <v>11993</v>
      </c>
      <c r="F2394" s="7" t="s">
        <v>11994</v>
      </c>
      <c r="G2394" s="7" t="s">
        <v>4213</v>
      </c>
      <c r="H2394" s="7" t="s">
        <v>37</v>
      </c>
      <c r="I2394" s="7" t="s">
        <v>49</v>
      </c>
      <c r="J2394" s="7" t="s">
        <v>4948</v>
      </c>
      <c r="K2394" s="7" t="s">
        <v>6707</v>
      </c>
      <c r="L2394" s="12">
        <v>1</v>
      </c>
      <c r="M2394" s="7" t="s">
        <v>1892</v>
      </c>
    </row>
    <row r="2395" spans="2:13" ht="52.5" customHeight="1" x14ac:dyDescent="0.35">
      <c r="B2395" s="11">
        <v>136</v>
      </c>
      <c r="C2395" s="5" t="s">
        <v>11841</v>
      </c>
      <c r="D2395" s="11">
        <v>57</v>
      </c>
      <c r="E2395" s="5" t="s">
        <v>11995</v>
      </c>
      <c r="F2395" s="5" t="s">
        <v>11996</v>
      </c>
      <c r="G2395" s="5" t="s">
        <v>1206</v>
      </c>
      <c r="H2395" s="5" t="s">
        <v>306</v>
      </c>
      <c r="I2395" s="5" t="s">
        <v>11997</v>
      </c>
      <c r="J2395" s="5" t="s">
        <v>10950</v>
      </c>
      <c r="K2395" s="5" t="s">
        <v>11998</v>
      </c>
      <c r="L2395" s="11">
        <v>2</v>
      </c>
      <c r="M2395" s="5" t="s">
        <v>1892</v>
      </c>
    </row>
    <row r="2396" spans="2:13" ht="52.5" customHeight="1" x14ac:dyDescent="0.35">
      <c r="B2396" s="12">
        <v>136</v>
      </c>
      <c r="C2396" s="7" t="s">
        <v>11841</v>
      </c>
      <c r="D2396" s="12">
        <v>58</v>
      </c>
      <c r="E2396" s="7" t="s">
        <v>11999</v>
      </c>
      <c r="F2396" s="7" t="s">
        <v>12000</v>
      </c>
      <c r="G2396" s="7" t="s">
        <v>557</v>
      </c>
      <c r="H2396" s="7" t="s">
        <v>8873</v>
      </c>
      <c r="I2396" s="7" t="s">
        <v>8737</v>
      </c>
      <c r="J2396" s="7" t="s">
        <v>11802</v>
      </c>
      <c r="K2396" s="7" t="s">
        <v>11803</v>
      </c>
      <c r="L2396" s="12">
        <v>2</v>
      </c>
      <c r="M2396" s="7" t="s">
        <v>1892</v>
      </c>
    </row>
    <row r="2397" spans="2:13" ht="52.5" customHeight="1" x14ac:dyDescent="0.35">
      <c r="B2397" s="11">
        <v>136</v>
      </c>
      <c r="C2397" s="5" t="s">
        <v>11841</v>
      </c>
      <c r="D2397" s="11">
        <v>59</v>
      </c>
      <c r="E2397" s="5" t="s">
        <v>12001</v>
      </c>
      <c r="F2397" s="5" t="s">
        <v>12002</v>
      </c>
      <c r="G2397" s="5" t="s">
        <v>249</v>
      </c>
      <c r="H2397" s="5" t="s">
        <v>39</v>
      </c>
      <c r="I2397" s="5" t="s">
        <v>57</v>
      </c>
      <c r="J2397" s="5" t="s">
        <v>10368</v>
      </c>
      <c r="K2397" s="5" t="s">
        <v>12003</v>
      </c>
      <c r="L2397" s="11">
        <v>1</v>
      </c>
      <c r="M2397" s="5" t="s">
        <v>1892</v>
      </c>
    </row>
    <row r="2398" spans="2:13" ht="52.5" customHeight="1" x14ac:dyDescent="0.35">
      <c r="B2398" s="12">
        <v>136</v>
      </c>
      <c r="C2398" s="7" t="s">
        <v>11841</v>
      </c>
      <c r="D2398" s="12">
        <v>60</v>
      </c>
      <c r="E2398" s="7" t="s">
        <v>12004</v>
      </c>
      <c r="F2398" s="7" t="s">
        <v>12005</v>
      </c>
      <c r="G2398" s="7" t="s">
        <v>927</v>
      </c>
      <c r="H2398" s="7" t="s">
        <v>44</v>
      </c>
      <c r="I2398" s="7" t="s">
        <v>49</v>
      </c>
      <c r="J2398" s="7" t="s">
        <v>1004</v>
      </c>
      <c r="K2398" s="7" t="s">
        <v>5350</v>
      </c>
      <c r="L2398" s="12">
        <v>1</v>
      </c>
      <c r="M2398" s="7" t="s">
        <v>1892</v>
      </c>
    </row>
    <row r="2399" spans="2:13" ht="52.5" customHeight="1" x14ac:dyDescent="0.35">
      <c r="B2399" s="11">
        <v>136</v>
      </c>
      <c r="C2399" s="5" t="s">
        <v>11841</v>
      </c>
      <c r="D2399" s="11">
        <v>61</v>
      </c>
      <c r="E2399" s="5" t="s">
        <v>12006</v>
      </c>
      <c r="F2399" s="5" t="s">
        <v>12007</v>
      </c>
      <c r="G2399" s="5" t="s">
        <v>950</v>
      </c>
      <c r="H2399" s="5" t="s">
        <v>44</v>
      </c>
      <c r="I2399" s="5" t="s">
        <v>49</v>
      </c>
      <c r="J2399" s="5" t="s">
        <v>4098</v>
      </c>
      <c r="K2399" s="5" t="s">
        <v>10955</v>
      </c>
      <c r="L2399" s="11">
        <v>1</v>
      </c>
      <c r="M2399" s="5" t="s">
        <v>1892</v>
      </c>
    </row>
    <row r="2400" spans="2:13" ht="52.5" customHeight="1" x14ac:dyDescent="0.35">
      <c r="B2400" s="12">
        <v>136</v>
      </c>
      <c r="C2400" s="7" t="s">
        <v>11841</v>
      </c>
      <c r="D2400" s="12">
        <v>62</v>
      </c>
      <c r="E2400" s="7" t="s">
        <v>12008</v>
      </c>
      <c r="F2400" s="7" t="s">
        <v>12009</v>
      </c>
      <c r="G2400" s="7" t="s">
        <v>428</v>
      </c>
      <c r="H2400" s="7" t="s">
        <v>41</v>
      </c>
      <c r="I2400" s="7" t="s">
        <v>49</v>
      </c>
      <c r="J2400" s="7" t="s">
        <v>1004</v>
      </c>
      <c r="K2400" s="7" t="s">
        <v>5073</v>
      </c>
      <c r="L2400" s="12">
        <v>1</v>
      </c>
      <c r="M2400" s="7" t="s">
        <v>1892</v>
      </c>
    </row>
    <row r="2401" spans="2:13" ht="52.5" customHeight="1" x14ac:dyDescent="0.35">
      <c r="B2401" s="11">
        <v>136</v>
      </c>
      <c r="C2401" s="5" t="s">
        <v>11841</v>
      </c>
      <c r="D2401" s="11">
        <v>63</v>
      </c>
      <c r="E2401" s="5" t="s">
        <v>12010</v>
      </c>
      <c r="F2401" s="5" t="s">
        <v>12011</v>
      </c>
      <c r="G2401" s="5" t="s">
        <v>402</v>
      </c>
      <c r="H2401" s="5" t="s">
        <v>39</v>
      </c>
      <c r="I2401" s="5" t="s">
        <v>57</v>
      </c>
      <c r="J2401" s="5" t="s">
        <v>4948</v>
      </c>
      <c r="K2401" s="5" t="s">
        <v>10108</v>
      </c>
      <c r="L2401" s="11">
        <v>1</v>
      </c>
      <c r="M2401" s="5" t="s">
        <v>1892</v>
      </c>
    </row>
    <row r="2402" spans="2:13" ht="52.5" customHeight="1" x14ac:dyDescent="0.35">
      <c r="B2402" s="12">
        <v>136</v>
      </c>
      <c r="C2402" s="7" t="s">
        <v>11841</v>
      </c>
      <c r="D2402" s="12">
        <v>64</v>
      </c>
      <c r="E2402" s="7" t="s">
        <v>12012</v>
      </c>
      <c r="F2402" s="7" t="s">
        <v>12013</v>
      </c>
      <c r="G2402" s="7" t="s">
        <v>1214</v>
      </c>
      <c r="H2402" s="7" t="s">
        <v>1521</v>
      </c>
      <c r="I2402" s="7" t="s">
        <v>5294</v>
      </c>
      <c r="J2402" s="7" t="s">
        <v>12014</v>
      </c>
      <c r="K2402" s="7" t="s">
        <v>12015</v>
      </c>
      <c r="L2402" s="12">
        <v>2</v>
      </c>
      <c r="M2402" s="7" t="s">
        <v>1892</v>
      </c>
    </row>
    <row r="2403" spans="2:13" ht="52.5" customHeight="1" x14ac:dyDescent="0.35">
      <c r="B2403" s="11">
        <v>136</v>
      </c>
      <c r="C2403" s="5" t="s">
        <v>11841</v>
      </c>
      <c r="D2403" s="11" t="s">
        <v>12016</v>
      </c>
      <c r="E2403" s="5" t="s">
        <v>12017</v>
      </c>
      <c r="F2403" s="5" t="s">
        <v>12018</v>
      </c>
      <c r="G2403" s="5" t="s">
        <v>1172</v>
      </c>
      <c r="H2403" s="5" t="s">
        <v>36</v>
      </c>
      <c r="I2403" s="5" t="s">
        <v>48</v>
      </c>
      <c r="J2403" s="5" t="s">
        <v>11790</v>
      </c>
      <c r="K2403" s="5" t="s">
        <v>11791</v>
      </c>
      <c r="L2403" s="11">
        <v>1</v>
      </c>
      <c r="M2403" s="5" t="s">
        <v>1892</v>
      </c>
    </row>
    <row r="2404" spans="2:13" ht="52.5" customHeight="1" x14ac:dyDescent="0.35">
      <c r="B2404" s="12">
        <v>136</v>
      </c>
      <c r="C2404" s="7" t="s">
        <v>11841</v>
      </c>
      <c r="D2404" s="12"/>
      <c r="E2404" s="7" t="s">
        <v>12019</v>
      </c>
      <c r="F2404" s="7" t="s">
        <v>12020</v>
      </c>
      <c r="G2404" s="7" t="s">
        <v>4260</v>
      </c>
      <c r="H2404" s="7" t="s">
        <v>39</v>
      </c>
      <c r="I2404" s="7" t="s">
        <v>57</v>
      </c>
      <c r="J2404" s="7" t="s">
        <v>10368</v>
      </c>
      <c r="K2404" s="7" t="s">
        <v>12003</v>
      </c>
      <c r="L2404" s="12">
        <v>1</v>
      </c>
      <c r="M2404" s="7" t="s">
        <v>1892</v>
      </c>
    </row>
    <row r="2405" spans="2:13" ht="52.5" customHeight="1" x14ac:dyDescent="0.35">
      <c r="B2405" s="11">
        <v>136</v>
      </c>
      <c r="C2405" s="5" t="s">
        <v>11841</v>
      </c>
      <c r="D2405" s="11"/>
      <c r="E2405" s="5" t="s">
        <v>12021</v>
      </c>
      <c r="F2405" s="5" t="s">
        <v>12022</v>
      </c>
      <c r="G2405" s="5" t="s">
        <v>947</v>
      </c>
      <c r="H2405" s="5" t="s">
        <v>37</v>
      </c>
      <c r="I2405" s="5" t="s">
        <v>51</v>
      </c>
      <c r="J2405" s="5" t="s">
        <v>5531</v>
      </c>
      <c r="K2405" s="5" t="s">
        <v>7701</v>
      </c>
      <c r="L2405" s="11">
        <v>1</v>
      </c>
      <c r="M2405" s="5" t="s">
        <v>1892</v>
      </c>
    </row>
    <row r="2406" spans="2:13" ht="52.5" customHeight="1" x14ac:dyDescent="0.35">
      <c r="B2406" s="12">
        <v>136</v>
      </c>
      <c r="C2406" s="7" t="s">
        <v>11841</v>
      </c>
      <c r="D2406" s="12"/>
      <c r="E2406" s="7" t="s">
        <v>12023</v>
      </c>
      <c r="F2406" s="7" t="s">
        <v>12024</v>
      </c>
      <c r="G2406" s="7" t="s">
        <v>12025</v>
      </c>
      <c r="H2406" s="7" t="s">
        <v>37</v>
      </c>
      <c r="I2406" s="7" t="s">
        <v>51</v>
      </c>
      <c r="J2406" s="7" t="s">
        <v>5531</v>
      </c>
      <c r="K2406" s="7" t="s">
        <v>7701</v>
      </c>
      <c r="L2406" s="12">
        <v>1</v>
      </c>
      <c r="M2406" s="7" t="s">
        <v>1892</v>
      </c>
    </row>
    <row r="2407" spans="2:13" ht="52.5" customHeight="1" x14ac:dyDescent="0.35">
      <c r="B2407" s="11">
        <v>136</v>
      </c>
      <c r="C2407" s="5" t="s">
        <v>11841</v>
      </c>
      <c r="D2407" s="11"/>
      <c r="E2407" s="5" t="s">
        <v>12026</v>
      </c>
      <c r="F2407" s="5" t="s">
        <v>12027</v>
      </c>
      <c r="G2407" s="5" t="s">
        <v>1661</v>
      </c>
      <c r="H2407" s="5" t="s">
        <v>37</v>
      </c>
      <c r="I2407" s="5" t="s">
        <v>51</v>
      </c>
      <c r="J2407" s="5" t="s">
        <v>5531</v>
      </c>
      <c r="K2407" s="5" t="s">
        <v>7701</v>
      </c>
      <c r="L2407" s="11">
        <v>1</v>
      </c>
      <c r="M2407" s="5" t="s">
        <v>1892</v>
      </c>
    </row>
    <row r="2408" spans="2:13" ht="52.5" customHeight="1" x14ac:dyDescent="0.35">
      <c r="B2408" s="12">
        <v>136</v>
      </c>
      <c r="C2408" s="7" t="s">
        <v>11841</v>
      </c>
      <c r="D2408" s="12">
        <v>70</v>
      </c>
      <c r="E2408" s="7" t="s">
        <v>12028</v>
      </c>
      <c r="F2408" s="7" t="s">
        <v>12029</v>
      </c>
      <c r="G2408" s="7" t="s">
        <v>877</v>
      </c>
      <c r="H2408" s="7" t="s">
        <v>294</v>
      </c>
      <c r="I2408" s="7" t="s">
        <v>4643</v>
      </c>
      <c r="J2408" s="7" t="s">
        <v>12030</v>
      </c>
      <c r="K2408" s="7" t="s">
        <v>12031</v>
      </c>
      <c r="L2408" s="12">
        <v>2</v>
      </c>
      <c r="M2408" s="7" t="s">
        <v>1892</v>
      </c>
    </row>
    <row r="2409" spans="2:13" ht="52.5" customHeight="1" x14ac:dyDescent="0.35">
      <c r="B2409" s="11">
        <v>136</v>
      </c>
      <c r="C2409" s="5" t="s">
        <v>11841</v>
      </c>
      <c r="D2409" s="11">
        <v>71</v>
      </c>
      <c r="E2409" s="5" t="s">
        <v>12032</v>
      </c>
      <c r="F2409" s="5" t="s">
        <v>12033</v>
      </c>
      <c r="G2409" s="5" t="s">
        <v>319</v>
      </c>
      <c r="H2409" s="5" t="s">
        <v>294</v>
      </c>
      <c r="I2409" s="5" t="s">
        <v>4643</v>
      </c>
      <c r="J2409" s="5" t="s">
        <v>12030</v>
      </c>
      <c r="K2409" s="5" t="s">
        <v>12031</v>
      </c>
      <c r="L2409" s="11">
        <v>2</v>
      </c>
      <c r="M2409" s="5" t="s">
        <v>1892</v>
      </c>
    </row>
    <row r="2410" spans="2:13" ht="52.5" customHeight="1" x14ac:dyDescent="0.35">
      <c r="B2410" s="12">
        <v>136</v>
      </c>
      <c r="C2410" s="7" t="s">
        <v>11841</v>
      </c>
      <c r="D2410" s="12">
        <v>72</v>
      </c>
      <c r="E2410" s="7" t="s">
        <v>12034</v>
      </c>
      <c r="F2410" s="7" t="s">
        <v>12035</v>
      </c>
      <c r="G2410" s="7" t="s">
        <v>635</v>
      </c>
      <c r="H2410" s="7" t="s">
        <v>4034</v>
      </c>
      <c r="I2410" s="7" t="s">
        <v>12036</v>
      </c>
      <c r="J2410" s="7" t="s">
        <v>12037</v>
      </c>
      <c r="K2410" s="7" t="s">
        <v>12038</v>
      </c>
      <c r="L2410" s="12">
        <v>2</v>
      </c>
      <c r="M2410" s="7" t="s">
        <v>1892</v>
      </c>
    </row>
    <row r="2411" spans="2:13" ht="52.5" customHeight="1" x14ac:dyDescent="0.35">
      <c r="B2411" s="11">
        <v>136</v>
      </c>
      <c r="C2411" s="5" t="s">
        <v>11841</v>
      </c>
      <c r="D2411" s="11">
        <v>73</v>
      </c>
      <c r="E2411" s="5" t="s">
        <v>12039</v>
      </c>
      <c r="F2411" s="5" t="s">
        <v>12040</v>
      </c>
      <c r="G2411" s="5" t="s">
        <v>828</v>
      </c>
      <c r="H2411" s="5" t="s">
        <v>41</v>
      </c>
      <c r="I2411" s="5" t="s">
        <v>49</v>
      </c>
      <c r="J2411" s="5" t="s">
        <v>1063</v>
      </c>
      <c r="K2411" s="5" t="s">
        <v>6492</v>
      </c>
      <c r="L2411" s="11">
        <v>1</v>
      </c>
      <c r="M2411" s="5" t="s">
        <v>1892</v>
      </c>
    </row>
    <row r="2412" spans="2:13" ht="52.5" customHeight="1" x14ac:dyDescent="0.35">
      <c r="B2412" s="12">
        <v>136</v>
      </c>
      <c r="C2412" s="7" t="s">
        <v>11841</v>
      </c>
      <c r="D2412" s="12">
        <v>74</v>
      </c>
      <c r="E2412" s="7" t="s">
        <v>12041</v>
      </c>
      <c r="F2412" s="7" t="s">
        <v>12042</v>
      </c>
      <c r="G2412" s="7" t="s">
        <v>1829</v>
      </c>
      <c r="H2412" s="7" t="s">
        <v>41</v>
      </c>
      <c r="I2412" s="7" t="s">
        <v>49</v>
      </c>
      <c r="J2412" s="7" t="s">
        <v>1063</v>
      </c>
      <c r="K2412" s="7" t="s">
        <v>6492</v>
      </c>
      <c r="L2412" s="12">
        <v>1</v>
      </c>
      <c r="M2412" s="7" t="s">
        <v>1892</v>
      </c>
    </row>
    <row r="2413" spans="2:13" ht="52.5" customHeight="1" x14ac:dyDescent="0.35">
      <c r="B2413" s="11">
        <v>136</v>
      </c>
      <c r="C2413" s="5" t="s">
        <v>11841</v>
      </c>
      <c r="D2413" s="11">
        <v>75</v>
      </c>
      <c r="E2413" s="5" t="s">
        <v>12043</v>
      </c>
      <c r="F2413" s="5" t="s">
        <v>12044</v>
      </c>
      <c r="G2413" s="5" t="s">
        <v>752</v>
      </c>
      <c r="H2413" s="5" t="s">
        <v>36</v>
      </c>
      <c r="I2413" s="5" t="s">
        <v>48</v>
      </c>
      <c r="J2413" s="5" t="s">
        <v>5394</v>
      </c>
      <c r="K2413" s="5" t="s">
        <v>5395</v>
      </c>
      <c r="L2413" s="11">
        <v>1</v>
      </c>
      <c r="M2413" s="5" t="s">
        <v>1892</v>
      </c>
    </row>
    <row r="2414" spans="2:13" ht="52.5" customHeight="1" x14ac:dyDescent="0.35">
      <c r="B2414" s="12">
        <v>136</v>
      </c>
      <c r="C2414" s="7" t="s">
        <v>11841</v>
      </c>
      <c r="D2414" s="12">
        <v>76</v>
      </c>
      <c r="E2414" s="7" t="s">
        <v>12045</v>
      </c>
      <c r="F2414" s="7" t="s">
        <v>12046</v>
      </c>
      <c r="G2414" s="7" t="s">
        <v>962</v>
      </c>
      <c r="H2414" s="7" t="s">
        <v>37</v>
      </c>
      <c r="I2414" s="7" t="s">
        <v>51</v>
      </c>
      <c r="J2414" s="7" t="s">
        <v>4948</v>
      </c>
      <c r="K2414" s="7" t="s">
        <v>10426</v>
      </c>
      <c r="L2414" s="12">
        <v>1</v>
      </c>
      <c r="M2414" s="7" t="s">
        <v>1892</v>
      </c>
    </row>
    <row r="2415" spans="2:13" ht="52.5" customHeight="1" x14ac:dyDescent="0.35">
      <c r="B2415" s="11">
        <v>136</v>
      </c>
      <c r="C2415" s="5" t="s">
        <v>11841</v>
      </c>
      <c r="D2415" s="11">
        <v>77</v>
      </c>
      <c r="E2415" s="5" t="s">
        <v>12047</v>
      </c>
      <c r="F2415" s="5" t="s">
        <v>12048</v>
      </c>
      <c r="G2415" s="5" t="s">
        <v>1803</v>
      </c>
      <c r="H2415" s="5" t="s">
        <v>37</v>
      </c>
      <c r="I2415" s="5" t="s">
        <v>51</v>
      </c>
      <c r="J2415" s="5" t="s">
        <v>4948</v>
      </c>
      <c r="K2415" s="5" t="s">
        <v>10426</v>
      </c>
      <c r="L2415" s="11">
        <v>1</v>
      </c>
      <c r="M2415" s="5" t="s">
        <v>1892</v>
      </c>
    </row>
    <row r="2416" spans="2:13" ht="52.5" customHeight="1" x14ac:dyDescent="0.35">
      <c r="B2416" s="12">
        <v>136</v>
      </c>
      <c r="C2416" s="7" t="s">
        <v>11841</v>
      </c>
      <c r="D2416" s="12">
        <v>78</v>
      </c>
      <c r="E2416" s="7" t="s">
        <v>12049</v>
      </c>
      <c r="F2416" s="7" t="s">
        <v>12050</v>
      </c>
      <c r="G2416" s="7" t="s">
        <v>939</v>
      </c>
      <c r="H2416" s="7" t="s">
        <v>5017</v>
      </c>
      <c r="I2416" s="7" t="s">
        <v>4896</v>
      </c>
      <c r="J2416" s="7" t="s">
        <v>12051</v>
      </c>
      <c r="K2416" s="7" t="s">
        <v>12052</v>
      </c>
      <c r="L2416" s="12">
        <v>2</v>
      </c>
      <c r="M2416" s="7" t="s">
        <v>1892</v>
      </c>
    </row>
    <row r="2417" spans="2:13" ht="52.5" customHeight="1" x14ac:dyDescent="0.35">
      <c r="B2417" s="11">
        <v>136</v>
      </c>
      <c r="C2417" s="5" t="s">
        <v>11841</v>
      </c>
      <c r="D2417" s="11">
        <v>79</v>
      </c>
      <c r="E2417" s="5" t="s">
        <v>12053</v>
      </c>
      <c r="F2417" s="5" t="s">
        <v>12054</v>
      </c>
      <c r="G2417" s="5" t="s">
        <v>2288</v>
      </c>
      <c r="H2417" s="5" t="s">
        <v>44</v>
      </c>
      <c r="I2417" s="5" t="s">
        <v>49</v>
      </c>
      <c r="J2417" s="5" t="s">
        <v>4098</v>
      </c>
      <c r="K2417" s="5" t="s">
        <v>10955</v>
      </c>
      <c r="L2417" s="11">
        <v>1</v>
      </c>
      <c r="M2417" s="5" t="s">
        <v>1892</v>
      </c>
    </row>
    <row r="2418" spans="2:13" ht="52.5" customHeight="1" x14ac:dyDescent="0.35">
      <c r="B2418" s="12">
        <v>136</v>
      </c>
      <c r="C2418" s="7" t="s">
        <v>11841</v>
      </c>
      <c r="D2418" s="12">
        <v>80</v>
      </c>
      <c r="E2418" s="7" t="s">
        <v>12055</v>
      </c>
      <c r="F2418" s="7" t="s">
        <v>12056</v>
      </c>
      <c r="G2418" s="7" t="s">
        <v>12057</v>
      </c>
      <c r="H2418" s="7" t="s">
        <v>37</v>
      </c>
      <c r="I2418" s="7" t="s">
        <v>170</v>
      </c>
      <c r="J2418" s="7" t="s">
        <v>5531</v>
      </c>
      <c r="K2418" s="7" t="s">
        <v>12058</v>
      </c>
      <c r="L2418" s="12">
        <v>1</v>
      </c>
      <c r="M2418" s="7" t="s">
        <v>1892</v>
      </c>
    </row>
    <row r="2419" spans="2:13" ht="52.5" customHeight="1" x14ac:dyDescent="0.35">
      <c r="B2419" s="11">
        <v>136</v>
      </c>
      <c r="C2419" s="5" t="s">
        <v>11841</v>
      </c>
      <c r="D2419" s="11">
        <v>81</v>
      </c>
      <c r="E2419" s="5" t="s">
        <v>12059</v>
      </c>
      <c r="F2419" s="5" t="s">
        <v>12060</v>
      </c>
      <c r="G2419" s="5" t="s">
        <v>4634</v>
      </c>
      <c r="H2419" s="5" t="s">
        <v>36</v>
      </c>
      <c r="I2419" s="5" t="s">
        <v>48</v>
      </c>
      <c r="J2419" s="5" t="s">
        <v>5510</v>
      </c>
      <c r="K2419" s="5" t="s">
        <v>10355</v>
      </c>
      <c r="L2419" s="11">
        <v>1</v>
      </c>
      <c r="M2419" s="5" t="s">
        <v>1892</v>
      </c>
    </row>
    <row r="2420" spans="2:13" ht="52.5" customHeight="1" x14ac:dyDescent="0.35">
      <c r="B2420" s="12">
        <v>136</v>
      </c>
      <c r="C2420" s="7" t="s">
        <v>11841</v>
      </c>
      <c r="D2420" s="12">
        <v>82</v>
      </c>
      <c r="E2420" s="7" t="s">
        <v>12061</v>
      </c>
      <c r="F2420" s="7" t="s">
        <v>12062</v>
      </c>
      <c r="G2420" s="7" t="s">
        <v>749</v>
      </c>
      <c r="H2420" s="7" t="s">
        <v>36</v>
      </c>
      <c r="I2420" s="7" t="s">
        <v>48</v>
      </c>
      <c r="J2420" s="7" t="s">
        <v>5394</v>
      </c>
      <c r="K2420" s="7" t="s">
        <v>5395</v>
      </c>
      <c r="L2420" s="12">
        <v>1</v>
      </c>
      <c r="M2420" s="7" t="s">
        <v>1892</v>
      </c>
    </row>
    <row r="2421" spans="2:13" ht="52.5" customHeight="1" x14ac:dyDescent="0.35">
      <c r="B2421" s="11">
        <v>136</v>
      </c>
      <c r="C2421" s="5" t="s">
        <v>11841</v>
      </c>
      <c r="D2421" s="11">
        <v>83</v>
      </c>
      <c r="E2421" s="5" t="s">
        <v>12063</v>
      </c>
      <c r="F2421" s="5" t="s">
        <v>12064</v>
      </c>
      <c r="G2421" s="5" t="s">
        <v>2768</v>
      </c>
      <c r="H2421" s="5" t="s">
        <v>4662</v>
      </c>
      <c r="I2421" s="5" t="s">
        <v>12065</v>
      </c>
      <c r="J2421" s="5" t="s">
        <v>12066</v>
      </c>
      <c r="K2421" s="5" t="s">
        <v>12067</v>
      </c>
      <c r="L2421" s="11">
        <v>2</v>
      </c>
      <c r="M2421" s="5" t="s">
        <v>1892</v>
      </c>
    </row>
    <row r="2422" spans="2:13" ht="52.5" customHeight="1" x14ac:dyDescent="0.35">
      <c r="B2422" s="12">
        <v>136</v>
      </c>
      <c r="C2422" s="7" t="s">
        <v>11841</v>
      </c>
      <c r="D2422" s="12">
        <v>84</v>
      </c>
      <c r="E2422" s="7" t="s">
        <v>12068</v>
      </c>
      <c r="F2422" s="7" t="s">
        <v>12069</v>
      </c>
      <c r="G2422" s="7" t="s">
        <v>4823</v>
      </c>
      <c r="H2422" s="7" t="s">
        <v>1521</v>
      </c>
      <c r="I2422" s="7" t="s">
        <v>5294</v>
      </c>
      <c r="J2422" s="7" t="s">
        <v>12070</v>
      </c>
      <c r="K2422" s="7" t="s">
        <v>12071</v>
      </c>
      <c r="L2422" s="12">
        <v>2</v>
      </c>
      <c r="M2422" s="7" t="s">
        <v>1892</v>
      </c>
    </row>
    <row r="2423" spans="2:13" ht="52.5" customHeight="1" x14ac:dyDescent="0.35">
      <c r="B2423" s="11">
        <v>136</v>
      </c>
      <c r="C2423" s="5" t="s">
        <v>11841</v>
      </c>
      <c r="D2423" s="11">
        <v>85</v>
      </c>
      <c r="E2423" s="5" t="s">
        <v>12072</v>
      </c>
      <c r="F2423" s="5" t="s">
        <v>12073</v>
      </c>
      <c r="G2423" s="5" t="s">
        <v>6743</v>
      </c>
      <c r="H2423" s="5" t="s">
        <v>36</v>
      </c>
      <c r="I2423" s="5" t="s">
        <v>48</v>
      </c>
      <c r="J2423" s="5" t="s">
        <v>5394</v>
      </c>
      <c r="K2423" s="5" t="s">
        <v>5395</v>
      </c>
      <c r="L2423" s="11">
        <v>1</v>
      </c>
      <c r="M2423" s="5" t="s">
        <v>1892</v>
      </c>
    </row>
    <row r="2424" spans="2:13" ht="52.5" customHeight="1" x14ac:dyDescent="0.35">
      <c r="B2424" s="12">
        <v>136</v>
      </c>
      <c r="C2424" s="7" t="s">
        <v>11841</v>
      </c>
      <c r="D2424" s="12">
        <v>86</v>
      </c>
      <c r="E2424" s="7" t="s">
        <v>12074</v>
      </c>
      <c r="F2424" s="7" t="s">
        <v>12075</v>
      </c>
      <c r="G2424" s="7" t="s">
        <v>6230</v>
      </c>
      <c r="H2424" s="7" t="s">
        <v>5202</v>
      </c>
      <c r="I2424" s="7" t="s">
        <v>12076</v>
      </c>
      <c r="J2424" s="7" t="s">
        <v>5394</v>
      </c>
      <c r="K2424" s="7" t="s">
        <v>12077</v>
      </c>
      <c r="L2424" s="12">
        <v>2</v>
      </c>
      <c r="M2424" s="7" t="s">
        <v>1892</v>
      </c>
    </row>
    <row r="2425" spans="2:13" ht="52.5" customHeight="1" x14ac:dyDescent="0.35">
      <c r="B2425" s="11">
        <v>136</v>
      </c>
      <c r="C2425" s="5" t="s">
        <v>11841</v>
      </c>
      <c r="D2425" s="11">
        <v>87</v>
      </c>
      <c r="E2425" s="5" t="s">
        <v>12078</v>
      </c>
      <c r="F2425" s="5" t="s">
        <v>12079</v>
      </c>
      <c r="G2425" s="5" t="s">
        <v>3492</v>
      </c>
      <c r="H2425" s="5" t="s">
        <v>36</v>
      </c>
      <c r="I2425" s="5" t="s">
        <v>48</v>
      </c>
      <c r="J2425" s="5" t="s">
        <v>5394</v>
      </c>
      <c r="K2425" s="5" t="s">
        <v>5395</v>
      </c>
      <c r="L2425" s="11">
        <v>1</v>
      </c>
      <c r="M2425" s="5" t="s">
        <v>1892</v>
      </c>
    </row>
    <row r="2426" spans="2:13" ht="52.5" customHeight="1" x14ac:dyDescent="0.35">
      <c r="B2426" s="12">
        <v>136</v>
      </c>
      <c r="C2426" s="7" t="s">
        <v>11841</v>
      </c>
      <c r="D2426" s="12">
        <v>88</v>
      </c>
      <c r="E2426" s="7" t="s">
        <v>12080</v>
      </c>
      <c r="F2426" s="7" t="s">
        <v>12081</v>
      </c>
      <c r="G2426" s="7" t="s">
        <v>1211</v>
      </c>
      <c r="H2426" s="7" t="s">
        <v>37</v>
      </c>
      <c r="I2426" s="7" t="s">
        <v>51</v>
      </c>
      <c r="J2426" s="7" t="s">
        <v>4948</v>
      </c>
      <c r="K2426" s="7" t="s">
        <v>10426</v>
      </c>
      <c r="L2426" s="12">
        <v>1</v>
      </c>
      <c r="M2426" s="7" t="s">
        <v>1892</v>
      </c>
    </row>
    <row r="2427" spans="2:13" ht="52.5" customHeight="1" x14ac:dyDescent="0.35">
      <c r="B2427" s="11">
        <v>136</v>
      </c>
      <c r="C2427" s="5" t="s">
        <v>11841</v>
      </c>
      <c r="D2427" s="11">
        <v>89</v>
      </c>
      <c r="E2427" s="5" t="s">
        <v>12082</v>
      </c>
      <c r="F2427" s="5" t="s">
        <v>12083</v>
      </c>
      <c r="G2427" s="5" t="s">
        <v>1190</v>
      </c>
      <c r="H2427" s="5" t="s">
        <v>37</v>
      </c>
      <c r="I2427" s="5" t="s">
        <v>51</v>
      </c>
      <c r="J2427" s="5" t="s">
        <v>4948</v>
      </c>
      <c r="K2427" s="5" t="s">
        <v>10426</v>
      </c>
      <c r="L2427" s="11">
        <v>1</v>
      </c>
      <c r="M2427" s="5" t="s">
        <v>1892</v>
      </c>
    </row>
    <row r="2428" spans="2:13" ht="52.5" customHeight="1" x14ac:dyDescent="0.35">
      <c r="B2428" s="12">
        <v>136</v>
      </c>
      <c r="C2428" s="7" t="s">
        <v>11841</v>
      </c>
      <c r="D2428" s="12">
        <v>90</v>
      </c>
      <c r="E2428" s="7" t="s">
        <v>12084</v>
      </c>
      <c r="F2428" s="7" t="s">
        <v>12085</v>
      </c>
      <c r="G2428" s="7" t="s">
        <v>3065</v>
      </c>
      <c r="H2428" s="7" t="s">
        <v>39</v>
      </c>
      <c r="I2428" s="7" t="s">
        <v>227</v>
      </c>
      <c r="J2428" s="7" t="s">
        <v>10368</v>
      </c>
      <c r="K2428" s="7" t="s">
        <v>12086</v>
      </c>
      <c r="L2428" s="12">
        <v>1</v>
      </c>
      <c r="M2428" s="7" t="s">
        <v>1892</v>
      </c>
    </row>
    <row r="2429" spans="2:13" ht="52.5" customHeight="1" x14ac:dyDescent="0.35">
      <c r="B2429" s="11">
        <v>136</v>
      </c>
      <c r="C2429" s="5" t="s">
        <v>11841</v>
      </c>
      <c r="D2429" s="11">
        <v>91</v>
      </c>
      <c r="E2429" s="5" t="s">
        <v>12087</v>
      </c>
      <c r="F2429" s="5" t="s">
        <v>12088</v>
      </c>
      <c r="G2429" s="5" t="s">
        <v>1226</v>
      </c>
      <c r="H2429" s="5" t="s">
        <v>36</v>
      </c>
      <c r="I2429" s="5" t="s">
        <v>5253</v>
      </c>
      <c r="J2429" s="5" t="s">
        <v>5394</v>
      </c>
      <c r="K2429" s="5" t="s">
        <v>12089</v>
      </c>
      <c r="L2429" s="11">
        <v>1</v>
      </c>
      <c r="M2429" s="5" t="s">
        <v>1892</v>
      </c>
    </row>
    <row r="2430" spans="2:13" ht="52.5" customHeight="1" x14ac:dyDescent="0.35">
      <c r="B2430" s="12">
        <v>136</v>
      </c>
      <c r="C2430" s="7" t="s">
        <v>11841</v>
      </c>
      <c r="D2430" s="12">
        <v>92</v>
      </c>
      <c r="E2430" s="7" t="s">
        <v>12090</v>
      </c>
      <c r="F2430" s="7" t="s">
        <v>12091</v>
      </c>
      <c r="G2430" s="7" t="s">
        <v>2232</v>
      </c>
      <c r="H2430" s="7" t="s">
        <v>36</v>
      </c>
      <c r="I2430" s="7" t="s">
        <v>48</v>
      </c>
      <c r="J2430" s="7" t="s">
        <v>5404</v>
      </c>
      <c r="K2430" s="7" t="s">
        <v>5405</v>
      </c>
      <c r="L2430" s="12">
        <v>1</v>
      </c>
      <c r="M2430" s="7" t="s">
        <v>1892</v>
      </c>
    </row>
    <row r="2431" spans="2:13" ht="52.5" customHeight="1" x14ac:dyDescent="0.35">
      <c r="B2431" s="11">
        <v>136</v>
      </c>
      <c r="C2431" s="5" t="s">
        <v>11841</v>
      </c>
      <c r="D2431" s="11">
        <v>93</v>
      </c>
      <c r="E2431" s="5" t="s">
        <v>12092</v>
      </c>
      <c r="F2431" s="5" t="s">
        <v>12093</v>
      </c>
      <c r="G2431" s="5" t="s">
        <v>541</v>
      </c>
      <c r="H2431" s="5" t="s">
        <v>36</v>
      </c>
      <c r="I2431" s="5" t="s">
        <v>48</v>
      </c>
      <c r="J2431" s="5" t="s">
        <v>5404</v>
      </c>
      <c r="K2431" s="5" t="s">
        <v>5405</v>
      </c>
      <c r="L2431" s="11">
        <v>1</v>
      </c>
      <c r="M2431" s="5" t="s">
        <v>1892</v>
      </c>
    </row>
    <row r="2432" spans="2:13" ht="52.5" customHeight="1" x14ac:dyDescent="0.35">
      <c r="B2432" s="12">
        <v>136</v>
      </c>
      <c r="C2432" s="7" t="s">
        <v>11841</v>
      </c>
      <c r="D2432" s="12">
        <v>94</v>
      </c>
      <c r="E2432" s="7" t="s">
        <v>12094</v>
      </c>
      <c r="F2432" s="7" t="s">
        <v>12095</v>
      </c>
      <c r="G2432" s="7" t="s">
        <v>1647</v>
      </c>
      <c r="H2432" s="7" t="s">
        <v>36</v>
      </c>
      <c r="I2432" s="7" t="s">
        <v>48</v>
      </c>
      <c r="J2432" s="7" t="s">
        <v>5404</v>
      </c>
      <c r="K2432" s="7" t="s">
        <v>5405</v>
      </c>
      <c r="L2432" s="12">
        <v>1</v>
      </c>
      <c r="M2432" s="7" t="s">
        <v>1892</v>
      </c>
    </row>
    <row r="2433" spans="2:13" ht="52.5" customHeight="1" x14ac:dyDescent="0.35">
      <c r="B2433" s="11">
        <v>136</v>
      </c>
      <c r="C2433" s="5" t="s">
        <v>11841</v>
      </c>
      <c r="D2433" s="11">
        <v>95</v>
      </c>
      <c r="E2433" s="5" t="s">
        <v>12096</v>
      </c>
      <c r="F2433" s="5" t="s">
        <v>12097</v>
      </c>
      <c r="G2433" s="5" t="s">
        <v>7680</v>
      </c>
      <c r="H2433" s="5" t="s">
        <v>36</v>
      </c>
      <c r="I2433" s="5" t="s">
        <v>48</v>
      </c>
      <c r="J2433" s="5" t="s">
        <v>5404</v>
      </c>
      <c r="K2433" s="5" t="s">
        <v>5405</v>
      </c>
      <c r="L2433" s="11">
        <v>1</v>
      </c>
      <c r="M2433" s="5" t="s">
        <v>1892</v>
      </c>
    </row>
    <row r="2434" spans="2:13" ht="52.5" customHeight="1" x14ac:dyDescent="0.35">
      <c r="B2434" s="12">
        <v>136</v>
      </c>
      <c r="C2434" s="7" t="s">
        <v>11841</v>
      </c>
      <c r="D2434" s="12">
        <v>96</v>
      </c>
      <c r="E2434" s="7" t="s">
        <v>12098</v>
      </c>
      <c r="F2434" s="7" t="s">
        <v>12099</v>
      </c>
      <c r="G2434" s="7" t="s">
        <v>4786</v>
      </c>
      <c r="H2434" s="7" t="s">
        <v>5240</v>
      </c>
      <c r="I2434" s="7" t="s">
        <v>5225</v>
      </c>
      <c r="J2434" s="7" t="s">
        <v>12100</v>
      </c>
      <c r="K2434" s="7" t="s">
        <v>12101</v>
      </c>
      <c r="L2434" s="12">
        <v>2</v>
      </c>
      <c r="M2434" s="7" t="s">
        <v>1892</v>
      </c>
    </row>
    <row r="2435" spans="2:13" ht="52.5" customHeight="1" x14ac:dyDescent="0.35">
      <c r="B2435" s="11">
        <v>136</v>
      </c>
      <c r="C2435" s="5" t="s">
        <v>11841</v>
      </c>
      <c r="D2435" s="11">
        <v>97</v>
      </c>
      <c r="E2435" s="5" t="s">
        <v>12102</v>
      </c>
      <c r="F2435" s="5" t="s">
        <v>12103</v>
      </c>
      <c r="G2435" s="5" t="s">
        <v>2850</v>
      </c>
      <c r="H2435" s="5" t="s">
        <v>4662</v>
      </c>
      <c r="I2435" s="5" t="s">
        <v>5152</v>
      </c>
      <c r="J2435" s="5" t="s">
        <v>5404</v>
      </c>
      <c r="K2435" s="5" t="s">
        <v>12104</v>
      </c>
      <c r="L2435" s="11">
        <v>2</v>
      </c>
      <c r="M2435" s="5" t="s">
        <v>1892</v>
      </c>
    </row>
    <row r="2436" spans="2:13" ht="52.5" customHeight="1" x14ac:dyDescent="0.35">
      <c r="B2436" s="12">
        <v>136</v>
      </c>
      <c r="C2436" s="7" t="s">
        <v>11841</v>
      </c>
      <c r="D2436" s="12">
        <v>98</v>
      </c>
      <c r="E2436" s="7" t="s">
        <v>12105</v>
      </c>
      <c r="F2436" s="7" t="s">
        <v>12106</v>
      </c>
      <c r="G2436" s="7" t="s">
        <v>6090</v>
      </c>
      <c r="H2436" s="7" t="s">
        <v>36</v>
      </c>
      <c r="I2436" s="7" t="s">
        <v>48</v>
      </c>
      <c r="J2436" s="7" t="s">
        <v>5404</v>
      </c>
      <c r="K2436" s="7" t="s">
        <v>5405</v>
      </c>
      <c r="L2436" s="12">
        <v>1</v>
      </c>
      <c r="M2436" s="7" t="s">
        <v>1892</v>
      </c>
    </row>
    <row r="2437" spans="2:13" ht="52.5" customHeight="1" x14ac:dyDescent="0.35">
      <c r="B2437" s="11">
        <v>136</v>
      </c>
      <c r="C2437" s="5" t="s">
        <v>11841</v>
      </c>
      <c r="D2437" s="11">
        <v>99</v>
      </c>
      <c r="E2437" s="5" t="s">
        <v>12107</v>
      </c>
      <c r="F2437" s="5" t="s">
        <v>12108</v>
      </c>
      <c r="G2437" s="5" t="s">
        <v>868</v>
      </c>
      <c r="H2437" s="5" t="s">
        <v>36</v>
      </c>
      <c r="I2437" s="5" t="s">
        <v>48</v>
      </c>
      <c r="J2437" s="5" t="s">
        <v>5404</v>
      </c>
      <c r="K2437" s="5" t="s">
        <v>5405</v>
      </c>
      <c r="L2437" s="11">
        <v>1</v>
      </c>
      <c r="M2437" s="5" t="s">
        <v>1892</v>
      </c>
    </row>
    <row r="2438" spans="2:13" ht="52.5" customHeight="1" x14ac:dyDescent="0.35">
      <c r="B2438" s="12">
        <v>136</v>
      </c>
      <c r="C2438" s="7" t="s">
        <v>11841</v>
      </c>
      <c r="D2438" s="12">
        <v>100</v>
      </c>
      <c r="E2438" s="7" t="s">
        <v>12109</v>
      </c>
      <c r="F2438" s="7" t="s">
        <v>12110</v>
      </c>
      <c r="G2438" s="7" t="s">
        <v>1076</v>
      </c>
      <c r="H2438" s="7" t="s">
        <v>44</v>
      </c>
      <c r="I2438" s="7" t="s">
        <v>49</v>
      </c>
      <c r="J2438" s="7" t="s">
        <v>1063</v>
      </c>
      <c r="K2438" s="7" t="s">
        <v>5291</v>
      </c>
      <c r="L2438" s="12">
        <v>1</v>
      </c>
      <c r="M2438" s="7" t="s">
        <v>1892</v>
      </c>
    </row>
    <row r="2439" spans="2:13" ht="52.5" customHeight="1" x14ac:dyDescent="0.35">
      <c r="B2439" s="11">
        <v>136</v>
      </c>
      <c r="C2439" s="5" t="s">
        <v>11841</v>
      </c>
      <c r="D2439" s="11">
        <v>101</v>
      </c>
      <c r="E2439" s="5" t="s">
        <v>12111</v>
      </c>
      <c r="F2439" s="5" t="s">
        <v>12112</v>
      </c>
      <c r="G2439" s="5" t="s">
        <v>4874</v>
      </c>
      <c r="H2439" s="5" t="s">
        <v>36</v>
      </c>
      <c r="I2439" s="5" t="s">
        <v>48</v>
      </c>
      <c r="J2439" s="5" t="s">
        <v>5404</v>
      </c>
      <c r="K2439" s="5" t="s">
        <v>5405</v>
      </c>
      <c r="L2439" s="11">
        <v>1</v>
      </c>
      <c r="M2439" s="5" t="s">
        <v>1892</v>
      </c>
    </row>
    <row r="2440" spans="2:13" ht="52.5" customHeight="1" x14ac:dyDescent="0.35">
      <c r="B2440" s="12">
        <v>136</v>
      </c>
      <c r="C2440" s="7" t="s">
        <v>11841</v>
      </c>
      <c r="D2440" s="12">
        <v>102</v>
      </c>
      <c r="E2440" s="7" t="s">
        <v>12113</v>
      </c>
      <c r="F2440" s="7" t="s">
        <v>12114</v>
      </c>
      <c r="G2440" s="7" t="s">
        <v>8476</v>
      </c>
      <c r="H2440" s="7" t="s">
        <v>36</v>
      </c>
      <c r="I2440" s="7" t="s">
        <v>48</v>
      </c>
      <c r="J2440" s="7" t="s">
        <v>5404</v>
      </c>
      <c r="K2440" s="7" t="s">
        <v>5405</v>
      </c>
      <c r="L2440" s="12">
        <v>1</v>
      </c>
      <c r="M2440" s="7" t="s">
        <v>1892</v>
      </c>
    </row>
    <row r="2441" spans="2:13" ht="52.5" customHeight="1" x14ac:dyDescent="0.35">
      <c r="B2441" s="11">
        <v>136</v>
      </c>
      <c r="C2441" s="5" t="s">
        <v>11841</v>
      </c>
      <c r="D2441" s="11">
        <v>103</v>
      </c>
      <c r="E2441" s="5" t="s">
        <v>12115</v>
      </c>
      <c r="F2441" s="5" t="s">
        <v>12116</v>
      </c>
      <c r="G2441" s="5" t="s">
        <v>908</v>
      </c>
      <c r="H2441" s="5" t="s">
        <v>36</v>
      </c>
      <c r="I2441" s="5" t="s">
        <v>48</v>
      </c>
      <c r="J2441" s="5" t="s">
        <v>5404</v>
      </c>
      <c r="K2441" s="5" t="s">
        <v>5405</v>
      </c>
      <c r="L2441" s="11">
        <v>1</v>
      </c>
      <c r="M2441" s="5" t="s">
        <v>1892</v>
      </c>
    </row>
    <row r="2442" spans="2:13" ht="52.5" customHeight="1" x14ac:dyDescent="0.35">
      <c r="B2442" s="12">
        <v>136</v>
      </c>
      <c r="C2442" s="7" t="s">
        <v>11841</v>
      </c>
      <c r="D2442" s="12">
        <v>104</v>
      </c>
      <c r="E2442" s="7" t="s">
        <v>12117</v>
      </c>
      <c r="F2442" s="7" t="s">
        <v>12118</v>
      </c>
      <c r="G2442" s="7" t="s">
        <v>12119</v>
      </c>
      <c r="H2442" s="7" t="s">
        <v>36</v>
      </c>
      <c r="I2442" s="7" t="s">
        <v>48</v>
      </c>
      <c r="J2442" s="7" t="s">
        <v>5404</v>
      </c>
      <c r="K2442" s="7" t="s">
        <v>5405</v>
      </c>
      <c r="L2442" s="12">
        <v>1</v>
      </c>
      <c r="M2442" s="7" t="s">
        <v>1892</v>
      </c>
    </row>
    <row r="2443" spans="2:13" ht="52.5" customHeight="1" x14ac:dyDescent="0.35">
      <c r="B2443" s="11">
        <v>136</v>
      </c>
      <c r="C2443" s="5" t="s">
        <v>11841</v>
      </c>
      <c r="D2443" s="11">
        <v>105</v>
      </c>
      <c r="E2443" s="5" t="s">
        <v>12120</v>
      </c>
      <c r="F2443" s="5" t="s">
        <v>12121</v>
      </c>
      <c r="G2443" s="5" t="s">
        <v>12122</v>
      </c>
      <c r="H2443" s="5" t="s">
        <v>36</v>
      </c>
      <c r="I2443" s="5" t="s">
        <v>48</v>
      </c>
      <c r="J2443" s="5" t="s">
        <v>5404</v>
      </c>
      <c r="K2443" s="5" t="s">
        <v>5405</v>
      </c>
      <c r="L2443" s="11">
        <v>1</v>
      </c>
      <c r="M2443" s="5" t="s">
        <v>1892</v>
      </c>
    </row>
    <row r="2444" spans="2:13" ht="52.5" customHeight="1" x14ac:dyDescent="0.35">
      <c r="B2444" s="12">
        <v>136</v>
      </c>
      <c r="C2444" s="7" t="s">
        <v>11841</v>
      </c>
      <c r="D2444" s="12">
        <v>106</v>
      </c>
      <c r="E2444" s="7" t="s">
        <v>12123</v>
      </c>
      <c r="F2444" s="7" t="s">
        <v>12124</v>
      </c>
      <c r="G2444" s="7" t="s">
        <v>4300</v>
      </c>
      <c r="H2444" s="7" t="s">
        <v>36</v>
      </c>
      <c r="I2444" s="7" t="s">
        <v>48</v>
      </c>
      <c r="J2444" s="7" t="s">
        <v>5404</v>
      </c>
      <c r="K2444" s="7" t="s">
        <v>5405</v>
      </c>
      <c r="L2444" s="12">
        <v>1</v>
      </c>
      <c r="M2444" s="7" t="s">
        <v>1892</v>
      </c>
    </row>
    <row r="2445" spans="2:13" ht="52.5" customHeight="1" x14ac:dyDescent="0.35">
      <c r="B2445" s="11">
        <v>136</v>
      </c>
      <c r="C2445" s="5" t="s">
        <v>11841</v>
      </c>
      <c r="D2445" s="11">
        <v>107</v>
      </c>
      <c r="E2445" s="5" t="s">
        <v>12125</v>
      </c>
      <c r="F2445" s="5" t="s">
        <v>12126</v>
      </c>
      <c r="G2445" s="5" t="s">
        <v>3323</v>
      </c>
      <c r="H2445" s="5" t="s">
        <v>36</v>
      </c>
      <c r="I2445" s="5" t="s">
        <v>48</v>
      </c>
      <c r="J2445" s="5" t="s">
        <v>5404</v>
      </c>
      <c r="K2445" s="5" t="s">
        <v>5405</v>
      </c>
      <c r="L2445" s="11">
        <v>1</v>
      </c>
      <c r="M2445" s="5" t="s">
        <v>1892</v>
      </c>
    </row>
    <row r="2446" spans="2:13" ht="52.5" customHeight="1" x14ac:dyDescent="0.35">
      <c r="B2446" s="12">
        <v>136</v>
      </c>
      <c r="C2446" s="7" t="s">
        <v>11841</v>
      </c>
      <c r="D2446" s="12">
        <v>108</v>
      </c>
      <c r="E2446" s="7" t="s">
        <v>12127</v>
      </c>
      <c r="F2446" s="7" t="s">
        <v>12128</v>
      </c>
      <c r="G2446" s="7" t="s">
        <v>4811</v>
      </c>
      <c r="H2446" s="7" t="s">
        <v>36</v>
      </c>
      <c r="I2446" s="7" t="s">
        <v>48</v>
      </c>
      <c r="J2446" s="7" t="s">
        <v>5404</v>
      </c>
      <c r="K2446" s="7" t="s">
        <v>5405</v>
      </c>
      <c r="L2446" s="12">
        <v>1</v>
      </c>
      <c r="M2446" s="7" t="s">
        <v>1892</v>
      </c>
    </row>
    <row r="2447" spans="2:13" ht="37.5" customHeight="1" x14ac:dyDescent="0.35">
      <c r="B2447" s="11">
        <v>137</v>
      </c>
      <c r="C2447" s="5" t="s">
        <v>12129</v>
      </c>
      <c r="D2447" s="11">
        <v>1</v>
      </c>
      <c r="E2447" s="5" t="s">
        <v>12130</v>
      </c>
      <c r="F2447" s="5" t="s">
        <v>12131</v>
      </c>
      <c r="G2447" s="5" t="s">
        <v>365</v>
      </c>
      <c r="H2447" s="5" t="s">
        <v>36</v>
      </c>
      <c r="I2447" s="5" t="s">
        <v>48</v>
      </c>
      <c r="J2447" s="5" t="s">
        <v>9308</v>
      </c>
      <c r="K2447" s="5" t="s">
        <v>9828</v>
      </c>
      <c r="L2447" s="11">
        <v>1</v>
      </c>
      <c r="M2447" s="5" t="s">
        <v>1892</v>
      </c>
    </row>
    <row r="2448" spans="2:13" ht="37.5" customHeight="1" x14ac:dyDescent="0.35">
      <c r="B2448" s="12">
        <v>137</v>
      </c>
      <c r="C2448" s="7" t="s">
        <v>12129</v>
      </c>
      <c r="D2448" s="12">
        <v>2</v>
      </c>
      <c r="E2448" s="7" t="s">
        <v>12132</v>
      </c>
      <c r="F2448" s="7" t="s">
        <v>12133</v>
      </c>
      <c r="G2448" s="7" t="s">
        <v>2229</v>
      </c>
      <c r="H2448" s="7" t="s">
        <v>36</v>
      </c>
      <c r="I2448" s="7" t="s">
        <v>48</v>
      </c>
      <c r="J2448" s="7" t="s">
        <v>9308</v>
      </c>
      <c r="K2448" s="7" t="s">
        <v>9828</v>
      </c>
      <c r="L2448" s="12">
        <v>1</v>
      </c>
      <c r="M2448" s="7" t="s">
        <v>1892</v>
      </c>
    </row>
    <row r="2449" spans="2:13" ht="37.5" customHeight="1" x14ac:dyDescent="0.35">
      <c r="B2449" s="11">
        <v>137</v>
      </c>
      <c r="C2449" s="5" t="s">
        <v>12129</v>
      </c>
      <c r="D2449" s="11">
        <v>3</v>
      </c>
      <c r="E2449" s="5" t="s">
        <v>12134</v>
      </c>
      <c r="F2449" s="5" t="s">
        <v>12135</v>
      </c>
      <c r="G2449" s="5" t="s">
        <v>653</v>
      </c>
      <c r="H2449" s="5" t="s">
        <v>44</v>
      </c>
      <c r="I2449" s="5" t="s">
        <v>49</v>
      </c>
      <c r="J2449" s="5" t="s">
        <v>233</v>
      </c>
      <c r="K2449" s="5" t="s">
        <v>5524</v>
      </c>
      <c r="L2449" s="11">
        <v>1</v>
      </c>
      <c r="M2449" s="5" t="s">
        <v>1892</v>
      </c>
    </row>
    <row r="2450" spans="2:13" ht="37.5" customHeight="1" x14ac:dyDescent="0.35">
      <c r="B2450" s="12">
        <v>137</v>
      </c>
      <c r="C2450" s="7" t="s">
        <v>12129</v>
      </c>
      <c r="D2450" s="12">
        <v>4</v>
      </c>
      <c r="E2450" s="7" t="s">
        <v>12136</v>
      </c>
      <c r="F2450" s="7" t="s">
        <v>12137</v>
      </c>
      <c r="G2450" s="7" t="s">
        <v>1244</v>
      </c>
      <c r="H2450" s="7" t="s">
        <v>39</v>
      </c>
      <c r="I2450" s="7" t="s">
        <v>8885</v>
      </c>
      <c r="J2450" s="7" t="s">
        <v>12138</v>
      </c>
      <c r="K2450" s="7" t="s">
        <v>12139</v>
      </c>
      <c r="L2450" s="12">
        <v>1</v>
      </c>
      <c r="M2450" s="7" t="s">
        <v>1892</v>
      </c>
    </row>
    <row r="2451" spans="2:13" ht="37.5" customHeight="1" x14ac:dyDescent="0.35">
      <c r="B2451" s="11">
        <v>137</v>
      </c>
      <c r="C2451" s="5" t="s">
        <v>12129</v>
      </c>
      <c r="D2451" s="11">
        <v>5</v>
      </c>
      <c r="E2451" s="5" t="s">
        <v>12140</v>
      </c>
      <c r="F2451" s="5" t="s">
        <v>12141</v>
      </c>
      <c r="G2451" s="5" t="s">
        <v>24</v>
      </c>
      <c r="H2451" s="5" t="s">
        <v>306</v>
      </c>
      <c r="I2451" s="5" t="s">
        <v>4738</v>
      </c>
      <c r="J2451" s="5" t="s">
        <v>12142</v>
      </c>
      <c r="K2451" s="5" t="s">
        <v>12143</v>
      </c>
      <c r="L2451" s="11">
        <v>2</v>
      </c>
      <c r="M2451" s="5" t="s">
        <v>1892</v>
      </c>
    </row>
    <row r="2452" spans="2:13" ht="37.5" customHeight="1" x14ac:dyDescent="0.35">
      <c r="B2452" s="12">
        <v>137</v>
      </c>
      <c r="C2452" s="7" t="s">
        <v>12129</v>
      </c>
      <c r="D2452" s="12">
        <v>6</v>
      </c>
      <c r="E2452" s="7" t="s">
        <v>12144</v>
      </c>
      <c r="F2452" s="7" t="s">
        <v>12145</v>
      </c>
      <c r="G2452" s="7" t="s">
        <v>1045</v>
      </c>
      <c r="H2452" s="7" t="s">
        <v>36</v>
      </c>
      <c r="I2452" s="7" t="s">
        <v>48</v>
      </c>
      <c r="J2452" s="7" t="s">
        <v>4707</v>
      </c>
      <c r="K2452" s="7" t="s">
        <v>12146</v>
      </c>
      <c r="L2452" s="12">
        <v>1</v>
      </c>
      <c r="M2452" s="7" t="s">
        <v>1892</v>
      </c>
    </row>
    <row r="2453" spans="2:13" ht="37.5" customHeight="1" x14ac:dyDescent="0.35">
      <c r="B2453" s="11">
        <v>138</v>
      </c>
      <c r="C2453" s="5" t="s">
        <v>12147</v>
      </c>
      <c r="D2453" s="11">
        <v>1</v>
      </c>
      <c r="E2453" s="5" t="s">
        <v>12148</v>
      </c>
      <c r="F2453" s="5" t="s">
        <v>12149</v>
      </c>
      <c r="G2453" s="5" t="s">
        <v>536</v>
      </c>
      <c r="H2453" s="5" t="s">
        <v>37</v>
      </c>
      <c r="I2453" s="5" t="s">
        <v>170</v>
      </c>
      <c r="J2453" s="5" t="s">
        <v>4650</v>
      </c>
      <c r="K2453" s="5" t="s">
        <v>12150</v>
      </c>
      <c r="L2453" s="11">
        <v>1</v>
      </c>
      <c r="M2453" s="5" t="s">
        <v>156</v>
      </c>
    </row>
    <row r="2454" spans="2:13" ht="37.5" customHeight="1" x14ac:dyDescent="0.35">
      <c r="B2454" s="12">
        <v>138</v>
      </c>
      <c r="C2454" s="7" t="s">
        <v>12147</v>
      </c>
      <c r="D2454" s="12">
        <v>2</v>
      </c>
      <c r="E2454" s="7" t="s">
        <v>12151</v>
      </c>
      <c r="F2454" s="7" t="s">
        <v>12152</v>
      </c>
      <c r="G2454" s="7" t="s">
        <v>825</v>
      </c>
      <c r="H2454" s="7" t="s">
        <v>37</v>
      </c>
      <c r="I2454" s="7" t="s">
        <v>170</v>
      </c>
      <c r="J2454" s="7" t="s">
        <v>4650</v>
      </c>
      <c r="K2454" s="7" t="s">
        <v>12150</v>
      </c>
      <c r="L2454" s="12">
        <v>1</v>
      </c>
      <c r="M2454" s="7" t="s">
        <v>156</v>
      </c>
    </row>
    <row r="2455" spans="2:13" ht="52.5" customHeight="1" x14ac:dyDescent="0.35">
      <c r="B2455" s="11">
        <v>139</v>
      </c>
      <c r="C2455" s="5" t="s">
        <v>12153</v>
      </c>
      <c r="D2455" s="11">
        <v>1</v>
      </c>
      <c r="E2455" s="5" t="s">
        <v>12154</v>
      </c>
      <c r="F2455" s="5" t="s">
        <v>12155</v>
      </c>
      <c r="G2455" s="5" t="s">
        <v>12156</v>
      </c>
      <c r="H2455" s="5" t="s">
        <v>12157</v>
      </c>
      <c r="I2455" s="5" t="s">
        <v>12158</v>
      </c>
      <c r="J2455" s="5" t="s">
        <v>12159</v>
      </c>
      <c r="K2455" s="5" t="s">
        <v>12160</v>
      </c>
      <c r="L2455" s="11">
        <v>3</v>
      </c>
      <c r="M2455" s="5" t="s">
        <v>173</v>
      </c>
    </row>
    <row r="2456" spans="2:13" ht="37.5" customHeight="1" x14ac:dyDescent="0.35">
      <c r="B2456" s="12">
        <v>140</v>
      </c>
      <c r="C2456" s="7" t="s">
        <v>12161</v>
      </c>
      <c r="D2456" s="12">
        <v>1</v>
      </c>
      <c r="E2456" s="7" t="s">
        <v>12162</v>
      </c>
      <c r="F2456" s="7" t="s">
        <v>12163</v>
      </c>
      <c r="G2456" s="7" t="s">
        <v>25</v>
      </c>
      <c r="H2456" s="7" t="s">
        <v>4720</v>
      </c>
      <c r="I2456" s="7" t="s">
        <v>5225</v>
      </c>
      <c r="J2456" s="7" t="s">
        <v>12164</v>
      </c>
      <c r="K2456" s="7" t="s">
        <v>12165</v>
      </c>
      <c r="L2456" s="12">
        <v>2</v>
      </c>
      <c r="M2456" s="7"/>
    </row>
    <row r="2457" spans="2:13" ht="37.5" customHeight="1" x14ac:dyDescent="0.35">
      <c r="B2457" s="11">
        <v>140</v>
      </c>
      <c r="C2457" s="5" t="s">
        <v>12161</v>
      </c>
      <c r="D2457" s="11">
        <v>2</v>
      </c>
      <c r="E2457" s="5" t="s">
        <v>12166</v>
      </c>
      <c r="F2457" s="5" t="s">
        <v>12167</v>
      </c>
      <c r="G2457" s="5" t="s">
        <v>585</v>
      </c>
      <c r="H2457" s="5" t="s">
        <v>36</v>
      </c>
      <c r="I2457" s="5" t="s">
        <v>48</v>
      </c>
      <c r="J2457" s="5" t="s">
        <v>9782</v>
      </c>
      <c r="K2457" s="5" t="s">
        <v>9783</v>
      </c>
      <c r="L2457" s="11">
        <v>1</v>
      </c>
      <c r="M2457" s="5"/>
    </row>
    <row r="2458" spans="2:13" ht="37.5" customHeight="1" x14ac:dyDescent="0.35">
      <c r="B2458" s="12">
        <v>141</v>
      </c>
      <c r="C2458" s="7" t="s">
        <v>12168</v>
      </c>
      <c r="D2458" s="12">
        <v>1</v>
      </c>
      <c r="E2458" s="7" t="s">
        <v>12169</v>
      </c>
      <c r="F2458" s="7" t="s">
        <v>12170</v>
      </c>
      <c r="G2458" s="7" t="s">
        <v>457</v>
      </c>
      <c r="H2458" s="7" t="s">
        <v>37</v>
      </c>
      <c r="I2458" s="7" t="s">
        <v>170</v>
      </c>
      <c r="J2458" s="7" t="s">
        <v>4408</v>
      </c>
      <c r="K2458" s="7" t="s">
        <v>12171</v>
      </c>
      <c r="L2458" s="12">
        <v>1</v>
      </c>
      <c r="M2458" s="7"/>
    </row>
    <row r="2459" spans="2:13" ht="37.5" customHeight="1" x14ac:dyDescent="0.35">
      <c r="B2459" s="11">
        <v>142</v>
      </c>
      <c r="C2459" s="5" t="s">
        <v>12172</v>
      </c>
      <c r="D2459" s="11">
        <v>1</v>
      </c>
      <c r="E2459" s="5" t="s">
        <v>12173</v>
      </c>
      <c r="F2459" s="5" t="s">
        <v>12174</v>
      </c>
      <c r="G2459" s="5" t="s">
        <v>27</v>
      </c>
      <c r="H2459" s="5" t="s">
        <v>43</v>
      </c>
      <c r="I2459" s="5" t="s">
        <v>806</v>
      </c>
      <c r="J2459" s="5" t="s">
        <v>12175</v>
      </c>
      <c r="K2459" s="5" t="s">
        <v>12176</v>
      </c>
      <c r="L2459" s="11">
        <v>1</v>
      </c>
      <c r="M2459" s="5" t="s">
        <v>1892</v>
      </c>
    </row>
    <row r="2460" spans="2:13" ht="37.5" customHeight="1" x14ac:dyDescent="0.35">
      <c r="B2460" s="12">
        <v>142</v>
      </c>
      <c r="C2460" s="7" t="s">
        <v>12172</v>
      </c>
      <c r="D2460" s="12">
        <v>2</v>
      </c>
      <c r="E2460" s="7" t="s">
        <v>12177</v>
      </c>
      <c r="F2460" s="7" t="s">
        <v>12178</v>
      </c>
      <c r="G2460" s="7" t="s">
        <v>653</v>
      </c>
      <c r="H2460" s="7" t="s">
        <v>4676</v>
      </c>
      <c r="I2460" s="7" t="s">
        <v>49</v>
      </c>
      <c r="J2460" s="7" t="s">
        <v>4442</v>
      </c>
      <c r="K2460" s="7" t="s">
        <v>6720</v>
      </c>
      <c r="L2460" s="12">
        <v>1</v>
      </c>
      <c r="M2460" s="7" t="s">
        <v>1892</v>
      </c>
    </row>
    <row r="2461" spans="2:13" ht="37.5" customHeight="1" x14ac:dyDescent="0.35">
      <c r="B2461" s="11">
        <v>142</v>
      </c>
      <c r="C2461" s="5" t="s">
        <v>12172</v>
      </c>
      <c r="D2461" s="11">
        <v>3</v>
      </c>
      <c r="E2461" s="5" t="s">
        <v>12179</v>
      </c>
      <c r="F2461" s="5" t="s">
        <v>12180</v>
      </c>
      <c r="G2461" s="5" t="s">
        <v>788</v>
      </c>
      <c r="H2461" s="5" t="s">
        <v>301</v>
      </c>
      <c r="I2461" s="5" t="s">
        <v>12181</v>
      </c>
      <c r="J2461" s="5" t="s">
        <v>12182</v>
      </c>
      <c r="K2461" s="5" t="s">
        <v>12183</v>
      </c>
      <c r="L2461" s="11">
        <v>2</v>
      </c>
      <c r="M2461" s="5" t="s">
        <v>1892</v>
      </c>
    </row>
    <row r="2462" spans="2:13" ht="52.5" customHeight="1" x14ac:dyDescent="0.35">
      <c r="B2462" s="12">
        <v>142</v>
      </c>
      <c r="C2462" s="7" t="s">
        <v>12172</v>
      </c>
      <c r="D2462" s="12">
        <v>4</v>
      </c>
      <c r="E2462" s="7" t="s">
        <v>12184</v>
      </c>
      <c r="F2462" s="7" t="s">
        <v>12185</v>
      </c>
      <c r="G2462" s="7" t="s">
        <v>249</v>
      </c>
      <c r="H2462" s="7" t="s">
        <v>301</v>
      </c>
      <c r="I2462" s="7" t="s">
        <v>12186</v>
      </c>
      <c r="J2462" s="7" t="s">
        <v>12187</v>
      </c>
      <c r="K2462" s="7" t="s">
        <v>12188</v>
      </c>
      <c r="L2462" s="12">
        <v>3</v>
      </c>
      <c r="M2462" s="7" t="s">
        <v>1892</v>
      </c>
    </row>
    <row r="2463" spans="2:13" ht="37.5" customHeight="1" x14ac:dyDescent="0.35">
      <c r="B2463" s="11">
        <v>142</v>
      </c>
      <c r="C2463" s="5" t="s">
        <v>12172</v>
      </c>
      <c r="D2463" s="11">
        <v>5</v>
      </c>
      <c r="E2463" s="5" t="s">
        <v>12189</v>
      </c>
      <c r="F2463" s="5" t="s">
        <v>12190</v>
      </c>
      <c r="G2463" s="5" t="s">
        <v>856</v>
      </c>
      <c r="H2463" s="5" t="s">
        <v>301</v>
      </c>
      <c r="I2463" s="5" t="s">
        <v>12191</v>
      </c>
      <c r="J2463" s="5" t="s">
        <v>12192</v>
      </c>
      <c r="K2463" s="5" t="s">
        <v>12193</v>
      </c>
      <c r="L2463" s="11">
        <v>2</v>
      </c>
      <c r="M2463" s="5" t="s">
        <v>1892</v>
      </c>
    </row>
    <row r="2464" spans="2:13" ht="37.5" customHeight="1" x14ac:dyDescent="0.35">
      <c r="B2464" s="12">
        <v>142</v>
      </c>
      <c r="C2464" s="7" t="s">
        <v>12172</v>
      </c>
      <c r="D2464" s="12">
        <v>6</v>
      </c>
      <c r="E2464" s="7" t="s">
        <v>12194</v>
      </c>
      <c r="F2464" s="7" t="s">
        <v>12195</v>
      </c>
      <c r="G2464" s="7" t="s">
        <v>249</v>
      </c>
      <c r="H2464" s="7" t="s">
        <v>301</v>
      </c>
      <c r="I2464" s="7" t="s">
        <v>12196</v>
      </c>
      <c r="J2464" s="7" t="s">
        <v>12197</v>
      </c>
      <c r="K2464" s="7" t="s">
        <v>12198</v>
      </c>
      <c r="L2464" s="12">
        <v>2</v>
      </c>
      <c r="M2464" s="7" t="s">
        <v>1892</v>
      </c>
    </row>
    <row r="2465" spans="2:13" ht="37.5" customHeight="1" x14ac:dyDescent="0.35">
      <c r="B2465" s="11">
        <v>142</v>
      </c>
      <c r="C2465" s="5" t="s">
        <v>12172</v>
      </c>
      <c r="D2465" s="11">
        <v>7</v>
      </c>
      <c r="E2465" s="5" t="s">
        <v>12199</v>
      </c>
      <c r="F2465" s="5" t="s">
        <v>12200</v>
      </c>
      <c r="G2465" s="5" t="s">
        <v>439</v>
      </c>
      <c r="H2465" s="5" t="s">
        <v>37</v>
      </c>
      <c r="I2465" s="5" t="s">
        <v>12201</v>
      </c>
      <c r="J2465" s="5" t="s">
        <v>177</v>
      </c>
      <c r="K2465" s="5" t="s">
        <v>12202</v>
      </c>
      <c r="L2465" s="11">
        <v>1</v>
      </c>
      <c r="M2465" s="5" t="s">
        <v>1892</v>
      </c>
    </row>
    <row r="2466" spans="2:13" ht="37.5" customHeight="1" x14ac:dyDescent="0.35">
      <c r="B2466" s="12">
        <v>142</v>
      </c>
      <c r="C2466" s="7" t="s">
        <v>12172</v>
      </c>
      <c r="D2466" s="12">
        <v>8</v>
      </c>
      <c r="E2466" s="7" t="s">
        <v>12203</v>
      </c>
      <c r="F2466" s="7" t="s">
        <v>12204</v>
      </c>
      <c r="G2466" s="7" t="s">
        <v>160</v>
      </c>
      <c r="H2466" s="7" t="s">
        <v>12205</v>
      </c>
      <c r="I2466" s="7" t="s">
        <v>12206</v>
      </c>
      <c r="J2466" s="7" t="s">
        <v>404</v>
      </c>
      <c r="K2466" s="7" t="s">
        <v>12207</v>
      </c>
      <c r="L2466" s="12">
        <v>2</v>
      </c>
      <c r="M2466" s="7" t="s">
        <v>1892</v>
      </c>
    </row>
    <row r="2467" spans="2:13" ht="37.5" customHeight="1" x14ac:dyDescent="0.35">
      <c r="B2467" s="11">
        <v>142</v>
      </c>
      <c r="C2467" s="5" t="s">
        <v>12172</v>
      </c>
      <c r="D2467" s="11">
        <v>9</v>
      </c>
      <c r="E2467" s="5" t="s">
        <v>12208</v>
      </c>
      <c r="F2467" s="5" t="s">
        <v>12209</v>
      </c>
      <c r="G2467" s="5" t="s">
        <v>249</v>
      </c>
      <c r="H2467" s="5" t="s">
        <v>37</v>
      </c>
      <c r="I2467" s="5" t="s">
        <v>1248</v>
      </c>
      <c r="J2467" s="5" t="s">
        <v>663</v>
      </c>
      <c r="K2467" s="5" t="s">
        <v>12210</v>
      </c>
      <c r="L2467" s="11">
        <v>1</v>
      </c>
      <c r="M2467" s="5" t="s">
        <v>1892</v>
      </c>
    </row>
    <row r="2468" spans="2:13" ht="37.5" customHeight="1" x14ac:dyDescent="0.35">
      <c r="B2468" s="12">
        <v>142</v>
      </c>
      <c r="C2468" s="7" t="s">
        <v>12172</v>
      </c>
      <c r="D2468" s="12">
        <v>10</v>
      </c>
      <c r="E2468" s="7" t="s">
        <v>12211</v>
      </c>
      <c r="F2468" s="7" t="s">
        <v>12212</v>
      </c>
      <c r="G2468" s="7" t="s">
        <v>1226</v>
      </c>
      <c r="H2468" s="7" t="s">
        <v>301</v>
      </c>
      <c r="I2468" s="7" t="s">
        <v>12213</v>
      </c>
      <c r="J2468" s="7" t="s">
        <v>4408</v>
      </c>
      <c r="K2468" s="7" t="s">
        <v>12214</v>
      </c>
      <c r="L2468" s="12">
        <v>2</v>
      </c>
      <c r="M2468" s="7" t="s">
        <v>1892</v>
      </c>
    </row>
    <row r="2469" spans="2:13" ht="37.5" customHeight="1" x14ac:dyDescent="0.35">
      <c r="B2469" s="11">
        <v>142</v>
      </c>
      <c r="C2469" s="5" t="s">
        <v>12172</v>
      </c>
      <c r="D2469" s="11">
        <v>11</v>
      </c>
      <c r="E2469" s="5" t="s">
        <v>12215</v>
      </c>
      <c r="F2469" s="5" t="s">
        <v>12216</v>
      </c>
      <c r="G2469" s="5" t="s">
        <v>1252</v>
      </c>
      <c r="H2469" s="5" t="s">
        <v>44</v>
      </c>
      <c r="I2469" s="5" t="s">
        <v>49</v>
      </c>
      <c r="J2469" s="5" t="s">
        <v>4098</v>
      </c>
      <c r="K2469" s="5" t="s">
        <v>10955</v>
      </c>
      <c r="L2469" s="11">
        <v>1</v>
      </c>
      <c r="M2469" s="5" t="s">
        <v>1892</v>
      </c>
    </row>
    <row r="2470" spans="2:13" ht="37.5" customHeight="1" x14ac:dyDescent="0.35">
      <c r="B2470" s="12">
        <v>142</v>
      </c>
      <c r="C2470" s="7" t="s">
        <v>12172</v>
      </c>
      <c r="D2470" s="12">
        <v>12</v>
      </c>
      <c r="E2470" s="7" t="s">
        <v>12217</v>
      </c>
      <c r="F2470" s="7" t="s">
        <v>12218</v>
      </c>
      <c r="G2470" s="7" t="s">
        <v>1244</v>
      </c>
      <c r="H2470" s="7" t="s">
        <v>43</v>
      </c>
      <c r="I2470" s="7" t="s">
        <v>806</v>
      </c>
      <c r="J2470" s="7" t="s">
        <v>213</v>
      </c>
      <c r="K2470" s="7" t="s">
        <v>12219</v>
      </c>
      <c r="L2470" s="12">
        <v>1</v>
      </c>
      <c r="M2470" s="7" t="s">
        <v>1892</v>
      </c>
    </row>
    <row r="2471" spans="2:13" ht="21.75" customHeight="1" x14ac:dyDescent="0.35">
      <c r="B2471" s="11">
        <v>143</v>
      </c>
      <c r="C2471" s="5" t="s">
        <v>12220</v>
      </c>
      <c r="D2471" s="11">
        <v>1</v>
      </c>
      <c r="E2471" s="5" t="s">
        <v>12221</v>
      </c>
      <c r="F2471" s="5" t="s">
        <v>12222</v>
      </c>
      <c r="G2471" s="5" t="s">
        <v>1214</v>
      </c>
      <c r="H2471" s="5" t="s">
        <v>37</v>
      </c>
      <c r="I2471" s="5" t="s">
        <v>49</v>
      </c>
      <c r="J2471" s="5" t="s">
        <v>213</v>
      </c>
      <c r="K2471" s="5" t="s">
        <v>12223</v>
      </c>
      <c r="L2471" s="11">
        <v>1</v>
      </c>
      <c r="M2471" s="5" t="s">
        <v>12224</v>
      </c>
    </row>
    <row r="2472" spans="2:13" ht="37.5" customHeight="1" x14ac:dyDescent="0.35">
      <c r="B2472" s="12">
        <v>144</v>
      </c>
      <c r="C2472" s="7" t="s">
        <v>12225</v>
      </c>
      <c r="D2472" s="12">
        <v>1</v>
      </c>
      <c r="E2472" s="7" t="s">
        <v>12226</v>
      </c>
      <c r="F2472" s="7" t="s">
        <v>12227</v>
      </c>
      <c r="G2472" s="7" t="s">
        <v>1294</v>
      </c>
      <c r="H2472" s="7" t="s">
        <v>37</v>
      </c>
      <c r="I2472" s="7" t="s">
        <v>170</v>
      </c>
      <c r="J2472" s="7" t="s">
        <v>331</v>
      </c>
      <c r="K2472" s="7" t="s">
        <v>5104</v>
      </c>
      <c r="L2472" s="12">
        <v>1</v>
      </c>
      <c r="M2472" s="7" t="s">
        <v>9318</v>
      </c>
    </row>
    <row r="2473" spans="2:13" ht="37.5" customHeight="1" x14ac:dyDescent="0.35">
      <c r="B2473" s="11">
        <v>144</v>
      </c>
      <c r="C2473" s="5" t="s">
        <v>12225</v>
      </c>
      <c r="D2473" s="11">
        <v>2</v>
      </c>
      <c r="E2473" s="5" t="s">
        <v>12228</v>
      </c>
      <c r="F2473" s="5" t="s">
        <v>12229</v>
      </c>
      <c r="G2473" s="5" t="s">
        <v>30</v>
      </c>
      <c r="H2473" s="5" t="s">
        <v>314</v>
      </c>
      <c r="I2473" s="5" t="s">
        <v>295</v>
      </c>
      <c r="J2473" s="5" t="s">
        <v>2257</v>
      </c>
      <c r="K2473" s="5" t="s">
        <v>12230</v>
      </c>
      <c r="L2473" s="11">
        <v>2</v>
      </c>
      <c r="M2473" s="5" t="s">
        <v>9318</v>
      </c>
    </row>
    <row r="2474" spans="2:13" ht="52.5" customHeight="1" x14ac:dyDescent="0.35">
      <c r="B2474" s="12">
        <v>145</v>
      </c>
      <c r="C2474" s="7" t="s">
        <v>12231</v>
      </c>
      <c r="D2474" s="12">
        <v>1</v>
      </c>
      <c r="E2474" s="7" t="s">
        <v>12232</v>
      </c>
      <c r="F2474" s="7" t="s">
        <v>12233</v>
      </c>
      <c r="G2474" s="7" t="s">
        <v>28</v>
      </c>
      <c r="H2474" s="7" t="s">
        <v>6286</v>
      </c>
      <c r="I2474" s="7" t="s">
        <v>12234</v>
      </c>
      <c r="J2474" s="7" t="s">
        <v>10950</v>
      </c>
      <c r="K2474" s="7" t="s">
        <v>12235</v>
      </c>
      <c r="L2474" s="12">
        <v>2</v>
      </c>
      <c r="M2474" s="7"/>
    </row>
    <row r="2475" spans="2:13" ht="37.5" customHeight="1" x14ac:dyDescent="0.35">
      <c r="B2475" s="11">
        <v>145</v>
      </c>
      <c r="C2475" s="5" t="s">
        <v>12231</v>
      </c>
      <c r="D2475" s="11">
        <v>2</v>
      </c>
      <c r="E2475" s="5" t="s">
        <v>12236</v>
      </c>
      <c r="F2475" s="5" t="s">
        <v>12237</v>
      </c>
      <c r="G2475" s="5" t="s">
        <v>32</v>
      </c>
      <c r="H2475" s="5" t="s">
        <v>4752</v>
      </c>
      <c r="I2475" s="5" t="s">
        <v>8409</v>
      </c>
      <c r="J2475" s="5" t="s">
        <v>12238</v>
      </c>
      <c r="K2475" s="5" t="s">
        <v>12239</v>
      </c>
      <c r="L2475" s="11">
        <v>2</v>
      </c>
      <c r="M2475" s="5"/>
    </row>
    <row r="2476" spans="2:13" ht="37.5" customHeight="1" x14ac:dyDescent="0.35">
      <c r="B2476" s="12">
        <v>145</v>
      </c>
      <c r="C2476" s="7" t="s">
        <v>12231</v>
      </c>
      <c r="D2476" s="12">
        <v>3</v>
      </c>
      <c r="E2476" s="7" t="s">
        <v>12240</v>
      </c>
      <c r="F2476" s="7" t="s">
        <v>12241</v>
      </c>
      <c r="G2476" s="7" t="s">
        <v>26</v>
      </c>
      <c r="H2476" s="7" t="s">
        <v>36</v>
      </c>
      <c r="I2476" s="7" t="s">
        <v>48</v>
      </c>
      <c r="J2476" s="7" t="s">
        <v>5394</v>
      </c>
      <c r="K2476" s="7" t="s">
        <v>5395</v>
      </c>
      <c r="L2476" s="12">
        <v>1</v>
      </c>
      <c r="M2476" s="7"/>
    </row>
    <row r="2477" spans="2:13" ht="37.5" customHeight="1" x14ac:dyDescent="0.35">
      <c r="B2477" s="11">
        <v>145</v>
      </c>
      <c r="C2477" s="5" t="s">
        <v>12231</v>
      </c>
      <c r="D2477" s="11">
        <v>4</v>
      </c>
      <c r="E2477" s="5" t="s">
        <v>12242</v>
      </c>
      <c r="F2477" s="5" t="s">
        <v>12243</v>
      </c>
      <c r="G2477" s="5" t="s">
        <v>25</v>
      </c>
      <c r="H2477" s="5" t="s">
        <v>301</v>
      </c>
      <c r="I2477" s="5" t="s">
        <v>12244</v>
      </c>
      <c r="J2477" s="5" t="s">
        <v>12245</v>
      </c>
      <c r="K2477" s="5" t="s">
        <v>12246</v>
      </c>
      <c r="L2477" s="11">
        <v>2</v>
      </c>
      <c r="M2477" s="5"/>
    </row>
    <row r="2478" spans="2:13" ht="37.5" customHeight="1" x14ac:dyDescent="0.35">
      <c r="B2478" s="12">
        <v>145</v>
      </c>
      <c r="C2478" s="7" t="s">
        <v>12231</v>
      </c>
      <c r="D2478" s="12">
        <v>5</v>
      </c>
      <c r="E2478" s="7" t="s">
        <v>12247</v>
      </c>
      <c r="F2478" s="7" t="s">
        <v>12248</v>
      </c>
      <c r="G2478" s="7" t="s">
        <v>713</v>
      </c>
      <c r="H2478" s="7" t="s">
        <v>44</v>
      </c>
      <c r="I2478" s="7" t="s">
        <v>49</v>
      </c>
      <c r="J2478" s="7" t="s">
        <v>4098</v>
      </c>
      <c r="K2478" s="7" t="s">
        <v>10955</v>
      </c>
      <c r="L2478" s="12">
        <v>1</v>
      </c>
      <c r="M2478" s="7"/>
    </row>
    <row r="2479" spans="2:13" ht="37.5" customHeight="1" x14ac:dyDescent="0.35">
      <c r="B2479" s="11">
        <v>145</v>
      </c>
      <c r="C2479" s="5" t="s">
        <v>12231</v>
      </c>
      <c r="D2479" s="11">
        <v>6</v>
      </c>
      <c r="E2479" s="5" t="s">
        <v>12249</v>
      </c>
      <c r="F2479" s="5" t="s">
        <v>12250</v>
      </c>
      <c r="G2479" s="5" t="s">
        <v>956</v>
      </c>
      <c r="H2479" s="5" t="s">
        <v>41</v>
      </c>
      <c r="I2479" s="5" t="s">
        <v>49</v>
      </c>
      <c r="J2479" s="5" t="s">
        <v>1004</v>
      </c>
      <c r="K2479" s="5" t="s">
        <v>5073</v>
      </c>
      <c r="L2479" s="11">
        <v>1</v>
      </c>
      <c r="M2479" s="5"/>
    </row>
    <row r="2480" spans="2:13" ht="37.5" customHeight="1" x14ac:dyDescent="0.35">
      <c r="B2480" s="12">
        <v>145</v>
      </c>
      <c r="C2480" s="7" t="s">
        <v>12231</v>
      </c>
      <c r="D2480" s="12">
        <v>7</v>
      </c>
      <c r="E2480" s="7" t="s">
        <v>12251</v>
      </c>
      <c r="F2480" s="7" t="s">
        <v>12252</v>
      </c>
      <c r="G2480" s="7" t="s">
        <v>1244</v>
      </c>
      <c r="H2480" s="7" t="s">
        <v>39</v>
      </c>
      <c r="I2480" s="7" t="s">
        <v>714</v>
      </c>
      <c r="J2480" s="7" t="s">
        <v>6755</v>
      </c>
      <c r="K2480" s="7" t="s">
        <v>12253</v>
      </c>
      <c r="L2480" s="12">
        <v>1</v>
      </c>
      <c r="M2480" s="7"/>
    </row>
    <row r="2481" spans="2:13" ht="37.5" customHeight="1" x14ac:dyDescent="0.35">
      <c r="B2481" s="11">
        <v>145</v>
      </c>
      <c r="C2481" s="5" t="s">
        <v>12231</v>
      </c>
      <c r="D2481" s="11">
        <v>8</v>
      </c>
      <c r="E2481" s="5" t="s">
        <v>12254</v>
      </c>
      <c r="F2481" s="5" t="s">
        <v>12255</v>
      </c>
      <c r="G2481" s="5" t="s">
        <v>30</v>
      </c>
      <c r="H2481" s="5" t="s">
        <v>306</v>
      </c>
      <c r="I2481" s="5" t="s">
        <v>5143</v>
      </c>
      <c r="J2481" s="5" t="s">
        <v>12256</v>
      </c>
      <c r="K2481" s="5" t="s">
        <v>12257</v>
      </c>
      <c r="L2481" s="11">
        <v>2</v>
      </c>
      <c r="M2481" s="5"/>
    </row>
    <row r="2482" spans="2:13" ht="52.5" customHeight="1" x14ac:dyDescent="0.35">
      <c r="B2482" s="12">
        <v>145</v>
      </c>
      <c r="C2482" s="7" t="s">
        <v>12231</v>
      </c>
      <c r="D2482" s="12">
        <v>9</v>
      </c>
      <c r="E2482" s="7" t="s">
        <v>12258</v>
      </c>
      <c r="F2482" s="7" t="s">
        <v>12259</v>
      </c>
      <c r="G2482" s="7" t="s">
        <v>1196</v>
      </c>
      <c r="H2482" s="7" t="s">
        <v>12260</v>
      </c>
      <c r="I2482" s="7" t="s">
        <v>12261</v>
      </c>
      <c r="J2482" s="7" t="s">
        <v>12262</v>
      </c>
      <c r="K2482" s="7" t="s">
        <v>12263</v>
      </c>
      <c r="L2482" s="12">
        <v>3</v>
      </c>
      <c r="M2482" s="7"/>
    </row>
    <row r="2483" spans="2:13" ht="37.5" customHeight="1" x14ac:dyDescent="0.35">
      <c r="B2483" s="11">
        <v>145</v>
      </c>
      <c r="C2483" s="5" t="s">
        <v>12231</v>
      </c>
      <c r="D2483" s="11">
        <v>10</v>
      </c>
      <c r="E2483" s="5" t="s">
        <v>12264</v>
      </c>
      <c r="F2483" s="5" t="s">
        <v>12265</v>
      </c>
      <c r="G2483" s="5" t="s">
        <v>1961</v>
      </c>
      <c r="H2483" s="5" t="s">
        <v>306</v>
      </c>
      <c r="I2483" s="5" t="s">
        <v>5143</v>
      </c>
      <c r="J2483" s="5" t="s">
        <v>12266</v>
      </c>
      <c r="K2483" s="5" t="s">
        <v>12267</v>
      </c>
      <c r="L2483" s="11">
        <v>2</v>
      </c>
      <c r="M2483" s="5"/>
    </row>
    <row r="2484" spans="2:13" ht="37.5" customHeight="1" x14ac:dyDescent="0.35">
      <c r="B2484" s="12">
        <v>146</v>
      </c>
      <c r="C2484" s="7" t="s">
        <v>12268</v>
      </c>
      <c r="D2484" s="12">
        <v>1</v>
      </c>
      <c r="E2484" s="7" t="s">
        <v>12269</v>
      </c>
      <c r="F2484" s="7" t="s">
        <v>12270</v>
      </c>
      <c r="G2484" s="7" t="s">
        <v>25</v>
      </c>
      <c r="H2484" s="7" t="s">
        <v>4662</v>
      </c>
      <c r="I2484" s="7" t="s">
        <v>12271</v>
      </c>
      <c r="J2484" s="7" t="s">
        <v>12272</v>
      </c>
      <c r="K2484" s="7" t="s">
        <v>12273</v>
      </c>
      <c r="L2484" s="12">
        <v>2</v>
      </c>
      <c r="M2484" s="7"/>
    </row>
    <row r="2485" spans="2:13" ht="37.5" customHeight="1" x14ac:dyDescent="0.35">
      <c r="B2485" s="11">
        <v>146</v>
      </c>
      <c r="C2485" s="5" t="s">
        <v>12268</v>
      </c>
      <c r="D2485" s="11">
        <v>2</v>
      </c>
      <c r="E2485" s="5" t="s">
        <v>12274</v>
      </c>
      <c r="F2485" s="5" t="s">
        <v>12275</v>
      </c>
      <c r="G2485" s="5" t="s">
        <v>457</v>
      </c>
      <c r="H2485" s="5" t="s">
        <v>4996</v>
      </c>
      <c r="I2485" s="5" t="s">
        <v>4643</v>
      </c>
      <c r="J2485" s="5" t="s">
        <v>2257</v>
      </c>
      <c r="K2485" s="5" t="s">
        <v>12276</v>
      </c>
      <c r="L2485" s="11">
        <v>2</v>
      </c>
      <c r="M2485" s="5"/>
    </row>
    <row r="2486" spans="2:13" ht="37.5" customHeight="1" x14ac:dyDescent="0.35">
      <c r="B2486" s="12">
        <v>146</v>
      </c>
      <c r="C2486" s="7" t="s">
        <v>12268</v>
      </c>
      <c r="D2486" s="12">
        <v>3</v>
      </c>
      <c r="E2486" s="7" t="s">
        <v>12277</v>
      </c>
      <c r="F2486" s="7" t="s">
        <v>12278</v>
      </c>
      <c r="G2486" s="7" t="s">
        <v>993</v>
      </c>
      <c r="H2486" s="7" t="s">
        <v>4662</v>
      </c>
      <c r="I2486" s="7" t="s">
        <v>6748</v>
      </c>
      <c r="J2486" s="7" t="s">
        <v>1107</v>
      </c>
      <c r="K2486" s="7" t="s">
        <v>12279</v>
      </c>
      <c r="L2486" s="12">
        <v>2</v>
      </c>
      <c r="M2486" s="7"/>
    </row>
    <row r="2487" spans="2:13" ht="52.5" customHeight="1" x14ac:dyDescent="0.35">
      <c r="B2487" s="11">
        <v>147</v>
      </c>
      <c r="C2487" s="5" t="s">
        <v>12280</v>
      </c>
      <c r="D2487" s="11">
        <v>1</v>
      </c>
      <c r="E2487" s="5" t="s">
        <v>12281</v>
      </c>
      <c r="F2487" s="5" t="s">
        <v>12282</v>
      </c>
      <c r="G2487" s="5" t="s">
        <v>25</v>
      </c>
      <c r="H2487" s="5" t="s">
        <v>40</v>
      </c>
      <c r="I2487" s="5" t="s">
        <v>54</v>
      </c>
      <c r="J2487" s="5" t="s">
        <v>213</v>
      </c>
      <c r="K2487" s="5" t="s">
        <v>254</v>
      </c>
      <c r="L2487" s="11">
        <v>1</v>
      </c>
      <c r="M2487" s="5"/>
    </row>
    <row r="2488" spans="2:13" ht="52.5" customHeight="1" x14ac:dyDescent="0.35">
      <c r="B2488" s="12">
        <v>147</v>
      </c>
      <c r="C2488" s="7" t="s">
        <v>12280</v>
      </c>
      <c r="D2488" s="12">
        <v>2</v>
      </c>
      <c r="E2488" s="7" t="s">
        <v>12283</v>
      </c>
      <c r="F2488" s="7" t="s">
        <v>12284</v>
      </c>
      <c r="G2488" s="7" t="s">
        <v>26</v>
      </c>
      <c r="H2488" s="7" t="s">
        <v>152</v>
      </c>
      <c r="I2488" s="7" t="s">
        <v>49</v>
      </c>
      <c r="J2488" s="7" t="s">
        <v>12285</v>
      </c>
      <c r="K2488" s="7" t="s">
        <v>12286</v>
      </c>
      <c r="L2488" s="12">
        <v>1</v>
      </c>
      <c r="M2488" s="7"/>
    </row>
    <row r="2489" spans="2:13" ht="21.75" customHeight="1" x14ac:dyDescent="0.35">
      <c r="B2489" s="11">
        <v>148</v>
      </c>
      <c r="C2489" s="5" t="s">
        <v>12287</v>
      </c>
      <c r="D2489" s="11">
        <v>1</v>
      </c>
      <c r="E2489" s="5" t="s">
        <v>12288</v>
      </c>
      <c r="F2489" s="5" t="s">
        <v>12289</v>
      </c>
      <c r="G2489" s="5" t="s">
        <v>32</v>
      </c>
      <c r="H2489" s="5" t="s">
        <v>41</v>
      </c>
      <c r="I2489" s="5" t="s">
        <v>49</v>
      </c>
      <c r="J2489" s="5" t="s">
        <v>213</v>
      </c>
      <c r="K2489" s="5" t="s">
        <v>214</v>
      </c>
      <c r="L2489" s="11">
        <v>1</v>
      </c>
      <c r="M2489" s="5" t="s">
        <v>6348</v>
      </c>
    </row>
    <row r="2490" spans="2:13" ht="21.75" customHeight="1" x14ac:dyDescent="0.35">
      <c r="B2490" s="12">
        <v>148</v>
      </c>
      <c r="C2490" s="7" t="s">
        <v>12287</v>
      </c>
      <c r="D2490" s="12">
        <v>2</v>
      </c>
      <c r="E2490" s="7" t="s">
        <v>12290</v>
      </c>
      <c r="F2490" s="7" t="s">
        <v>12291</v>
      </c>
      <c r="G2490" s="7" t="s">
        <v>457</v>
      </c>
      <c r="H2490" s="7" t="s">
        <v>39</v>
      </c>
      <c r="I2490" s="7" t="s">
        <v>8885</v>
      </c>
      <c r="J2490" s="7" t="s">
        <v>12292</v>
      </c>
      <c r="K2490" s="7" t="s">
        <v>12293</v>
      </c>
      <c r="L2490" s="12">
        <v>1</v>
      </c>
      <c r="M2490" s="7" t="s">
        <v>6348</v>
      </c>
    </row>
    <row r="2491" spans="2:13" ht="21.75" customHeight="1" x14ac:dyDescent="0.35">
      <c r="B2491" s="11">
        <v>148</v>
      </c>
      <c r="C2491" s="5" t="s">
        <v>12287</v>
      </c>
      <c r="D2491" s="11">
        <v>3</v>
      </c>
      <c r="E2491" s="5" t="s">
        <v>12294</v>
      </c>
      <c r="F2491" s="5" t="s">
        <v>12295</v>
      </c>
      <c r="G2491" s="5" t="s">
        <v>1244</v>
      </c>
      <c r="H2491" s="5" t="s">
        <v>41</v>
      </c>
      <c r="I2491" s="5" t="s">
        <v>49</v>
      </c>
      <c r="J2491" s="5" t="s">
        <v>154</v>
      </c>
      <c r="K2491" s="5" t="s">
        <v>12296</v>
      </c>
      <c r="L2491" s="11">
        <v>1</v>
      </c>
      <c r="M2491" s="5" t="s">
        <v>6348</v>
      </c>
    </row>
    <row r="2492" spans="2:13" ht="37.5" customHeight="1" x14ac:dyDescent="0.35">
      <c r="B2492" s="12">
        <v>149</v>
      </c>
      <c r="C2492" s="7" t="s">
        <v>12297</v>
      </c>
      <c r="D2492" s="12">
        <v>1</v>
      </c>
      <c r="E2492" s="7" t="s">
        <v>12298</v>
      </c>
      <c r="F2492" s="7" t="s">
        <v>12299</v>
      </c>
      <c r="G2492" s="7" t="s">
        <v>29</v>
      </c>
      <c r="H2492" s="7" t="s">
        <v>43</v>
      </c>
      <c r="I2492" s="7" t="s">
        <v>806</v>
      </c>
      <c r="J2492" s="7" t="s">
        <v>2875</v>
      </c>
      <c r="K2492" s="7" t="s">
        <v>2881</v>
      </c>
      <c r="L2492" s="12">
        <v>1</v>
      </c>
      <c r="M2492" s="7"/>
    </row>
    <row r="2493" spans="2:13" ht="37.5" customHeight="1" x14ac:dyDescent="0.35">
      <c r="B2493" s="11">
        <v>150</v>
      </c>
      <c r="C2493" s="5" t="s">
        <v>12300</v>
      </c>
      <c r="D2493" s="11">
        <v>1</v>
      </c>
      <c r="E2493" s="5" t="s">
        <v>12301</v>
      </c>
      <c r="F2493" s="5" t="s">
        <v>12302</v>
      </c>
      <c r="G2493" s="5" t="s">
        <v>3283</v>
      </c>
      <c r="H2493" s="5" t="s">
        <v>36</v>
      </c>
      <c r="I2493" s="5" t="s">
        <v>48</v>
      </c>
      <c r="J2493" s="5" t="s">
        <v>5531</v>
      </c>
      <c r="K2493" s="5" t="s">
        <v>6710</v>
      </c>
      <c r="L2493" s="11">
        <v>1</v>
      </c>
      <c r="M2493" s="5"/>
    </row>
    <row r="2494" spans="2:13" ht="37.5" customHeight="1" x14ac:dyDescent="0.35">
      <c r="B2494" s="12">
        <v>151</v>
      </c>
      <c r="C2494" s="7" t="s">
        <v>12303</v>
      </c>
      <c r="D2494" s="12">
        <v>1</v>
      </c>
      <c r="E2494" s="7" t="s">
        <v>12304</v>
      </c>
      <c r="F2494" s="7" t="s">
        <v>12305</v>
      </c>
      <c r="G2494" s="7" t="s">
        <v>9316</v>
      </c>
      <c r="H2494" s="7" t="s">
        <v>12306</v>
      </c>
      <c r="I2494" s="7" t="s">
        <v>11013</v>
      </c>
      <c r="J2494" s="7" t="s">
        <v>7178</v>
      </c>
      <c r="K2494" s="7" t="s">
        <v>12307</v>
      </c>
      <c r="L2494" s="12">
        <v>1</v>
      </c>
      <c r="M2494" s="7" t="s">
        <v>156</v>
      </c>
    </row>
    <row r="2495" spans="2:13" ht="37.5" customHeight="1" x14ac:dyDescent="0.35">
      <c r="B2495" s="11">
        <v>152</v>
      </c>
      <c r="C2495" s="5" t="s">
        <v>12308</v>
      </c>
      <c r="D2495" s="11">
        <v>1</v>
      </c>
      <c r="E2495" s="5" t="s">
        <v>12309</v>
      </c>
      <c r="F2495" s="5" t="s">
        <v>12310</v>
      </c>
      <c r="G2495" s="5" t="s">
        <v>2919</v>
      </c>
      <c r="H2495" s="5" t="s">
        <v>36</v>
      </c>
      <c r="I2495" s="5" t="s">
        <v>5409</v>
      </c>
      <c r="J2495" s="5" t="s">
        <v>2617</v>
      </c>
      <c r="K2495" s="5" t="s">
        <v>12311</v>
      </c>
      <c r="L2495" s="11">
        <v>1</v>
      </c>
      <c r="M2495" s="5" t="s">
        <v>9791</v>
      </c>
    </row>
    <row r="2496" spans="2:13" ht="37.5" customHeight="1" x14ac:dyDescent="0.35">
      <c r="B2496" s="12">
        <v>153</v>
      </c>
      <c r="C2496" s="7" t="s">
        <v>12312</v>
      </c>
      <c r="D2496" s="12">
        <v>1</v>
      </c>
      <c r="E2496" s="7" t="s">
        <v>12313</v>
      </c>
      <c r="F2496" s="7" t="s">
        <v>12314</v>
      </c>
      <c r="G2496" s="7" t="s">
        <v>2341</v>
      </c>
      <c r="H2496" s="7" t="s">
        <v>36</v>
      </c>
      <c r="I2496" s="7" t="s">
        <v>48</v>
      </c>
      <c r="J2496" s="7" t="s">
        <v>5400</v>
      </c>
      <c r="K2496" s="7" t="s">
        <v>12315</v>
      </c>
      <c r="L2496" s="12">
        <v>1</v>
      </c>
      <c r="M2496" s="7"/>
    </row>
    <row r="2497" spans="2:13" ht="37.5" customHeight="1" x14ac:dyDescent="0.35">
      <c r="B2497" s="11">
        <v>154</v>
      </c>
      <c r="C2497" s="5" t="s">
        <v>12316</v>
      </c>
      <c r="D2497" s="11">
        <v>1</v>
      </c>
      <c r="E2497" s="5" t="s">
        <v>12317</v>
      </c>
      <c r="F2497" s="5" t="s">
        <v>12318</v>
      </c>
      <c r="G2497" s="5" t="s">
        <v>237</v>
      </c>
      <c r="H2497" s="5" t="s">
        <v>36</v>
      </c>
      <c r="I2497" s="5" t="s">
        <v>48</v>
      </c>
      <c r="J2497" s="5" t="s">
        <v>12319</v>
      </c>
      <c r="K2497" s="5" t="s">
        <v>12320</v>
      </c>
      <c r="L2497" s="11">
        <v>1</v>
      </c>
      <c r="M2497" s="5" t="s">
        <v>7693</v>
      </c>
    </row>
    <row r="2498" spans="2:13" ht="37.5" customHeight="1" x14ac:dyDescent="0.35">
      <c r="B2498" s="12">
        <v>155</v>
      </c>
      <c r="C2498" s="7" t="s">
        <v>12321</v>
      </c>
      <c r="D2498" s="12">
        <v>1</v>
      </c>
      <c r="E2498" s="7" t="s">
        <v>12322</v>
      </c>
      <c r="F2498" s="7" t="s">
        <v>12323</v>
      </c>
      <c r="G2498" s="7" t="s">
        <v>595</v>
      </c>
      <c r="H2498" s="7" t="s">
        <v>37</v>
      </c>
      <c r="I2498" s="7" t="s">
        <v>51</v>
      </c>
      <c r="J2498" s="7" t="s">
        <v>194</v>
      </c>
      <c r="K2498" s="7" t="s">
        <v>5169</v>
      </c>
      <c r="L2498" s="12">
        <v>1</v>
      </c>
      <c r="M2498" s="7" t="s">
        <v>1892</v>
      </c>
    </row>
    <row r="2499" spans="2:13" ht="52.5" customHeight="1" x14ac:dyDescent="0.35">
      <c r="B2499" s="11">
        <v>156</v>
      </c>
      <c r="C2499" s="5" t="s">
        <v>12324</v>
      </c>
      <c r="D2499" s="11">
        <v>1</v>
      </c>
      <c r="E2499" s="5" t="s">
        <v>12325</v>
      </c>
      <c r="F2499" s="5" t="s">
        <v>12326</v>
      </c>
      <c r="G2499" s="5" t="s">
        <v>319</v>
      </c>
      <c r="H2499" s="5" t="s">
        <v>37</v>
      </c>
      <c r="I2499" s="5" t="s">
        <v>170</v>
      </c>
      <c r="J2499" s="5" t="s">
        <v>5404</v>
      </c>
      <c r="K2499" s="5" t="s">
        <v>12327</v>
      </c>
      <c r="L2499" s="11">
        <v>1</v>
      </c>
      <c r="M2499" s="5" t="s">
        <v>173</v>
      </c>
    </row>
    <row r="2500" spans="2:13" ht="52.5" customHeight="1" x14ac:dyDescent="0.35">
      <c r="B2500" s="12">
        <v>156</v>
      </c>
      <c r="C2500" s="7" t="s">
        <v>12324</v>
      </c>
      <c r="D2500" s="12">
        <v>2</v>
      </c>
      <c r="E2500" s="7" t="s">
        <v>12328</v>
      </c>
      <c r="F2500" s="7" t="s">
        <v>12329</v>
      </c>
      <c r="G2500" s="7" t="s">
        <v>217</v>
      </c>
      <c r="H2500" s="7" t="s">
        <v>37</v>
      </c>
      <c r="I2500" s="7" t="s">
        <v>170</v>
      </c>
      <c r="J2500" s="7" t="s">
        <v>5404</v>
      </c>
      <c r="K2500" s="7" t="s">
        <v>12327</v>
      </c>
      <c r="L2500" s="12">
        <v>1</v>
      </c>
      <c r="M2500" s="7" t="s">
        <v>173</v>
      </c>
    </row>
    <row r="2501" spans="2:13" ht="52.5" customHeight="1" x14ac:dyDescent="0.35">
      <c r="B2501" s="11">
        <v>157</v>
      </c>
      <c r="C2501" s="5" t="s">
        <v>12330</v>
      </c>
      <c r="D2501" s="11">
        <v>1</v>
      </c>
      <c r="E2501" s="5" t="s">
        <v>12331</v>
      </c>
      <c r="F2501" s="5" t="s">
        <v>12332</v>
      </c>
      <c r="G2501" s="5" t="s">
        <v>244</v>
      </c>
      <c r="H2501" s="5" t="s">
        <v>1943</v>
      </c>
      <c r="I2501" s="5" t="s">
        <v>49</v>
      </c>
      <c r="J2501" s="5" t="s">
        <v>213</v>
      </c>
      <c r="K2501" s="5" t="s">
        <v>5428</v>
      </c>
      <c r="L2501" s="11">
        <v>1</v>
      </c>
      <c r="M2501" s="5" t="s">
        <v>1892</v>
      </c>
    </row>
    <row r="2502" spans="2:13" ht="37.5" customHeight="1" x14ac:dyDescent="0.35">
      <c r="B2502" s="12">
        <v>158</v>
      </c>
      <c r="C2502" s="7" t="s">
        <v>12333</v>
      </c>
      <c r="D2502" s="12">
        <v>1</v>
      </c>
      <c r="E2502" s="7" t="s">
        <v>12334</v>
      </c>
      <c r="F2502" s="7" t="s">
        <v>8181</v>
      </c>
      <c r="G2502" s="7" t="s">
        <v>421</v>
      </c>
      <c r="H2502" s="7" t="s">
        <v>1561</v>
      </c>
      <c r="I2502" s="7" t="s">
        <v>12335</v>
      </c>
      <c r="J2502" s="7" t="s">
        <v>12336</v>
      </c>
      <c r="K2502" s="7" t="s">
        <v>12337</v>
      </c>
      <c r="L2502" s="12">
        <v>1</v>
      </c>
      <c r="M2502" s="7" t="s">
        <v>9791</v>
      </c>
    </row>
    <row r="2503" spans="2:13" ht="37.5" customHeight="1" x14ac:dyDescent="0.35">
      <c r="B2503" s="11">
        <v>159</v>
      </c>
      <c r="C2503" s="5" t="s">
        <v>12338</v>
      </c>
      <c r="D2503" s="11">
        <v>1</v>
      </c>
      <c r="E2503" s="5" t="s">
        <v>12339</v>
      </c>
      <c r="F2503" s="5" t="s">
        <v>12340</v>
      </c>
      <c r="G2503" s="5" t="s">
        <v>29</v>
      </c>
      <c r="H2503" s="5" t="s">
        <v>5017</v>
      </c>
      <c r="I2503" s="5" t="s">
        <v>5018</v>
      </c>
      <c r="J2503" s="5" t="s">
        <v>2595</v>
      </c>
      <c r="K2503" s="5" t="s">
        <v>11631</v>
      </c>
      <c r="L2503" s="11">
        <v>2</v>
      </c>
      <c r="M2503" s="5"/>
    </row>
    <row r="2504" spans="2:13" ht="37.5" customHeight="1" x14ac:dyDescent="0.35">
      <c r="B2504" s="12">
        <v>160</v>
      </c>
      <c r="C2504" s="7" t="s">
        <v>12341</v>
      </c>
      <c r="D2504" s="12">
        <v>1</v>
      </c>
      <c r="E2504" s="7" t="s">
        <v>12342</v>
      </c>
      <c r="F2504" s="7" t="s">
        <v>12343</v>
      </c>
      <c r="G2504" s="7" t="s">
        <v>26</v>
      </c>
      <c r="H2504" s="7" t="s">
        <v>42</v>
      </c>
      <c r="I2504" s="7" t="s">
        <v>5433</v>
      </c>
      <c r="J2504" s="7" t="s">
        <v>12344</v>
      </c>
      <c r="K2504" s="7" t="s">
        <v>12345</v>
      </c>
      <c r="L2504" s="12">
        <v>1</v>
      </c>
      <c r="M2504" s="7" t="s">
        <v>1892</v>
      </c>
    </row>
    <row r="2505" spans="2:13" ht="25.5" customHeight="1" x14ac:dyDescent="0.35">
      <c r="B2505" s="9" t="s">
        <v>978</v>
      </c>
      <c r="C2505" s="9"/>
      <c r="D2505" s="9"/>
      <c r="E2505" s="16">
        <f>SUBTOTAL(103,E5:E2504)</f>
        <v>2500</v>
      </c>
      <c r="F2505" s="9"/>
      <c r="G2505" s="9"/>
      <c r="H2505" s="9"/>
      <c r="I2505" s="9"/>
      <c r="J2505" s="9"/>
      <c r="K2505" s="9"/>
      <c r="L2505" s="16">
        <f>SUBTOTAL(109,L5:L2504)</f>
        <v>3589</v>
      </c>
    </row>
    <row r="2507" spans="2:13" x14ac:dyDescent="0.2">
      <c r="B2507" s="17" t="s">
        <v>979</v>
      </c>
    </row>
  </sheetData>
  <autoFilter ref="B4:M2504" xr:uid="{00000000-0009-0000-0000-000004000000}"/>
  <mergeCells count="1"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899"/>
  <sheetViews>
    <sheetView showGridLines="0" zoomScale="90" zoomScaleNormal="90" workbookViewId="0">
      <pane xSplit="1" ySplit="4" topLeftCell="B5" activePane="bottomRight" state="frozen"/>
      <selection pane="bottomLeft" activeCell="A5" sqref="A5"/>
      <selection pane="topRight" activeCell="B1" sqref="B1"/>
      <selection pane="bottomRight"/>
    </sheetView>
  </sheetViews>
  <sheetFormatPr defaultColWidth="8.7421875" defaultRowHeight="15" customHeight="1" x14ac:dyDescent="0.2"/>
  <cols>
    <col min="1" max="1" width="2.95703125" customWidth="1"/>
    <col min="2" max="2" width="9.953125" customWidth="1"/>
    <col min="3" max="3" width="25.9609375" customWidth="1"/>
    <col min="4" max="4" width="9.953125" customWidth="1"/>
    <col min="5" max="5" width="23.9453125" customWidth="1"/>
    <col min="6" max="6" width="13.98828125" customWidth="1"/>
    <col min="7" max="7" width="25.9609375" customWidth="1"/>
    <col min="8" max="8" width="20.04296875" customWidth="1"/>
    <col min="9" max="9" width="23.9453125" customWidth="1"/>
    <col min="10" max="10" width="20.04296875" customWidth="1"/>
    <col min="11" max="11" width="46.00390625" customWidth="1"/>
    <col min="12" max="12" width="9.953125" customWidth="1"/>
    <col min="13" max="13" width="11.97265625" customWidth="1"/>
  </cols>
  <sheetData>
    <row r="2" spans="2:13" ht="31.5" customHeight="1" x14ac:dyDescent="0.2">
      <c r="B2" s="18" t="s">
        <v>12346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ht="7.5" customHeight="1" x14ac:dyDescent="0.2"/>
    <row r="4" spans="2:13" ht="27.75" customHeight="1" x14ac:dyDescent="0.35">
      <c r="B4" s="4" t="s">
        <v>93</v>
      </c>
      <c r="C4" s="4" t="s">
        <v>95</v>
      </c>
      <c r="D4" s="4" t="s">
        <v>97</v>
      </c>
      <c r="E4" s="4" t="s">
        <v>99</v>
      </c>
      <c r="F4" s="4" t="s">
        <v>101</v>
      </c>
      <c r="G4" s="4" t="s">
        <v>103</v>
      </c>
      <c r="H4" s="4" t="s">
        <v>105</v>
      </c>
      <c r="I4" s="4" t="s">
        <v>107</v>
      </c>
      <c r="J4" s="4" t="s">
        <v>109</v>
      </c>
      <c r="K4" s="4" t="s">
        <v>111</v>
      </c>
      <c r="L4" s="4" t="s">
        <v>113</v>
      </c>
      <c r="M4" s="4" t="s">
        <v>147</v>
      </c>
    </row>
    <row r="5" spans="2:13" ht="37.5" customHeight="1" x14ac:dyDescent="0.35">
      <c r="B5" s="11">
        <v>1</v>
      </c>
      <c r="C5" s="5" t="s">
        <v>12347</v>
      </c>
      <c r="D5" s="11">
        <v>1</v>
      </c>
      <c r="E5" s="5" t="s">
        <v>12348</v>
      </c>
      <c r="F5" s="5" t="s">
        <v>12349</v>
      </c>
      <c r="G5" s="5" t="s">
        <v>414</v>
      </c>
      <c r="H5" s="5" t="s">
        <v>37</v>
      </c>
      <c r="I5" s="5" t="s">
        <v>12350</v>
      </c>
      <c r="J5" s="5" t="s">
        <v>12351</v>
      </c>
      <c r="K5" s="5" t="s">
        <v>12352</v>
      </c>
      <c r="L5" s="11">
        <v>1</v>
      </c>
      <c r="M5" s="5" t="s">
        <v>12353</v>
      </c>
    </row>
    <row r="6" spans="2:13" ht="37.5" customHeight="1" x14ac:dyDescent="0.35">
      <c r="B6" s="12">
        <v>1</v>
      </c>
      <c r="C6" s="7" t="s">
        <v>12347</v>
      </c>
      <c r="D6" s="12">
        <v>2</v>
      </c>
      <c r="E6" s="7" t="s">
        <v>12354</v>
      </c>
      <c r="F6" s="7" t="s">
        <v>12355</v>
      </c>
      <c r="G6" s="7" t="s">
        <v>12356</v>
      </c>
      <c r="H6" s="7" t="s">
        <v>37</v>
      </c>
      <c r="I6" s="7" t="s">
        <v>12357</v>
      </c>
      <c r="J6" s="7" t="s">
        <v>12358</v>
      </c>
      <c r="K6" s="7" t="s">
        <v>12359</v>
      </c>
      <c r="L6" s="12">
        <v>1</v>
      </c>
      <c r="M6" s="7" t="s">
        <v>12353</v>
      </c>
    </row>
    <row r="7" spans="2:13" ht="52.5" customHeight="1" x14ac:dyDescent="0.35">
      <c r="B7" s="11">
        <v>1</v>
      </c>
      <c r="C7" s="5" t="s">
        <v>12347</v>
      </c>
      <c r="D7" s="11">
        <v>3</v>
      </c>
      <c r="E7" s="5" t="s">
        <v>12360</v>
      </c>
      <c r="F7" s="5" t="s">
        <v>12361</v>
      </c>
      <c r="G7" s="5" t="s">
        <v>24</v>
      </c>
      <c r="H7" s="5" t="s">
        <v>3968</v>
      </c>
      <c r="I7" s="5" t="s">
        <v>12362</v>
      </c>
      <c r="J7" s="5" t="s">
        <v>12358</v>
      </c>
      <c r="K7" s="5" t="s">
        <v>12363</v>
      </c>
      <c r="L7" s="11">
        <v>2</v>
      </c>
      <c r="M7" s="5" t="s">
        <v>12353</v>
      </c>
    </row>
    <row r="8" spans="2:13" ht="21.75" customHeight="1" x14ac:dyDescent="0.35">
      <c r="B8" s="12">
        <v>1</v>
      </c>
      <c r="C8" s="7" t="s">
        <v>12347</v>
      </c>
      <c r="D8" s="12">
        <v>4</v>
      </c>
      <c r="E8" s="7" t="s">
        <v>12364</v>
      </c>
      <c r="F8" s="7" t="s">
        <v>12365</v>
      </c>
      <c r="G8" s="7" t="s">
        <v>188</v>
      </c>
      <c r="H8" s="7" t="s">
        <v>37</v>
      </c>
      <c r="I8" s="7" t="s">
        <v>12357</v>
      </c>
      <c r="J8" s="7" t="s">
        <v>12358</v>
      </c>
      <c r="K8" s="7" t="s">
        <v>12359</v>
      </c>
      <c r="L8" s="12">
        <v>1</v>
      </c>
      <c r="M8" s="7" t="s">
        <v>12353</v>
      </c>
    </row>
    <row r="9" spans="2:13" ht="67.5" customHeight="1" x14ac:dyDescent="0.35">
      <c r="B9" s="11">
        <v>1</v>
      </c>
      <c r="C9" s="5" t="s">
        <v>12347</v>
      </c>
      <c r="D9" s="11">
        <v>5</v>
      </c>
      <c r="E9" s="5" t="s">
        <v>12366</v>
      </c>
      <c r="F9" s="5" t="s">
        <v>12367</v>
      </c>
      <c r="G9" s="5" t="s">
        <v>5418</v>
      </c>
      <c r="H9" s="5" t="s">
        <v>36</v>
      </c>
      <c r="I9" s="5" t="s">
        <v>12368</v>
      </c>
      <c r="J9" s="5" t="s">
        <v>12369</v>
      </c>
      <c r="K9" s="5" t="s">
        <v>12370</v>
      </c>
      <c r="L9" s="11">
        <v>1</v>
      </c>
      <c r="M9" s="5" t="s">
        <v>12353</v>
      </c>
    </row>
    <row r="10" spans="2:13" ht="37.5" customHeight="1" x14ac:dyDescent="0.35">
      <c r="B10" s="12">
        <v>1</v>
      </c>
      <c r="C10" s="7" t="s">
        <v>12347</v>
      </c>
      <c r="D10" s="12">
        <v>6</v>
      </c>
      <c r="E10" s="7" t="s">
        <v>12371</v>
      </c>
      <c r="F10" s="7" t="s">
        <v>12372</v>
      </c>
      <c r="G10" s="7" t="s">
        <v>206</v>
      </c>
      <c r="H10" s="7" t="s">
        <v>37</v>
      </c>
      <c r="I10" s="7" t="s">
        <v>12373</v>
      </c>
      <c r="J10" s="7" t="s">
        <v>12374</v>
      </c>
      <c r="K10" s="7" t="s">
        <v>12375</v>
      </c>
      <c r="L10" s="12">
        <v>1</v>
      </c>
      <c r="M10" s="7" t="s">
        <v>12353</v>
      </c>
    </row>
    <row r="11" spans="2:13" ht="37.5" customHeight="1" x14ac:dyDescent="0.35">
      <c r="B11" s="11">
        <v>1</v>
      </c>
      <c r="C11" s="5" t="s">
        <v>12347</v>
      </c>
      <c r="D11" s="11">
        <v>7</v>
      </c>
      <c r="E11" s="5" t="s">
        <v>12376</v>
      </c>
      <c r="F11" s="5" t="s">
        <v>12377</v>
      </c>
      <c r="G11" s="5" t="s">
        <v>30</v>
      </c>
      <c r="H11" s="5" t="s">
        <v>37</v>
      </c>
      <c r="I11" s="5" t="s">
        <v>12373</v>
      </c>
      <c r="J11" s="5" t="s">
        <v>12374</v>
      </c>
      <c r="K11" s="5" t="s">
        <v>12375</v>
      </c>
      <c r="L11" s="11">
        <v>1</v>
      </c>
      <c r="M11" s="5" t="s">
        <v>12353</v>
      </c>
    </row>
    <row r="12" spans="2:13" ht="37.5" customHeight="1" x14ac:dyDescent="0.35">
      <c r="B12" s="12">
        <v>1</v>
      </c>
      <c r="C12" s="7" t="s">
        <v>12347</v>
      </c>
      <c r="D12" s="12">
        <v>8</v>
      </c>
      <c r="E12" s="7" t="s">
        <v>12378</v>
      </c>
      <c r="F12" s="7" t="s">
        <v>12379</v>
      </c>
      <c r="G12" s="7" t="s">
        <v>24</v>
      </c>
      <c r="H12" s="7" t="s">
        <v>37</v>
      </c>
      <c r="I12" s="7" t="s">
        <v>12380</v>
      </c>
      <c r="J12" s="7" t="s">
        <v>12358</v>
      </c>
      <c r="K12" s="7" t="s">
        <v>12381</v>
      </c>
      <c r="L12" s="12">
        <v>1</v>
      </c>
      <c r="M12" s="7" t="s">
        <v>12353</v>
      </c>
    </row>
    <row r="13" spans="2:13" ht="37.5" customHeight="1" x14ac:dyDescent="0.35">
      <c r="B13" s="11">
        <v>1</v>
      </c>
      <c r="C13" s="5" t="s">
        <v>12347</v>
      </c>
      <c r="D13" s="11">
        <v>9</v>
      </c>
      <c r="E13" s="5" t="s">
        <v>12382</v>
      </c>
      <c r="F13" s="5" t="s">
        <v>12383</v>
      </c>
      <c r="G13" s="5" t="s">
        <v>395</v>
      </c>
      <c r="H13" s="5" t="s">
        <v>37</v>
      </c>
      <c r="I13" s="5" t="s">
        <v>12380</v>
      </c>
      <c r="J13" s="5" t="s">
        <v>12358</v>
      </c>
      <c r="K13" s="5" t="s">
        <v>12381</v>
      </c>
      <c r="L13" s="11">
        <v>1</v>
      </c>
      <c r="M13" s="5" t="s">
        <v>12353</v>
      </c>
    </row>
    <row r="14" spans="2:13" ht="21.75" customHeight="1" x14ac:dyDescent="0.35">
      <c r="B14" s="12">
        <v>1</v>
      </c>
      <c r="C14" s="7" t="s">
        <v>12347</v>
      </c>
      <c r="D14" s="12">
        <v>10</v>
      </c>
      <c r="E14" s="7" t="s">
        <v>12384</v>
      </c>
      <c r="F14" s="7" t="s">
        <v>12385</v>
      </c>
      <c r="G14" s="7" t="s">
        <v>26</v>
      </c>
      <c r="H14" s="7" t="s">
        <v>37</v>
      </c>
      <c r="I14" s="7" t="s">
        <v>12380</v>
      </c>
      <c r="J14" s="7" t="s">
        <v>12358</v>
      </c>
      <c r="K14" s="7" t="s">
        <v>12381</v>
      </c>
      <c r="L14" s="12">
        <v>1</v>
      </c>
      <c r="M14" s="7" t="s">
        <v>12353</v>
      </c>
    </row>
    <row r="15" spans="2:13" ht="21.75" customHeight="1" x14ac:dyDescent="0.35">
      <c r="B15" s="11">
        <v>1</v>
      </c>
      <c r="C15" s="5" t="s">
        <v>12347</v>
      </c>
      <c r="D15" s="11">
        <v>11</v>
      </c>
      <c r="E15" s="5" t="s">
        <v>12386</v>
      </c>
      <c r="F15" s="5" t="s">
        <v>12387</v>
      </c>
      <c r="G15" s="5" t="s">
        <v>625</v>
      </c>
      <c r="H15" s="5" t="s">
        <v>37</v>
      </c>
      <c r="I15" s="5" t="s">
        <v>12388</v>
      </c>
      <c r="J15" s="5" t="s">
        <v>12358</v>
      </c>
      <c r="K15" s="5" t="s">
        <v>12389</v>
      </c>
      <c r="L15" s="11">
        <v>1</v>
      </c>
      <c r="M15" s="5" t="s">
        <v>12353</v>
      </c>
    </row>
    <row r="16" spans="2:13" ht="21.75" customHeight="1" x14ac:dyDescent="0.35">
      <c r="B16" s="12">
        <v>1</v>
      </c>
      <c r="C16" s="7" t="s">
        <v>12347</v>
      </c>
      <c r="D16" s="12">
        <v>12</v>
      </c>
      <c r="E16" s="7" t="s">
        <v>12390</v>
      </c>
      <c r="F16" s="7" t="s">
        <v>12391</v>
      </c>
      <c r="G16" s="7" t="s">
        <v>442</v>
      </c>
      <c r="H16" s="7" t="s">
        <v>37</v>
      </c>
      <c r="I16" s="7" t="s">
        <v>12388</v>
      </c>
      <c r="J16" s="7" t="s">
        <v>12358</v>
      </c>
      <c r="K16" s="7" t="s">
        <v>12389</v>
      </c>
      <c r="L16" s="12">
        <v>1</v>
      </c>
      <c r="M16" s="7" t="s">
        <v>12353</v>
      </c>
    </row>
    <row r="17" spans="2:13" ht="21.75" customHeight="1" x14ac:dyDescent="0.35">
      <c r="B17" s="11">
        <v>1</v>
      </c>
      <c r="C17" s="5" t="s">
        <v>12347</v>
      </c>
      <c r="D17" s="11">
        <v>13</v>
      </c>
      <c r="E17" s="5" t="s">
        <v>12392</v>
      </c>
      <c r="F17" s="5" t="s">
        <v>12393</v>
      </c>
      <c r="G17" s="5" t="s">
        <v>810</v>
      </c>
      <c r="H17" s="5" t="s">
        <v>37</v>
      </c>
      <c r="I17" s="5" t="s">
        <v>12394</v>
      </c>
      <c r="J17" s="5" t="s">
        <v>12358</v>
      </c>
      <c r="K17" s="5" t="s">
        <v>12395</v>
      </c>
      <c r="L17" s="11">
        <v>1</v>
      </c>
      <c r="M17" s="5" t="s">
        <v>12353</v>
      </c>
    </row>
    <row r="18" spans="2:13" ht="21.75" customHeight="1" x14ac:dyDescent="0.35">
      <c r="B18" s="12">
        <v>1</v>
      </c>
      <c r="C18" s="7" t="s">
        <v>12347</v>
      </c>
      <c r="D18" s="12">
        <v>14</v>
      </c>
      <c r="E18" s="7" t="s">
        <v>12396</v>
      </c>
      <c r="F18" s="7" t="s">
        <v>12397</v>
      </c>
      <c r="G18" s="7" t="s">
        <v>1196</v>
      </c>
      <c r="H18" s="7" t="s">
        <v>37</v>
      </c>
      <c r="I18" s="7" t="s">
        <v>12394</v>
      </c>
      <c r="J18" s="7" t="s">
        <v>12358</v>
      </c>
      <c r="K18" s="7" t="s">
        <v>12395</v>
      </c>
      <c r="L18" s="12">
        <v>1</v>
      </c>
      <c r="M18" s="7" t="s">
        <v>12353</v>
      </c>
    </row>
    <row r="19" spans="2:13" ht="37.5" customHeight="1" x14ac:dyDescent="0.35">
      <c r="B19" s="11">
        <v>1</v>
      </c>
      <c r="C19" s="5" t="s">
        <v>12347</v>
      </c>
      <c r="D19" s="11">
        <v>15</v>
      </c>
      <c r="E19" s="5" t="s">
        <v>12398</v>
      </c>
      <c r="F19" s="5" t="s">
        <v>12399</v>
      </c>
      <c r="G19" s="5" t="s">
        <v>12400</v>
      </c>
      <c r="H19" s="5" t="s">
        <v>37</v>
      </c>
      <c r="I19" s="5" t="s">
        <v>12401</v>
      </c>
      <c r="J19" s="5" t="s">
        <v>12358</v>
      </c>
      <c r="K19" s="5" t="s">
        <v>12402</v>
      </c>
      <c r="L19" s="11">
        <v>1</v>
      </c>
      <c r="M19" s="5" t="s">
        <v>12353</v>
      </c>
    </row>
    <row r="20" spans="2:13" ht="37.5" customHeight="1" x14ac:dyDescent="0.35">
      <c r="B20" s="12">
        <v>1</v>
      </c>
      <c r="C20" s="7" t="s">
        <v>12347</v>
      </c>
      <c r="D20" s="12">
        <v>16</v>
      </c>
      <c r="E20" s="7" t="s">
        <v>12403</v>
      </c>
      <c r="F20" s="7" t="s">
        <v>12404</v>
      </c>
      <c r="G20" s="7" t="s">
        <v>1713</v>
      </c>
      <c r="H20" s="7" t="s">
        <v>37</v>
      </c>
      <c r="I20" s="7" t="s">
        <v>12401</v>
      </c>
      <c r="J20" s="7" t="s">
        <v>12358</v>
      </c>
      <c r="K20" s="7" t="s">
        <v>12402</v>
      </c>
      <c r="L20" s="12">
        <v>1</v>
      </c>
      <c r="M20" s="7" t="s">
        <v>12353</v>
      </c>
    </row>
    <row r="21" spans="2:13" ht="37.5" customHeight="1" x14ac:dyDescent="0.35">
      <c r="B21" s="11">
        <v>1</v>
      </c>
      <c r="C21" s="5" t="s">
        <v>12347</v>
      </c>
      <c r="D21" s="11">
        <v>17</v>
      </c>
      <c r="E21" s="5" t="s">
        <v>12405</v>
      </c>
      <c r="F21" s="5" t="s">
        <v>12406</v>
      </c>
      <c r="G21" s="5" t="s">
        <v>831</v>
      </c>
      <c r="H21" s="5" t="s">
        <v>37</v>
      </c>
      <c r="I21" s="5" t="s">
        <v>12407</v>
      </c>
      <c r="J21" s="5" t="s">
        <v>12358</v>
      </c>
      <c r="K21" s="5" t="s">
        <v>12408</v>
      </c>
      <c r="L21" s="11">
        <v>1</v>
      </c>
      <c r="M21" s="5" t="s">
        <v>12353</v>
      </c>
    </row>
    <row r="22" spans="2:13" ht="21.75" customHeight="1" x14ac:dyDescent="0.35">
      <c r="B22" s="12">
        <v>1</v>
      </c>
      <c r="C22" s="7" t="s">
        <v>12347</v>
      </c>
      <c r="D22" s="12">
        <v>18</v>
      </c>
      <c r="E22" s="7" t="s">
        <v>12409</v>
      </c>
      <c r="F22" s="7" t="s">
        <v>12410</v>
      </c>
      <c r="G22" s="7" t="s">
        <v>198</v>
      </c>
      <c r="H22" s="7" t="s">
        <v>37</v>
      </c>
      <c r="I22" s="7" t="s">
        <v>12407</v>
      </c>
      <c r="J22" s="7" t="s">
        <v>12358</v>
      </c>
      <c r="K22" s="7" t="s">
        <v>12408</v>
      </c>
      <c r="L22" s="12">
        <v>1</v>
      </c>
      <c r="M22" s="7" t="s">
        <v>12353</v>
      </c>
    </row>
    <row r="23" spans="2:13" ht="21.75" customHeight="1" x14ac:dyDescent="0.35">
      <c r="B23" s="11">
        <v>1</v>
      </c>
      <c r="C23" s="5" t="s">
        <v>12347</v>
      </c>
      <c r="D23" s="11">
        <v>19</v>
      </c>
      <c r="E23" s="5" t="s">
        <v>12411</v>
      </c>
      <c r="F23" s="5" t="s">
        <v>12412</v>
      </c>
      <c r="G23" s="5" t="s">
        <v>1214</v>
      </c>
      <c r="H23" s="5" t="s">
        <v>37</v>
      </c>
      <c r="I23" s="5" t="s">
        <v>12407</v>
      </c>
      <c r="J23" s="5" t="s">
        <v>12358</v>
      </c>
      <c r="K23" s="5" t="s">
        <v>12408</v>
      </c>
      <c r="L23" s="11">
        <v>1</v>
      </c>
      <c r="M23" s="5" t="s">
        <v>12353</v>
      </c>
    </row>
    <row r="24" spans="2:13" ht="67.5" customHeight="1" x14ac:dyDescent="0.35">
      <c r="B24" s="12">
        <v>1</v>
      </c>
      <c r="C24" s="7" t="s">
        <v>12347</v>
      </c>
      <c r="D24" s="12">
        <v>20</v>
      </c>
      <c r="E24" s="7" t="s">
        <v>12413</v>
      </c>
      <c r="F24" s="7" t="s">
        <v>12414</v>
      </c>
      <c r="G24" s="7" t="s">
        <v>31</v>
      </c>
      <c r="H24" s="7" t="s">
        <v>306</v>
      </c>
      <c r="I24" s="7" t="s">
        <v>12415</v>
      </c>
      <c r="J24" s="7" t="s">
        <v>12416</v>
      </c>
      <c r="K24" s="7" t="s">
        <v>12417</v>
      </c>
      <c r="L24" s="12">
        <v>2</v>
      </c>
      <c r="M24" s="7" t="s">
        <v>12353</v>
      </c>
    </row>
    <row r="25" spans="2:13" ht="67.5" customHeight="1" x14ac:dyDescent="0.35">
      <c r="B25" s="11">
        <v>1</v>
      </c>
      <c r="C25" s="5" t="s">
        <v>12347</v>
      </c>
      <c r="D25" s="11">
        <v>21</v>
      </c>
      <c r="E25" s="5" t="s">
        <v>12418</v>
      </c>
      <c r="F25" s="5" t="s">
        <v>12419</v>
      </c>
      <c r="G25" s="5" t="s">
        <v>1226</v>
      </c>
      <c r="H25" s="5" t="s">
        <v>306</v>
      </c>
      <c r="I25" s="5" t="s">
        <v>12420</v>
      </c>
      <c r="J25" s="5" t="s">
        <v>12416</v>
      </c>
      <c r="K25" s="5" t="s">
        <v>12421</v>
      </c>
      <c r="L25" s="11">
        <v>2</v>
      </c>
      <c r="M25" s="5" t="s">
        <v>12353</v>
      </c>
    </row>
    <row r="26" spans="2:13" ht="37.5" customHeight="1" x14ac:dyDescent="0.35">
      <c r="B26" s="12">
        <v>1</v>
      </c>
      <c r="C26" s="7" t="s">
        <v>12347</v>
      </c>
      <c r="D26" s="12">
        <v>22</v>
      </c>
      <c r="E26" s="7" t="s">
        <v>12422</v>
      </c>
      <c r="F26" s="7" t="s">
        <v>12423</v>
      </c>
      <c r="G26" s="7" t="s">
        <v>358</v>
      </c>
      <c r="H26" s="7" t="s">
        <v>37</v>
      </c>
      <c r="I26" s="7" t="s">
        <v>12424</v>
      </c>
      <c r="J26" s="7" t="s">
        <v>1988</v>
      </c>
      <c r="K26" s="7" t="s">
        <v>12425</v>
      </c>
      <c r="L26" s="12">
        <v>1</v>
      </c>
      <c r="M26" s="7" t="s">
        <v>12353</v>
      </c>
    </row>
    <row r="27" spans="2:13" ht="37.5" customHeight="1" x14ac:dyDescent="0.35">
      <c r="B27" s="11">
        <v>1</v>
      </c>
      <c r="C27" s="5" t="s">
        <v>12347</v>
      </c>
      <c r="D27" s="11">
        <v>23</v>
      </c>
      <c r="E27" s="5" t="s">
        <v>12426</v>
      </c>
      <c r="F27" s="5" t="s">
        <v>12427</v>
      </c>
      <c r="G27" s="5" t="s">
        <v>28</v>
      </c>
      <c r="H27" s="5" t="s">
        <v>37</v>
      </c>
      <c r="I27" s="5" t="s">
        <v>12407</v>
      </c>
      <c r="J27" s="5" t="s">
        <v>1988</v>
      </c>
      <c r="K27" s="5" t="s">
        <v>12428</v>
      </c>
      <c r="L27" s="11">
        <v>1</v>
      </c>
      <c r="M27" s="5" t="s">
        <v>12353</v>
      </c>
    </row>
    <row r="28" spans="2:13" ht="37.5" customHeight="1" x14ac:dyDescent="0.35">
      <c r="B28" s="12">
        <v>1</v>
      </c>
      <c r="C28" s="7" t="s">
        <v>12347</v>
      </c>
      <c r="D28" s="12">
        <v>24</v>
      </c>
      <c r="E28" s="7" t="s">
        <v>12429</v>
      </c>
      <c r="F28" s="7" t="s">
        <v>12430</v>
      </c>
      <c r="G28" s="7" t="s">
        <v>701</v>
      </c>
      <c r="H28" s="7" t="s">
        <v>37</v>
      </c>
      <c r="I28" s="7" t="s">
        <v>12407</v>
      </c>
      <c r="J28" s="7" t="s">
        <v>1988</v>
      </c>
      <c r="K28" s="7" t="s">
        <v>12428</v>
      </c>
      <c r="L28" s="12">
        <v>1</v>
      </c>
      <c r="M28" s="7" t="s">
        <v>12353</v>
      </c>
    </row>
    <row r="29" spans="2:13" ht="37.5" customHeight="1" x14ac:dyDescent="0.35">
      <c r="B29" s="11">
        <v>1</v>
      </c>
      <c r="C29" s="5" t="s">
        <v>12347</v>
      </c>
      <c r="D29" s="11">
        <v>26</v>
      </c>
      <c r="E29" s="5" t="s">
        <v>12431</v>
      </c>
      <c r="F29" s="5" t="s">
        <v>12432</v>
      </c>
      <c r="G29" s="5" t="s">
        <v>244</v>
      </c>
      <c r="H29" s="5" t="s">
        <v>37</v>
      </c>
      <c r="I29" s="5" t="s">
        <v>12407</v>
      </c>
      <c r="J29" s="5" t="s">
        <v>1988</v>
      </c>
      <c r="K29" s="5" t="s">
        <v>12428</v>
      </c>
      <c r="L29" s="11">
        <v>1</v>
      </c>
      <c r="M29" s="5" t="s">
        <v>12353</v>
      </c>
    </row>
    <row r="30" spans="2:13" ht="21.75" customHeight="1" x14ac:dyDescent="0.35">
      <c r="B30" s="12">
        <v>1</v>
      </c>
      <c r="C30" s="7" t="s">
        <v>12347</v>
      </c>
      <c r="D30" s="12">
        <v>27</v>
      </c>
      <c r="E30" s="7" t="s">
        <v>12433</v>
      </c>
      <c r="F30" s="7" t="s">
        <v>12434</v>
      </c>
      <c r="G30" s="7" t="s">
        <v>2254</v>
      </c>
      <c r="H30" s="7" t="s">
        <v>37</v>
      </c>
      <c r="I30" s="7" t="s">
        <v>12407</v>
      </c>
      <c r="J30" s="7" t="s">
        <v>1988</v>
      </c>
      <c r="K30" s="7" t="s">
        <v>12428</v>
      </c>
      <c r="L30" s="12">
        <v>1</v>
      </c>
      <c r="M30" s="7" t="s">
        <v>12353</v>
      </c>
    </row>
    <row r="31" spans="2:13" ht="37.5" customHeight="1" x14ac:dyDescent="0.35">
      <c r="B31" s="11">
        <v>1</v>
      </c>
      <c r="C31" s="5" t="s">
        <v>12347</v>
      </c>
      <c r="D31" s="11">
        <v>28</v>
      </c>
      <c r="E31" s="5" t="s">
        <v>12435</v>
      </c>
      <c r="F31" s="5" t="s">
        <v>12436</v>
      </c>
      <c r="G31" s="5" t="s">
        <v>428</v>
      </c>
      <c r="H31" s="5" t="s">
        <v>37</v>
      </c>
      <c r="I31" s="5" t="s">
        <v>12407</v>
      </c>
      <c r="J31" s="5" t="s">
        <v>1988</v>
      </c>
      <c r="K31" s="5" t="s">
        <v>12428</v>
      </c>
      <c r="L31" s="11">
        <v>1</v>
      </c>
      <c r="M31" s="5" t="s">
        <v>12353</v>
      </c>
    </row>
    <row r="32" spans="2:13" ht="37.5" customHeight="1" x14ac:dyDescent="0.35">
      <c r="B32" s="12">
        <v>1</v>
      </c>
      <c r="C32" s="7" t="s">
        <v>12347</v>
      </c>
      <c r="D32" s="12">
        <v>29</v>
      </c>
      <c r="E32" s="7" t="s">
        <v>12437</v>
      </c>
      <c r="F32" s="7" t="s">
        <v>12438</v>
      </c>
      <c r="G32" s="7" t="s">
        <v>12439</v>
      </c>
      <c r="H32" s="7" t="s">
        <v>37</v>
      </c>
      <c r="I32" s="7" t="s">
        <v>12407</v>
      </c>
      <c r="J32" s="7" t="s">
        <v>12358</v>
      </c>
      <c r="K32" s="7" t="s">
        <v>12408</v>
      </c>
      <c r="L32" s="12">
        <v>1</v>
      </c>
      <c r="M32" s="7" t="s">
        <v>12353</v>
      </c>
    </row>
    <row r="33" spans="2:13" ht="21.75" customHeight="1" x14ac:dyDescent="0.35">
      <c r="B33" s="11">
        <v>1</v>
      </c>
      <c r="C33" s="5" t="s">
        <v>12347</v>
      </c>
      <c r="D33" s="11">
        <v>30</v>
      </c>
      <c r="E33" s="5" t="s">
        <v>12440</v>
      </c>
      <c r="F33" s="5" t="s">
        <v>12441</v>
      </c>
      <c r="G33" s="5" t="s">
        <v>212</v>
      </c>
      <c r="H33" s="5" t="s">
        <v>37</v>
      </c>
      <c r="I33" s="5" t="s">
        <v>12407</v>
      </c>
      <c r="J33" s="5" t="s">
        <v>12358</v>
      </c>
      <c r="K33" s="5" t="s">
        <v>12408</v>
      </c>
      <c r="L33" s="11">
        <v>1</v>
      </c>
      <c r="M33" s="5" t="s">
        <v>12353</v>
      </c>
    </row>
    <row r="34" spans="2:13" ht="37.5" customHeight="1" x14ac:dyDescent="0.35">
      <c r="B34" s="12">
        <v>1</v>
      </c>
      <c r="C34" s="7" t="s">
        <v>12347</v>
      </c>
      <c r="D34" s="12">
        <v>31</v>
      </c>
      <c r="E34" s="7" t="s">
        <v>12442</v>
      </c>
      <c r="F34" s="7" t="s">
        <v>12443</v>
      </c>
      <c r="G34" s="7" t="s">
        <v>300</v>
      </c>
      <c r="H34" s="7" t="s">
        <v>37</v>
      </c>
      <c r="I34" s="7" t="s">
        <v>12407</v>
      </c>
      <c r="J34" s="7" t="s">
        <v>1988</v>
      </c>
      <c r="K34" s="7" t="s">
        <v>12428</v>
      </c>
      <c r="L34" s="12">
        <v>1</v>
      </c>
      <c r="M34" s="7" t="s">
        <v>12353</v>
      </c>
    </row>
    <row r="35" spans="2:13" ht="52.5" customHeight="1" x14ac:dyDescent="0.35">
      <c r="B35" s="11">
        <v>1</v>
      </c>
      <c r="C35" s="5" t="s">
        <v>12347</v>
      </c>
      <c r="D35" s="11">
        <v>32</v>
      </c>
      <c r="E35" s="5" t="s">
        <v>12444</v>
      </c>
      <c r="F35" s="5" t="s">
        <v>12445</v>
      </c>
      <c r="G35" s="5" t="s">
        <v>924</v>
      </c>
      <c r="H35" s="5" t="s">
        <v>36</v>
      </c>
      <c r="I35" s="5" t="s">
        <v>12446</v>
      </c>
      <c r="J35" s="5" t="s">
        <v>4650</v>
      </c>
      <c r="K35" s="5" t="s">
        <v>12447</v>
      </c>
      <c r="L35" s="11">
        <v>1</v>
      </c>
      <c r="M35" s="5" t="s">
        <v>12353</v>
      </c>
    </row>
    <row r="36" spans="2:13" ht="37.5" customHeight="1" x14ac:dyDescent="0.35">
      <c r="B36" s="12">
        <v>1</v>
      </c>
      <c r="C36" s="7" t="s">
        <v>12347</v>
      </c>
      <c r="D36" s="12">
        <v>33</v>
      </c>
      <c r="E36" s="7" t="s">
        <v>12448</v>
      </c>
      <c r="F36" s="7" t="s">
        <v>12449</v>
      </c>
      <c r="G36" s="7" t="s">
        <v>927</v>
      </c>
      <c r="H36" s="7" t="s">
        <v>37</v>
      </c>
      <c r="I36" s="7" t="s">
        <v>12450</v>
      </c>
      <c r="J36" s="7" t="s">
        <v>1988</v>
      </c>
      <c r="K36" s="7" t="s">
        <v>12451</v>
      </c>
      <c r="L36" s="12">
        <v>1</v>
      </c>
      <c r="M36" s="7" t="s">
        <v>12353</v>
      </c>
    </row>
    <row r="37" spans="2:13" ht="67.5" customHeight="1" x14ac:dyDescent="0.35">
      <c r="B37" s="11">
        <v>1</v>
      </c>
      <c r="C37" s="5" t="s">
        <v>12347</v>
      </c>
      <c r="D37" s="11">
        <v>34</v>
      </c>
      <c r="E37" s="5" t="s">
        <v>12452</v>
      </c>
      <c r="F37" s="5" t="s">
        <v>12453</v>
      </c>
      <c r="G37" s="5" t="s">
        <v>1008</v>
      </c>
      <c r="H37" s="5" t="s">
        <v>1046</v>
      </c>
      <c r="I37" s="5" t="s">
        <v>12454</v>
      </c>
      <c r="J37" s="5" t="s">
        <v>12374</v>
      </c>
      <c r="K37" s="5" t="s">
        <v>12455</v>
      </c>
      <c r="L37" s="11">
        <v>1</v>
      </c>
      <c r="M37" s="5" t="s">
        <v>12353</v>
      </c>
    </row>
    <row r="38" spans="2:13" ht="52.5" customHeight="1" x14ac:dyDescent="0.35">
      <c r="B38" s="12">
        <v>1</v>
      </c>
      <c r="C38" s="7" t="s">
        <v>12347</v>
      </c>
      <c r="D38" s="12">
        <v>35</v>
      </c>
      <c r="E38" s="7" t="s">
        <v>12456</v>
      </c>
      <c r="F38" s="7" t="s">
        <v>12457</v>
      </c>
      <c r="G38" s="7" t="s">
        <v>365</v>
      </c>
      <c r="H38" s="7" t="s">
        <v>12458</v>
      </c>
      <c r="I38" s="7" t="s">
        <v>12459</v>
      </c>
      <c r="J38" s="7" t="s">
        <v>12460</v>
      </c>
      <c r="K38" s="7" t="s">
        <v>12461</v>
      </c>
      <c r="L38" s="12">
        <v>2</v>
      </c>
      <c r="M38" s="7" t="s">
        <v>12353</v>
      </c>
    </row>
    <row r="39" spans="2:13" ht="37.5" customHeight="1" x14ac:dyDescent="0.35">
      <c r="B39" s="11">
        <v>2</v>
      </c>
      <c r="C39" s="5" t="s">
        <v>12462</v>
      </c>
      <c r="D39" s="11">
        <v>1</v>
      </c>
      <c r="E39" s="5" t="s">
        <v>12463</v>
      </c>
      <c r="F39" s="5" t="s">
        <v>12464</v>
      </c>
      <c r="G39" s="5" t="s">
        <v>862</v>
      </c>
      <c r="H39" s="5" t="s">
        <v>37</v>
      </c>
      <c r="I39" s="5" t="s">
        <v>12407</v>
      </c>
      <c r="J39" s="5" t="s">
        <v>1988</v>
      </c>
      <c r="K39" s="5" t="s">
        <v>12428</v>
      </c>
      <c r="L39" s="11">
        <v>1</v>
      </c>
      <c r="M39" s="5" t="s">
        <v>12353</v>
      </c>
    </row>
    <row r="40" spans="2:13" ht="67.5" customHeight="1" x14ac:dyDescent="0.35">
      <c r="B40" s="12">
        <v>2</v>
      </c>
      <c r="C40" s="7" t="s">
        <v>12462</v>
      </c>
      <c r="D40" s="12">
        <v>2</v>
      </c>
      <c r="E40" s="7" t="s">
        <v>12465</v>
      </c>
      <c r="F40" s="7" t="s">
        <v>12466</v>
      </c>
      <c r="G40" s="7" t="s">
        <v>12467</v>
      </c>
      <c r="H40" s="7" t="s">
        <v>306</v>
      </c>
      <c r="I40" s="7" t="s">
        <v>12468</v>
      </c>
      <c r="J40" s="7" t="s">
        <v>12469</v>
      </c>
      <c r="K40" s="7" t="s">
        <v>12470</v>
      </c>
      <c r="L40" s="12">
        <v>2</v>
      </c>
      <c r="M40" s="7" t="s">
        <v>12353</v>
      </c>
    </row>
    <row r="41" spans="2:13" ht="52.5" customHeight="1" x14ac:dyDescent="0.35">
      <c r="B41" s="11">
        <v>2</v>
      </c>
      <c r="C41" s="5" t="s">
        <v>12462</v>
      </c>
      <c r="D41" s="11">
        <v>3</v>
      </c>
      <c r="E41" s="5" t="s">
        <v>12471</v>
      </c>
      <c r="F41" s="5" t="s">
        <v>12472</v>
      </c>
      <c r="G41" s="5" t="s">
        <v>566</v>
      </c>
      <c r="H41" s="5" t="s">
        <v>12473</v>
      </c>
      <c r="I41" s="5" t="s">
        <v>12474</v>
      </c>
      <c r="J41" s="5" t="s">
        <v>12475</v>
      </c>
      <c r="K41" s="5" t="s">
        <v>12476</v>
      </c>
      <c r="L41" s="11">
        <v>2</v>
      </c>
      <c r="M41" s="5" t="s">
        <v>12353</v>
      </c>
    </row>
    <row r="42" spans="2:13" ht="52.5" customHeight="1" x14ac:dyDescent="0.35">
      <c r="B42" s="12">
        <v>2</v>
      </c>
      <c r="C42" s="7" t="s">
        <v>12462</v>
      </c>
      <c r="D42" s="12">
        <v>4</v>
      </c>
      <c r="E42" s="7" t="s">
        <v>12477</v>
      </c>
      <c r="F42" s="7" t="s">
        <v>12478</v>
      </c>
      <c r="G42" s="7" t="s">
        <v>4507</v>
      </c>
      <c r="H42" s="7" t="s">
        <v>45</v>
      </c>
      <c r="I42" s="7" t="s">
        <v>12479</v>
      </c>
      <c r="J42" s="7" t="s">
        <v>8704</v>
      </c>
      <c r="K42" s="7" t="s">
        <v>12480</v>
      </c>
      <c r="L42" s="12">
        <v>1</v>
      </c>
      <c r="M42" s="7" t="s">
        <v>12353</v>
      </c>
    </row>
    <row r="43" spans="2:13" ht="37.5" customHeight="1" x14ac:dyDescent="0.35">
      <c r="B43" s="11">
        <v>3</v>
      </c>
      <c r="C43" s="5" t="s">
        <v>12481</v>
      </c>
      <c r="D43" s="11">
        <v>1</v>
      </c>
      <c r="E43" s="5" t="s">
        <v>12482</v>
      </c>
      <c r="F43" s="5" t="s">
        <v>12483</v>
      </c>
      <c r="G43" s="5" t="s">
        <v>188</v>
      </c>
      <c r="H43" s="5" t="s">
        <v>36</v>
      </c>
      <c r="I43" s="5" t="s">
        <v>12484</v>
      </c>
      <c r="J43" s="5" t="s">
        <v>5394</v>
      </c>
      <c r="K43" s="5" t="s">
        <v>12485</v>
      </c>
      <c r="L43" s="11">
        <v>1</v>
      </c>
      <c r="M43" s="5" t="s">
        <v>12353</v>
      </c>
    </row>
    <row r="44" spans="2:13" ht="37.5" customHeight="1" x14ac:dyDescent="0.35">
      <c r="B44" s="12">
        <v>4</v>
      </c>
      <c r="C44" s="7" t="s">
        <v>12486</v>
      </c>
      <c r="D44" s="12">
        <v>1</v>
      </c>
      <c r="E44" s="7" t="s">
        <v>12487</v>
      </c>
      <c r="F44" s="7" t="s">
        <v>12488</v>
      </c>
      <c r="G44" s="7" t="s">
        <v>497</v>
      </c>
      <c r="H44" s="7" t="s">
        <v>36</v>
      </c>
      <c r="I44" s="7" t="s">
        <v>12489</v>
      </c>
      <c r="J44" s="7" t="s">
        <v>5056</v>
      </c>
      <c r="K44" s="7" t="s">
        <v>12490</v>
      </c>
      <c r="L44" s="12">
        <v>1</v>
      </c>
      <c r="M44" s="7" t="s">
        <v>12491</v>
      </c>
    </row>
    <row r="45" spans="2:13" ht="112.5" customHeight="1" x14ac:dyDescent="0.35">
      <c r="B45" s="11">
        <v>5</v>
      </c>
      <c r="C45" s="5" t="s">
        <v>12492</v>
      </c>
      <c r="D45" s="11">
        <v>1</v>
      </c>
      <c r="E45" s="5" t="s">
        <v>12493</v>
      </c>
      <c r="F45" s="5" t="s">
        <v>12494</v>
      </c>
      <c r="G45" s="5" t="s">
        <v>1076</v>
      </c>
      <c r="H45" s="5" t="s">
        <v>36</v>
      </c>
      <c r="I45" s="5" t="s">
        <v>12495</v>
      </c>
      <c r="J45" s="5" t="s">
        <v>1192</v>
      </c>
      <c r="K45" s="5" t="s">
        <v>12496</v>
      </c>
      <c r="L45" s="11">
        <v>1</v>
      </c>
      <c r="M45" s="5" t="s">
        <v>12497</v>
      </c>
    </row>
    <row r="46" spans="2:13" ht="67.5" customHeight="1" x14ac:dyDescent="0.35">
      <c r="B46" s="12">
        <v>5</v>
      </c>
      <c r="C46" s="7" t="s">
        <v>12492</v>
      </c>
      <c r="D46" s="12">
        <v>2</v>
      </c>
      <c r="E46" s="7" t="s">
        <v>12498</v>
      </c>
      <c r="F46" s="7" t="s">
        <v>12499</v>
      </c>
      <c r="G46" s="7" t="s">
        <v>32</v>
      </c>
      <c r="H46" s="7" t="s">
        <v>36</v>
      </c>
      <c r="I46" s="7" t="s">
        <v>12500</v>
      </c>
      <c r="J46" s="7" t="s">
        <v>12501</v>
      </c>
      <c r="K46" s="7" t="s">
        <v>12502</v>
      </c>
      <c r="L46" s="12">
        <v>1</v>
      </c>
      <c r="M46" s="7" t="s">
        <v>12497</v>
      </c>
    </row>
    <row r="47" spans="2:13" ht="67.5" customHeight="1" x14ac:dyDescent="0.35">
      <c r="B47" s="11">
        <v>5</v>
      </c>
      <c r="C47" s="5" t="s">
        <v>12492</v>
      </c>
      <c r="D47" s="11">
        <v>3</v>
      </c>
      <c r="E47" s="5" t="s">
        <v>12503</v>
      </c>
      <c r="F47" s="5" t="s">
        <v>12504</v>
      </c>
      <c r="G47" s="5" t="s">
        <v>395</v>
      </c>
      <c r="H47" s="5" t="s">
        <v>36</v>
      </c>
      <c r="I47" s="5" t="s">
        <v>12505</v>
      </c>
      <c r="J47" s="5" t="s">
        <v>2102</v>
      </c>
      <c r="K47" s="5" t="s">
        <v>12506</v>
      </c>
      <c r="L47" s="11">
        <v>1</v>
      </c>
      <c r="M47" s="5" t="s">
        <v>12497</v>
      </c>
    </row>
    <row r="48" spans="2:13" ht="37.5" customHeight="1" x14ac:dyDescent="0.35">
      <c r="B48" s="12">
        <v>5</v>
      </c>
      <c r="C48" s="7" t="s">
        <v>12492</v>
      </c>
      <c r="D48" s="12">
        <v>4</v>
      </c>
      <c r="E48" s="7" t="s">
        <v>12507</v>
      </c>
      <c r="F48" s="7" t="s">
        <v>12508</v>
      </c>
      <c r="G48" s="7" t="s">
        <v>625</v>
      </c>
      <c r="H48" s="7" t="s">
        <v>36</v>
      </c>
      <c r="I48" s="7" t="s">
        <v>12509</v>
      </c>
      <c r="J48" s="7" t="s">
        <v>2102</v>
      </c>
      <c r="K48" s="7" t="s">
        <v>12510</v>
      </c>
      <c r="L48" s="12">
        <v>1</v>
      </c>
      <c r="M48" s="7" t="s">
        <v>12497</v>
      </c>
    </row>
    <row r="49" spans="2:13" ht="37.5" customHeight="1" x14ac:dyDescent="0.35">
      <c r="B49" s="11">
        <v>5</v>
      </c>
      <c r="C49" s="5" t="s">
        <v>12492</v>
      </c>
      <c r="D49" s="11">
        <v>5</v>
      </c>
      <c r="E49" s="5" t="s">
        <v>12511</v>
      </c>
      <c r="F49" s="5" t="s">
        <v>12512</v>
      </c>
      <c r="G49" s="5" t="s">
        <v>560</v>
      </c>
      <c r="H49" s="5" t="s">
        <v>36</v>
      </c>
      <c r="I49" s="5" t="s">
        <v>12509</v>
      </c>
      <c r="J49" s="5" t="s">
        <v>2102</v>
      </c>
      <c r="K49" s="5" t="s">
        <v>12510</v>
      </c>
      <c r="L49" s="11">
        <v>1</v>
      </c>
      <c r="M49" s="5" t="s">
        <v>12497</v>
      </c>
    </row>
    <row r="50" spans="2:13" ht="37.5" customHeight="1" x14ac:dyDescent="0.35">
      <c r="B50" s="12">
        <v>5</v>
      </c>
      <c r="C50" s="7" t="s">
        <v>12492</v>
      </c>
      <c r="D50" s="12">
        <v>6</v>
      </c>
      <c r="E50" s="7" t="s">
        <v>12513</v>
      </c>
      <c r="F50" s="7" t="s">
        <v>12514</v>
      </c>
      <c r="G50" s="7" t="s">
        <v>206</v>
      </c>
      <c r="H50" s="7" t="s">
        <v>36</v>
      </c>
      <c r="I50" s="7" t="s">
        <v>12515</v>
      </c>
      <c r="J50" s="7" t="s">
        <v>2102</v>
      </c>
      <c r="K50" s="7" t="s">
        <v>12516</v>
      </c>
      <c r="L50" s="12">
        <v>1</v>
      </c>
      <c r="M50" s="7" t="s">
        <v>12497</v>
      </c>
    </row>
    <row r="51" spans="2:13" ht="52.5" customHeight="1" x14ac:dyDescent="0.35">
      <c r="B51" s="11">
        <v>5</v>
      </c>
      <c r="C51" s="5" t="s">
        <v>12492</v>
      </c>
      <c r="D51" s="11">
        <v>7</v>
      </c>
      <c r="E51" s="5" t="s">
        <v>12517</v>
      </c>
      <c r="F51" s="5" t="s">
        <v>12518</v>
      </c>
      <c r="G51" s="5" t="s">
        <v>2588</v>
      </c>
      <c r="H51" s="5" t="s">
        <v>36</v>
      </c>
      <c r="I51" s="5" t="s">
        <v>12519</v>
      </c>
      <c r="J51" s="5" t="s">
        <v>2102</v>
      </c>
      <c r="K51" s="5" t="s">
        <v>12520</v>
      </c>
      <c r="L51" s="11">
        <v>1</v>
      </c>
      <c r="M51" s="5" t="s">
        <v>12497</v>
      </c>
    </row>
    <row r="52" spans="2:13" ht="67.5" customHeight="1" x14ac:dyDescent="0.35">
      <c r="B52" s="12">
        <v>5</v>
      </c>
      <c r="C52" s="7" t="s">
        <v>12492</v>
      </c>
      <c r="D52" s="12">
        <v>8</v>
      </c>
      <c r="E52" s="7" t="s">
        <v>12521</v>
      </c>
      <c r="F52" s="7" t="s">
        <v>12522</v>
      </c>
      <c r="G52" s="7" t="s">
        <v>33</v>
      </c>
      <c r="H52" s="7" t="s">
        <v>36</v>
      </c>
      <c r="I52" s="7" t="s">
        <v>12523</v>
      </c>
      <c r="J52" s="7" t="s">
        <v>2102</v>
      </c>
      <c r="K52" s="7" t="s">
        <v>12524</v>
      </c>
      <c r="L52" s="12">
        <v>1</v>
      </c>
      <c r="M52" s="7" t="s">
        <v>12497</v>
      </c>
    </row>
    <row r="53" spans="2:13" ht="37.5" customHeight="1" x14ac:dyDescent="0.35">
      <c r="B53" s="11">
        <v>5</v>
      </c>
      <c r="C53" s="5" t="s">
        <v>12492</v>
      </c>
      <c r="D53" s="11">
        <v>9</v>
      </c>
      <c r="E53" s="5" t="s">
        <v>12525</v>
      </c>
      <c r="F53" s="5" t="s">
        <v>12526</v>
      </c>
      <c r="G53" s="5" t="s">
        <v>8292</v>
      </c>
      <c r="H53" s="5" t="s">
        <v>42</v>
      </c>
      <c r="I53" s="5" t="s">
        <v>12527</v>
      </c>
      <c r="J53" s="5" t="s">
        <v>12528</v>
      </c>
      <c r="K53" s="5" t="s">
        <v>12529</v>
      </c>
      <c r="L53" s="11">
        <v>1</v>
      </c>
      <c r="M53" s="5" t="s">
        <v>12497</v>
      </c>
    </row>
    <row r="54" spans="2:13" ht="37.5" customHeight="1" x14ac:dyDescent="0.35">
      <c r="B54" s="12">
        <v>5</v>
      </c>
      <c r="C54" s="7" t="s">
        <v>12492</v>
      </c>
      <c r="D54" s="12">
        <v>10</v>
      </c>
      <c r="E54" s="7" t="s">
        <v>12530</v>
      </c>
      <c r="F54" s="7" t="s">
        <v>12531</v>
      </c>
      <c r="G54" s="7" t="s">
        <v>212</v>
      </c>
      <c r="H54" s="7" t="s">
        <v>36</v>
      </c>
      <c r="I54" s="7" t="s">
        <v>12532</v>
      </c>
      <c r="J54" s="7" t="s">
        <v>2102</v>
      </c>
      <c r="K54" s="7" t="s">
        <v>12533</v>
      </c>
      <c r="L54" s="12">
        <v>1</v>
      </c>
      <c r="M54" s="7" t="s">
        <v>12497</v>
      </c>
    </row>
    <row r="55" spans="2:13" ht="52.5" customHeight="1" x14ac:dyDescent="0.35">
      <c r="B55" s="11">
        <v>5</v>
      </c>
      <c r="C55" s="5" t="s">
        <v>12492</v>
      </c>
      <c r="D55" s="11">
        <v>11</v>
      </c>
      <c r="E55" s="5" t="s">
        <v>12534</v>
      </c>
      <c r="F55" s="5" t="s">
        <v>12535</v>
      </c>
      <c r="G55" s="5" t="s">
        <v>552</v>
      </c>
      <c r="H55" s="5" t="s">
        <v>36</v>
      </c>
      <c r="I55" s="5" t="s">
        <v>12536</v>
      </c>
      <c r="J55" s="5" t="s">
        <v>2102</v>
      </c>
      <c r="K55" s="5" t="s">
        <v>12537</v>
      </c>
      <c r="L55" s="11">
        <v>1</v>
      </c>
      <c r="M55" s="5" t="s">
        <v>12497</v>
      </c>
    </row>
    <row r="56" spans="2:13" ht="37.5" customHeight="1" x14ac:dyDescent="0.35">
      <c r="B56" s="12">
        <v>5</v>
      </c>
      <c r="C56" s="7" t="s">
        <v>12492</v>
      </c>
      <c r="D56" s="12">
        <v>12</v>
      </c>
      <c r="E56" s="7" t="s">
        <v>12538</v>
      </c>
      <c r="F56" s="7" t="s">
        <v>12539</v>
      </c>
      <c r="G56" s="7" t="s">
        <v>12540</v>
      </c>
      <c r="H56" s="7" t="s">
        <v>36</v>
      </c>
      <c r="I56" s="7" t="s">
        <v>12541</v>
      </c>
      <c r="J56" s="7" t="s">
        <v>2001</v>
      </c>
      <c r="K56" s="7" t="s">
        <v>12542</v>
      </c>
      <c r="L56" s="12">
        <v>1</v>
      </c>
      <c r="M56" s="7" t="s">
        <v>12497</v>
      </c>
    </row>
    <row r="57" spans="2:13" ht="67.5" customHeight="1" x14ac:dyDescent="0.35">
      <c r="B57" s="11">
        <v>5</v>
      </c>
      <c r="C57" s="5" t="s">
        <v>12492</v>
      </c>
      <c r="D57" s="11">
        <v>13</v>
      </c>
      <c r="E57" s="5" t="s">
        <v>12543</v>
      </c>
      <c r="F57" s="5" t="s">
        <v>12544</v>
      </c>
      <c r="G57" s="5" t="s">
        <v>28</v>
      </c>
      <c r="H57" s="5" t="s">
        <v>1521</v>
      </c>
      <c r="I57" s="5" t="s">
        <v>12545</v>
      </c>
      <c r="J57" s="5" t="s">
        <v>12546</v>
      </c>
      <c r="K57" s="5" t="s">
        <v>12547</v>
      </c>
      <c r="L57" s="11">
        <v>2</v>
      </c>
      <c r="M57" s="5" t="s">
        <v>12497</v>
      </c>
    </row>
    <row r="58" spans="2:13" ht="37.5" customHeight="1" x14ac:dyDescent="0.35">
      <c r="B58" s="12">
        <v>5</v>
      </c>
      <c r="C58" s="7" t="s">
        <v>12492</v>
      </c>
      <c r="D58" s="12">
        <v>14</v>
      </c>
      <c r="E58" s="7" t="s">
        <v>12548</v>
      </c>
      <c r="F58" s="7" t="s">
        <v>12549</v>
      </c>
      <c r="G58" s="7" t="s">
        <v>541</v>
      </c>
      <c r="H58" s="7" t="s">
        <v>36</v>
      </c>
      <c r="I58" s="7" t="s">
        <v>12550</v>
      </c>
      <c r="J58" s="7" t="s">
        <v>2102</v>
      </c>
      <c r="K58" s="7" t="s">
        <v>12551</v>
      </c>
      <c r="L58" s="12">
        <v>1</v>
      </c>
      <c r="M58" s="7" t="s">
        <v>12497</v>
      </c>
    </row>
    <row r="59" spans="2:13" ht="37.5" customHeight="1" x14ac:dyDescent="0.35">
      <c r="B59" s="11">
        <v>5</v>
      </c>
      <c r="C59" s="5" t="s">
        <v>12492</v>
      </c>
      <c r="D59" s="11">
        <v>15</v>
      </c>
      <c r="E59" s="5" t="s">
        <v>12552</v>
      </c>
      <c r="F59" s="5" t="s">
        <v>12553</v>
      </c>
      <c r="G59" s="5" t="s">
        <v>831</v>
      </c>
      <c r="H59" s="5" t="s">
        <v>37</v>
      </c>
      <c r="I59" s="5" t="s">
        <v>12541</v>
      </c>
      <c r="J59" s="5" t="s">
        <v>2001</v>
      </c>
      <c r="K59" s="5" t="s">
        <v>12554</v>
      </c>
      <c r="L59" s="11">
        <v>1</v>
      </c>
      <c r="M59" s="5" t="s">
        <v>12497</v>
      </c>
    </row>
    <row r="60" spans="2:13" ht="37.5" customHeight="1" x14ac:dyDescent="0.35">
      <c r="B60" s="12">
        <v>5</v>
      </c>
      <c r="C60" s="7" t="s">
        <v>12492</v>
      </c>
      <c r="D60" s="12">
        <v>16</v>
      </c>
      <c r="E60" s="7" t="s">
        <v>12555</v>
      </c>
      <c r="F60" s="7" t="s">
        <v>12556</v>
      </c>
      <c r="G60" s="7" t="s">
        <v>249</v>
      </c>
      <c r="H60" s="7" t="s">
        <v>37</v>
      </c>
      <c r="I60" s="7" t="s">
        <v>12541</v>
      </c>
      <c r="J60" s="7" t="s">
        <v>2001</v>
      </c>
      <c r="K60" s="7" t="s">
        <v>12554</v>
      </c>
      <c r="L60" s="12">
        <v>1</v>
      </c>
      <c r="M60" s="7" t="s">
        <v>12497</v>
      </c>
    </row>
    <row r="61" spans="2:13" ht="37.5" customHeight="1" x14ac:dyDescent="0.35">
      <c r="B61" s="11">
        <v>5</v>
      </c>
      <c r="C61" s="5" t="s">
        <v>12492</v>
      </c>
      <c r="D61" s="11">
        <v>17</v>
      </c>
      <c r="E61" s="5" t="s">
        <v>12557</v>
      </c>
      <c r="F61" s="5" t="s">
        <v>12558</v>
      </c>
      <c r="G61" s="5" t="s">
        <v>1713</v>
      </c>
      <c r="H61" s="5" t="s">
        <v>37</v>
      </c>
      <c r="I61" s="5" t="s">
        <v>12541</v>
      </c>
      <c r="J61" s="5" t="s">
        <v>2001</v>
      </c>
      <c r="K61" s="5" t="s">
        <v>12554</v>
      </c>
      <c r="L61" s="11">
        <v>1</v>
      </c>
      <c r="M61" s="5" t="s">
        <v>12497</v>
      </c>
    </row>
    <row r="62" spans="2:13" ht="37.5" customHeight="1" x14ac:dyDescent="0.35">
      <c r="B62" s="12">
        <v>5</v>
      </c>
      <c r="C62" s="7" t="s">
        <v>12492</v>
      </c>
      <c r="D62" s="12">
        <v>18</v>
      </c>
      <c r="E62" s="7" t="s">
        <v>12559</v>
      </c>
      <c r="F62" s="7" t="s">
        <v>12560</v>
      </c>
      <c r="G62" s="7" t="s">
        <v>1661</v>
      </c>
      <c r="H62" s="7" t="s">
        <v>37</v>
      </c>
      <c r="I62" s="7" t="s">
        <v>12541</v>
      </c>
      <c r="J62" s="7" t="s">
        <v>2001</v>
      </c>
      <c r="K62" s="7" t="s">
        <v>12554</v>
      </c>
      <c r="L62" s="12">
        <v>1</v>
      </c>
      <c r="M62" s="7" t="s">
        <v>12497</v>
      </c>
    </row>
    <row r="63" spans="2:13" ht="67.5" customHeight="1" x14ac:dyDescent="0.35">
      <c r="B63" s="11">
        <v>5</v>
      </c>
      <c r="C63" s="5" t="s">
        <v>12492</v>
      </c>
      <c r="D63" s="11">
        <v>19</v>
      </c>
      <c r="E63" s="5" t="s">
        <v>12561</v>
      </c>
      <c r="F63" s="5" t="s">
        <v>12562</v>
      </c>
      <c r="G63" s="5" t="s">
        <v>800</v>
      </c>
      <c r="H63" s="5" t="s">
        <v>306</v>
      </c>
      <c r="I63" s="5" t="s">
        <v>12563</v>
      </c>
      <c r="J63" s="5" t="s">
        <v>12564</v>
      </c>
      <c r="K63" s="5" t="s">
        <v>12565</v>
      </c>
      <c r="L63" s="11">
        <v>2</v>
      </c>
      <c r="M63" s="5" t="s">
        <v>12497</v>
      </c>
    </row>
    <row r="64" spans="2:13" ht="37.5" customHeight="1" x14ac:dyDescent="0.35">
      <c r="B64" s="12">
        <v>5</v>
      </c>
      <c r="C64" s="7" t="s">
        <v>12492</v>
      </c>
      <c r="D64" s="12">
        <v>20</v>
      </c>
      <c r="E64" s="7" t="s">
        <v>12566</v>
      </c>
      <c r="F64" s="7" t="s">
        <v>12567</v>
      </c>
      <c r="G64" s="7" t="s">
        <v>752</v>
      </c>
      <c r="H64" s="7" t="s">
        <v>37</v>
      </c>
      <c r="I64" s="7" t="s">
        <v>12541</v>
      </c>
      <c r="J64" s="7" t="s">
        <v>2001</v>
      </c>
      <c r="K64" s="7" t="s">
        <v>12554</v>
      </c>
      <c r="L64" s="12">
        <v>1</v>
      </c>
      <c r="M64" s="7" t="s">
        <v>12497</v>
      </c>
    </row>
    <row r="65" spans="2:13" ht="37.5" customHeight="1" x14ac:dyDescent="0.35">
      <c r="B65" s="11">
        <v>5</v>
      </c>
      <c r="C65" s="5" t="s">
        <v>12492</v>
      </c>
      <c r="D65" s="11">
        <v>21</v>
      </c>
      <c r="E65" s="5" t="s">
        <v>12568</v>
      </c>
      <c r="F65" s="5" t="s">
        <v>12569</v>
      </c>
      <c r="G65" s="5" t="s">
        <v>1206</v>
      </c>
      <c r="H65" s="5" t="s">
        <v>37</v>
      </c>
      <c r="I65" s="5" t="s">
        <v>12541</v>
      </c>
      <c r="J65" s="5" t="s">
        <v>2001</v>
      </c>
      <c r="K65" s="5" t="s">
        <v>12554</v>
      </c>
      <c r="L65" s="11">
        <v>1</v>
      </c>
      <c r="M65" s="5" t="s">
        <v>12497</v>
      </c>
    </row>
    <row r="66" spans="2:13" ht="52.5" customHeight="1" x14ac:dyDescent="0.35">
      <c r="B66" s="12">
        <v>5</v>
      </c>
      <c r="C66" s="7" t="s">
        <v>12492</v>
      </c>
      <c r="D66" s="12">
        <v>22</v>
      </c>
      <c r="E66" s="7" t="s">
        <v>12570</v>
      </c>
      <c r="F66" s="7" t="s">
        <v>12571</v>
      </c>
      <c r="G66" s="7" t="s">
        <v>12572</v>
      </c>
      <c r="H66" s="7" t="s">
        <v>306</v>
      </c>
      <c r="I66" s="7" t="s">
        <v>12573</v>
      </c>
      <c r="J66" s="7" t="s">
        <v>12564</v>
      </c>
      <c r="K66" s="7" t="s">
        <v>12574</v>
      </c>
      <c r="L66" s="12">
        <v>2</v>
      </c>
      <c r="M66" s="7" t="s">
        <v>12497</v>
      </c>
    </row>
    <row r="67" spans="2:13" ht="52.5" customHeight="1" x14ac:dyDescent="0.35">
      <c r="B67" s="11">
        <v>5</v>
      </c>
      <c r="C67" s="5" t="s">
        <v>12492</v>
      </c>
      <c r="D67" s="11">
        <v>23</v>
      </c>
      <c r="E67" s="5" t="s">
        <v>12575</v>
      </c>
      <c r="F67" s="5" t="s">
        <v>12576</v>
      </c>
      <c r="G67" s="5" t="s">
        <v>5657</v>
      </c>
      <c r="H67" s="5" t="s">
        <v>306</v>
      </c>
      <c r="I67" s="5" t="s">
        <v>12573</v>
      </c>
      <c r="J67" s="5" t="s">
        <v>12564</v>
      </c>
      <c r="K67" s="5" t="s">
        <v>12574</v>
      </c>
      <c r="L67" s="11">
        <v>2</v>
      </c>
      <c r="M67" s="5" t="s">
        <v>12497</v>
      </c>
    </row>
    <row r="68" spans="2:13" ht="37.5" customHeight="1" x14ac:dyDescent="0.35">
      <c r="B68" s="12">
        <v>5</v>
      </c>
      <c r="C68" s="7" t="s">
        <v>12492</v>
      </c>
      <c r="D68" s="12">
        <v>24</v>
      </c>
      <c r="E68" s="7" t="s">
        <v>12577</v>
      </c>
      <c r="F68" s="7" t="s">
        <v>12578</v>
      </c>
      <c r="G68" s="7" t="s">
        <v>2837</v>
      </c>
      <c r="H68" s="7" t="s">
        <v>37</v>
      </c>
      <c r="I68" s="7" t="s">
        <v>12541</v>
      </c>
      <c r="J68" s="7" t="s">
        <v>2001</v>
      </c>
      <c r="K68" s="7" t="s">
        <v>12554</v>
      </c>
      <c r="L68" s="12">
        <v>1</v>
      </c>
      <c r="M68" s="7" t="s">
        <v>12497</v>
      </c>
    </row>
    <row r="69" spans="2:13" ht="37.5" customHeight="1" x14ac:dyDescent="0.35">
      <c r="B69" s="11">
        <v>5</v>
      </c>
      <c r="C69" s="5" t="s">
        <v>12492</v>
      </c>
      <c r="D69" s="11">
        <v>24</v>
      </c>
      <c r="E69" s="5" t="s">
        <v>12579</v>
      </c>
      <c r="F69" s="5" t="s">
        <v>12580</v>
      </c>
      <c r="G69" s="5" t="s">
        <v>1045</v>
      </c>
      <c r="H69" s="5" t="s">
        <v>37</v>
      </c>
      <c r="I69" s="5" t="s">
        <v>12541</v>
      </c>
      <c r="J69" s="5" t="s">
        <v>2001</v>
      </c>
      <c r="K69" s="5" t="s">
        <v>12554</v>
      </c>
      <c r="L69" s="11">
        <v>1</v>
      </c>
      <c r="M69" s="5" t="s">
        <v>12497</v>
      </c>
    </row>
    <row r="70" spans="2:13" ht="37.5" customHeight="1" x14ac:dyDescent="0.35">
      <c r="B70" s="12">
        <v>5</v>
      </c>
      <c r="C70" s="7" t="s">
        <v>12492</v>
      </c>
      <c r="D70" s="12">
        <v>26</v>
      </c>
      <c r="E70" s="7" t="s">
        <v>12581</v>
      </c>
      <c r="F70" s="7" t="s">
        <v>12582</v>
      </c>
      <c r="G70" s="7" t="s">
        <v>788</v>
      </c>
      <c r="H70" s="7" t="s">
        <v>37</v>
      </c>
      <c r="I70" s="7" t="s">
        <v>12541</v>
      </c>
      <c r="J70" s="7" t="s">
        <v>2001</v>
      </c>
      <c r="K70" s="7" t="s">
        <v>12554</v>
      </c>
      <c r="L70" s="12">
        <v>1</v>
      </c>
      <c r="M70" s="7" t="s">
        <v>12497</v>
      </c>
    </row>
    <row r="71" spans="2:13" ht="37.5" customHeight="1" x14ac:dyDescent="0.35">
      <c r="B71" s="11">
        <v>5</v>
      </c>
      <c r="C71" s="5" t="s">
        <v>12492</v>
      </c>
      <c r="D71" s="11">
        <v>27</v>
      </c>
      <c r="E71" s="5" t="s">
        <v>12583</v>
      </c>
      <c r="F71" s="5" t="s">
        <v>12584</v>
      </c>
      <c r="G71" s="5" t="s">
        <v>12572</v>
      </c>
      <c r="H71" s="5" t="s">
        <v>36</v>
      </c>
      <c r="I71" s="5" t="s">
        <v>12585</v>
      </c>
      <c r="J71" s="5" t="s">
        <v>1192</v>
      </c>
      <c r="K71" s="5" t="s">
        <v>12586</v>
      </c>
      <c r="L71" s="11">
        <v>1</v>
      </c>
      <c r="M71" s="5" t="s">
        <v>12497</v>
      </c>
    </row>
    <row r="72" spans="2:13" ht="52.5" customHeight="1" x14ac:dyDescent="0.35">
      <c r="B72" s="12">
        <v>5</v>
      </c>
      <c r="C72" s="7" t="s">
        <v>12492</v>
      </c>
      <c r="D72" s="12">
        <v>28</v>
      </c>
      <c r="E72" s="7" t="s">
        <v>12587</v>
      </c>
      <c r="F72" s="7" t="s">
        <v>12588</v>
      </c>
      <c r="G72" s="7" t="s">
        <v>31</v>
      </c>
      <c r="H72" s="7" t="s">
        <v>36</v>
      </c>
      <c r="I72" s="7" t="s">
        <v>12589</v>
      </c>
      <c r="J72" s="7" t="s">
        <v>1192</v>
      </c>
      <c r="K72" s="7" t="s">
        <v>12590</v>
      </c>
      <c r="L72" s="12">
        <v>1</v>
      </c>
      <c r="M72" s="7" t="s">
        <v>12497</v>
      </c>
    </row>
    <row r="73" spans="2:13" ht="52.5" customHeight="1" x14ac:dyDescent="0.35">
      <c r="B73" s="11">
        <v>5</v>
      </c>
      <c r="C73" s="5" t="s">
        <v>12492</v>
      </c>
      <c r="D73" s="11">
        <v>29</v>
      </c>
      <c r="E73" s="5" t="s">
        <v>12591</v>
      </c>
      <c r="F73" s="5" t="s">
        <v>12592</v>
      </c>
      <c r="G73" s="5" t="s">
        <v>761</v>
      </c>
      <c r="H73" s="5" t="s">
        <v>36</v>
      </c>
      <c r="I73" s="5" t="s">
        <v>12589</v>
      </c>
      <c r="J73" s="5" t="s">
        <v>1192</v>
      </c>
      <c r="K73" s="5" t="s">
        <v>12590</v>
      </c>
      <c r="L73" s="11">
        <v>1</v>
      </c>
      <c r="M73" s="5" t="s">
        <v>12497</v>
      </c>
    </row>
    <row r="74" spans="2:13" ht="52.5" customHeight="1" x14ac:dyDescent="0.35">
      <c r="B74" s="12">
        <v>5</v>
      </c>
      <c r="C74" s="7" t="s">
        <v>12492</v>
      </c>
      <c r="D74" s="12">
        <v>30</v>
      </c>
      <c r="E74" s="7" t="s">
        <v>12593</v>
      </c>
      <c r="F74" s="7" t="s">
        <v>12594</v>
      </c>
      <c r="G74" s="7" t="s">
        <v>1244</v>
      </c>
      <c r="H74" s="7" t="s">
        <v>36</v>
      </c>
      <c r="I74" s="7" t="s">
        <v>12589</v>
      </c>
      <c r="J74" s="7" t="s">
        <v>1192</v>
      </c>
      <c r="K74" s="7" t="s">
        <v>12590</v>
      </c>
      <c r="L74" s="12">
        <v>1</v>
      </c>
      <c r="M74" s="7" t="s">
        <v>12497</v>
      </c>
    </row>
    <row r="75" spans="2:13" ht="52.5" customHeight="1" x14ac:dyDescent="0.35">
      <c r="B75" s="11">
        <v>5</v>
      </c>
      <c r="C75" s="5" t="s">
        <v>12492</v>
      </c>
      <c r="D75" s="11">
        <v>31</v>
      </c>
      <c r="E75" s="5" t="s">
        <v>12595</v>
      </c>
      <c r="F75" s="5" t="s">
        <v>12596</v>
      </c>
      <c r="G75" s="5" t="s">
        <v>678</v>
      </c>
      <c r="H75" s="5" t="s">
        <v>36</v>
      </c>
      <c r="I75" s="5" t="s">
        <v>12589</v>
      </c>
      <c r="J75" s="5" t="s">
        <v>1192</v>
      </c>
      <c r="K75" s="5" t="s">
        <v>12590</v>
      </c>
      <c r="L75" s="11">
        <v>1</v>
      </c>
      <c r="M75" s="5" t="s">
        <v>12497</v>
      </c>
    </row>
    <row r="76" spans="2:13" ht="52.5" customHeight="1" x14ac:dyDescent="0.35">
      <c r="B76" s="12">
        <v>5</v>
      </c>
      <c r="C76" s="7" t="s">
        <v>12492</v>
      </c>
      <c r="D76" s="12">
        <v>32</v>
      </c>
      <c r="E76" s="7" t="s">
        <v>12597</v>
      </c>
      <c r="F76" s="7" t="s">
        <v>12598</v>
      </c>
      <c r="G76" s="7" t="s">
        <v>24</v>
      </c>
      <c r="H76" s="7" t="s">
        <v>36</v>
      </c>
      <c r="I76" s="7" t="s">
        <v>12589</v>
      </c>
      <c r="J76" s="7" t="s">
        <v>1192</v>
      </c>
      <c r="K76" s="7" t="s">
        <v>12590</v>
      </c>
      <c r="L76" s="12">
        <v>1</v>
      </c>
      <c r="M76" s="7" t="s">
        <v>12497</v>
      </c>
    </row>
    <row r="77" spans="2:13" ht="52.5" customHeight="1" x14ac:dyDescent="0.35">
      <c r="B77" s="11">
        <v>5</v>
      </c>
      <c r="C77" s="5" t="s">
        <v>12492</v>
      </c>
      <c r="D77" s="11">
        <v>33</v>
      </c>
      <c r="E77" s="5" t="s">
        <v>12599</v>
      </c>
      <c r="F77" s="5" t="s">
        <v>12600</v>
      </c>
      <c r="G77" s="5" t="s">
        <v>927</v>
      </c>
      <c r="H77" s="5" t="s">
        <v>36</v>
      </c>
      <c r="I77" s="5" t="s">
        <v>12589</v>
      </c>
      <c r="J77" s="5" t="s">
        <v>1192</v>
      </c>
      <c r="K77" s="5" t="s">
        <v>12590</v>
      </c>
      <c r="L77" s="11">
        <v>1</v>
      </c>
      <c r="M77" s="5" t="s">
        <v>12497</v>
      </c>
    </row>
    <row r="78" spans="2:13" ht="52.5" customHeight="1" x14ac:dyDescent="0.35">
      <c r="B78" s="12">
        <v>5</v>
      </c>
      <c r="C78" s="7" t="s">
        <v>12492</v>
      </c>
      <c r="D78" s="12">
        <v>34</v>
      </c>
      <c r="E78" s="7" t="s">
        <v>12601</v>
      </c>
      <c r="F78" s="7" t="s">
        <v>12602</v>
      </c>
      <c r="G78" s="7" t="s">
        <v>27</v>
      </c>
      <c r="H78" s="7" t="s">
        <v>36</v>
      </c>
      <c r="I78" s="7" t="s">
        <v>12589</v>
      </c>
      <c r="J78" s="7" t="s">
        <v>1192</v>
      </c>
      <c r="K78" s="7" t="s">
        <v>12590</v>
      </c>
      <c r="L78" s="12">
        <v>1</v>
      </c>
      <c r="M78" s="7" t="s">
        <v>12497</v>
      </c>
    </row>
    <row r="79" spans="2:13" ht="37.5" customHeight="1" x14ac:dyDescent="0.35">
      <c r="B79" s="11">
        <v>5</v>
      </c>
      <c r="C79" s="5" t="s">
        <v>12492</v>
      </c>
      <c r="D79" s="11">
        <v>35</v>
      </c>
      <c r="E79" s="5" t="s">
        <v>12603</v>
      </c>
      <c r="F79" s="5" t="s">
        <v>12604</v>
      </c>
      <c r="G79" s="5" t="s">
        <v>279</v>
      </c>
      <c r="H79" s="5" t="s">
        <v>36</v>
      </c>
      <c r="I79" s="5" t="s">
        <v>12605</v>
      </c>
      <c r="J79" s="5" t="s">
        <v>1192</v>
      </c>
      <c r="K79" s="5" t="s">
        <v>12606</v>
      </c>
      <c r="L79" s="11">
        <v>1</v>
      </c>
      <c r="M79" s="5" t="s">
        <v>12497</v>
      </c>
    </row>
    <row r="80" spans="2:13" ht="37.5" customHeight="1" x14ac:dyDescent="0.35">
      <c r="B80" s="12">
        <v>5</v>
      </c>
      <c r="C80" s="7" t="s">
        <v>12492</v>
      </c>
      <c r="D80" s="12">
        <v>36</v>
      </c>
      <c r="E80" s="7" t="s">
        <v>12607</v>
      </c>
      <c r="F80" s="7" t="s">
        <v>12608</v>
      </c>
      <c r="G80" s="7" t="s">
        <v>439</v>
      </c>
      <c r="H80" s="7" t="s">
        <v>36</v>
      </c>
      <c r="I80" s="7" t="s">
        <v>12609</v>
      </c>
      <c r="J80" s="7" t="s">
        <v>1192</v>
      </c>
      <c r="K80" s="7" t="s">
        <v>12610</v>
      </c>
      <c r="L80" s="12">
        <v>1</v>
      </c>
      <c r="M80" s="7" t="s">
        <v>12497</v>
      </c>
    </row>
    <row r="81" spans="2:13" ht="37.5" customHeight="1" x14ac:dyDescent="0.35">
      <c r="B81" s="11">
        <v>5</v>
      </c>
      <c r="C81" s="5" t="s">
        <v>12492</v>
      </c>
      <c r="D81" s="11">
        <v>37</v>
      </c>
      <c r="E81" s="5" t="s">
        <v>12611</v>
      </c>
      <c r="F81" s="5" t="s">
        <v>12612</v>
      </c>
      <c r="G81" s="5" t="s">
        <v>880</v>
      </c>
      <c r="H81" s="5" t="s">
        <v>36</v>
      </c>
      <c r="I81" s="5" t="s">
        <v>12609</v>
      </c>
      <c r="J81" s="5" t="s">
        <v>1192</v>
      </c>
      <c r="K81" s="5" t="s">
        <v>12610</v>
      </c>
      <c r="L81" s="11">
        <v>1</v>
      </c>
      <c r="M81" s="5" t="s">
        <v>12497</v>
      </c>
    </row>
    <row r="82" spans="2:13" ht="37.5" customHeight="1" x14ac:dyDescent="0.35">
      <c r="B82" s="12">
        <v>5</v>
      </c>
      <c r="C82" s="7" t="s">
        <v>12492</v>
      </c>
      <c r="D82" s="12">
        <v>38</v>
      </c>
      <c r="E82" s="7" t="s">
        <v>12613</v>
      </c>
      <c r="F82" s="7" t="s">
        <v>12614</v>
      </c>
      <c r="G82" s="7" t="s">
        <v>698</v>
      </c>
      <c r="H82" s="7" t="s">
        <v>36</v>
      </c>
      <c r="I82" s="7" t="s">
        <v>12609</v>
      </c>
      <c r="J82" s="7" t="s">
        <v>1192</v>
      </c>
      <c r="K82" s="7" t="s">
        <v>12610</v>
      </c>
      <c r="L82" s="12">
        <v>1</v>
      </c>
      <c r="M82" s="7" t="s">
        <v>12497</v>
      </c>
    </row>
    <row r="83" spans="2:13" ht="52.5" customHeight="1" x14ac:dyDescent="0.35">
      <c r="B83" s="11">
        <v>5</v>
      </c>
      <c r="C83" s="5" t="s">
        <v>12492</v>
      </c>
      <c r="D83" s="11">
        <v>39</v>
      </c>
      <c r="E83" s="5" t="s">
        <v>12615</v>
      </c>
      <c r="F83" s="5" t="s">
        <v>12616</v>
      </c>
      <c r="G83" s="5" t="s">
        <v>1667</v>
      </c>
      <c r="H83" s="5" t="s">
        <v>36</v>
      </c>
      <c r="I83" s="5" t="s">
        <v>12589</v>
      </c>
      <c r="J83" s="5" t="s">
        <v>1192</v>
      </c>
      <c r="K83" s="5" t="s">
        <v>12590</v>
      </c>
      <c r="L83" s="11">
        <v>1</v>
      </c>
      <c r="M83" s="5" t="s">
        <v>12497</v>
      </c>
    </row>
    <row r="84" spans="2:13" ht="37.5" customHeight="1" x14ac:dyDescent="0.35">
      <c r="B84" s="12">
        <v>5</v>
      </c>
      <c r="C84" s="7" t="s">
        <v>12492</v>
      </c>
      <c r="D84" s="12">
        <v>40</v>
      </c>
      <c r="E84" s="7" t="s">
        <v>12617</v>
      </c>
      <c r="F84" s="7" t="s">
        <v>12618</v>
      </c>
      <c r="G84" s="7" t="s">
        <v>1781</v>
      </c>
      <c r="H84" s="7" t="s">
        <v>1426</v>
      </c>
      <c r="I84" s="7" t="s">
        <v>12619</v>
      </c>
      <c r="J84" s="7" t="s">
        <v>12620</v>
      </c>
      <c r="K84" s="7" t="s">
        <v>12621</v>
      </c>
      <c r="L84" s="12">
        <v>1</v>
      </c>
      <c r="M84" s="7" t="s">
        <v>12497</v>
      </c>
    </row>
    <row r="85" spans="2:13" ht="37.5" customHeight="1" x14ac:dyDescent="0.35">
      <c r="B85" s="11">
        <v>5</v>
      </c>
      <c r="C85" s="5" t="s">
        <v>12492</v>
      </c>
      <c r="D85" s="11">
        <v>41</v>
      </c>
      <c r="E85" s="5" t="s">
        <v>12622</v>
      </c>
      <c r="F85" s="5" t="s">
        <v>12623</v>
      </c>
      <c r="G85" s="5" t="s">
        <v>249</v>
      </c>
      <c r="H85" s="5" t="s">
        <v>37</v>
      </c>
      <c r="I85" s="5" t="s">
        <v>12624</v>
      </c>
      <c r="J85" s="5" t="s">
        <v>2001</v>
      </c>
      <c r="K85" s="5" t="s">
        <v>12625</v>
      </c>
      <c r="L85" s="11">
        <v>1</v>
      </c>
      <c r="M85" s="5" t="s">
        <v>12497</v>
      </c>
    </row>
    <row r="86" spans="2:13" ht="37.5" customHeight="1" x14ac:dyDescent="0.35">
      <c r="B86" s="12">
        <v>5</v>
      </c>
      <c r="C86" s="7" t="s">
        <v>12492</v>
      </c>
      <c r="D86" s="12">
        <v>42</v>
      </c>
      <c r="E86" s="7" t="s">
        <v>12626</v>
      </c>
      <c r="F86" s="7" t="s">
        <v>12627</v>
      </c>
      <c r="G86" s="7" t="s">
        <v>198</v>
      </c>
      <c r="H86" s="7" t="s">
        <v>37</v>
      </c>
      <c r="I86" s="7" t="s">
        <v>12624</v>
      </c>
      <c r="J86" s="7" t="s">
        <v>2001</v>
      </c>
      <c r="K86" s="7" t="s">
        <v>12625</v>
      </c>
      <c r="L86" s="12">
        <v>1</v>
      </c>
      <c r="M86" s="7" t="s">
        <v>12497</v>
      </c>
    </row>
    <row r="87" spans="2:13" ht="37.5" customHeight="1" x14ac:dyDescent="0.35">
      <c r="B87" s="11">
        <v>5</v>
      </c>
      <c r="C87" s="5" t="s">
        <v>12492</v>
      </c>
      <c r="D87" s="11">
        <v>43</v>
      </c>
      <c r="E87" s="5" t="s">
        <v>12628</v>
      </c>
      <c r="F87" s="5" t="s">
        <v>12629</v>
      </c>
      <c r="G87" s="5" t="s">
        <v>1172</v>
      </c>
      <c r="H87" s="5" t="s">
        <v>37</v>
      </c>
      <c r="I87" s="5" t="s">
        <v>12624</v>
      </c>
      <c r="J87" s="5" t="s">
        <v>2001</v>
      </c>
      <c r="K87" s="5" t="s">
        <v>12625</v>
      </c>
      <c r="L87" s="11">
        <v>1</v>
      </c>
      <c r="M87" s="5" t="s">
        <v>12497</v>
      </c>
    </row>
    <row r="88" spans="2:13" ht="37.5" customHeight="1" x14ac:dyDescent="0.35">
      <c r="B88" s="12">
        <v>5</v>
      </c>
      <c r="C88" s="7" t="s">
        <v>12492</v>
      </c>
      <c r="D88" s="12">
        <v>44</v>
      </c>
      <c r="E88" s="7" t="s">
        <v>12630</v>
      </c>
      <c r="F88" s="7" t="s">
        <v>12631</v>
      </c>
      <c r="G88" s="7" t="s">
        <v>402</v>
      </c>
      <c r="H88" s="7" t="s">
        <v>37</v>
      </c>
      <c r="I88" s="7" t="s">
        <v>12624</v>
      </c>
      <c r="J88" s="7" t="s">
        <v>2001</v>
      </c>
      <c r="K88" s="7" t="s">
        <v>12625</v>
      </c>
      <c r="L88" s="12">
        <v>1</v>
      </c>
      <c r="M88" s="7" t="s">
        <v>12497</v>
      </c>
    </row>
    <row r="89" spans="2:13" ht="37.5" customHeight="1" x14ac:dyDescent="0.35">
      <c r="B89" s="11">
        <v>5</v>
      </c>
      <c r="C89" s="5" t="s">
        <v>12492</v>
      </c>
      <c r="D89" s="11">
        <v>45</v>
      </c>
      <c r="E89" s="5" t="s">
        <v>12632</v>
      </c>
      <c r="F89" s="5" t="s">
        <v>12633</v>
      </c>
      <c r="G89" s="5" t="s">
        <v>944</v>
      </c>
      <c r="H89" s="5" t="s">
        <v>37</v>
      </c>
      <c r="I89" s="5" t="s">
        <v>12624</v>
      </c>
      <c r="J89" s="5" t="s">
        <v>2001</v>
      </c>
      <c r="K89" s="5" t="s">
        <v>12625</v>
      </c>
      <c r="L89" s="11">
        <v>1</v>
      </c>
      <c r="M89" s="5" t="s">
        <v>12497</v>
      </c>
    </row>
    <row r="90" spans="2:13" ht="37.5" customHeight="1" x14ac:dyDescent="0.35">
      <c r="B90" s="12">
        <v>5</v>
      </c>
      <c r="C90" s="7" t="s">
        <v>12492</v>
      </c>
      <c r="D90" s="12">
        <v>46</v>
      </c>
      <c r="E90" s="7" t="s">
        <v>12634</v>
      </c>
      <c r="F90" s="7" t="s">
        <v>12635</v>
      </c>
      <c r="G90" s="7" t="s">
        <v>939</v>
      </c>
      <c r="H90" s="7" t="s">
        <v>37</v>
      </c>
      <c r="I90" s="7" t="s">
        <v>12624</v>
      </c>
      <c r="J90" s="7" t="s">
        <v>2001</v>
      </c>
      <c r="K90" s="7" t="s">
        <v>12625</v>
      </c>
      <c r="L90" s="12">
        <v>1</v>
      </c>
      <c r="M90" s="7" t="s">
        <v>12497</v>
      </c>
    </row>
    <row r="91" spans="2:13" ht="37.5" customHeight="1" x14ac:dyDescent="0.35">
      <c r="B91" s="11">
        <v>5</v>
      </c>
      <c r="C91" s="5" t="s">
        <v>12492</v>
      </c>
      <c r="D91" s="11">
        <v>47</v>
      </c>
      <c r="E91" s="5" t="s">
        <v>12636</v>
      </c>
      <c r="F91" s="5" t="s">
        <v>12637</v>
      </c>
      <c r="G91" s="5" t="s">
        <v>1252</v>
      </c>
      <c r="H91" s="5" t="s">
        <v>37</v>
      </c>
      <c r="I91" s="5" t="s">
        <v>12624</v>
      </c>
      <c r="J91" s="5" t="s">
        <v>2001</v>
      </c>
      <c r="K91" s="5" t="s">
        <v>12625</v>
      </c>
      <c r="L91" s="11">
        <v>1</v>
      </c>
      <c r="M91" s="5" t="s">
        <v>12497</v>
      </c>
    </row>
    <row r="92" spans="2:13" ht="37.5" customHeight="1" x14ac:dyDescent="0.35">
      <c r="B92" s="12">
        <v>5</v>
      </c>
      <c r="C92" s="7" t="s">
        <v>12492</v>
      </c>
      <c r="D92" s="12">
        <v>48</v>
      </c>
      <c r="E92" s="7" t="s">
        <v>12638</v>
      </c>
      <c r="F92" s="7" t="s">
        <v>12639</v>
      </c>
      <c r="G92" s="7" t="s">
        <v>1603</v>
      </c>
      <c r="H92" s="7" t="s">
        <v>36</v>
      </c>
      <c r="I92" s="7" t="s">
        <v>12640</v>
      </c>
      <c r="J92" s="7" t="s">
        <v>1192</v>
      </c>
      <c r="K92" s="7" t="s">
        <v>12641</v>
      </c>
      <c r="L92" s="12">
        <v>1</v>
      </c>
      <c r="M92" s="7" t="s">
        <v>12497</v>
      </c>
    </row>
    <row r="93" spans="2:13" ht="52.5" customHeight="1" x14ac:dyDescent="0.35">
      <c r="B93" s="11">
        <v>5</v>
      </c>
      <c r="C93" s="5" t="s">
        <v>12492</v>
      </c>
      <c r="D93" s="11">
        <v>49</v>
      </c>
      <c r="E93" s="5" t="s">
        <v>12642</v>
      </c>
      <c r="F93" s="5" t="s">
        <v>12643</v>
      </c>
      <c r="G93" s="5" t="s">
        <v>1127</v>
      </c>
      <c r="H93" s="5" t="s">
        <v>36</v>
      </c>
      <c r="I93" s="5" t="s">
        <v>12644</v>
      </c>
      <c r="J93" s="5" t="s">
        <v>1192</v>
      </c>
      <c r="K93" s="5" t="s">
        <v>12645</v>
      </c>
      <c r="L93" s="11">
        <v>1</v>
      </c>
      <c r="M93" s="5" t="s">
        <v>12497</v>
      </c>
    </row>
    <row r="94" spans="2:13" ht="52.5" customHeight="1" x14ac:dyDescent="0.35">
      <c r="B94" s="12">
        <v>5</v>
      </c>
      <c r="C94" s="7" t="s">
        <v>12492</v>
      </c>
      <c r="D94" s="12">
        <v>50</v>
      </c>
      <c r="E94" s="7" t="s">
        <v>12646</v>
      </c>
      <c r="F94" s="7" t="s">
        <v>12647</v>
      </c>
      <c r="G94" s="7" t="s">
        <v>1873</v>
      </c>
      <c r="H94" s="7" t="s">
        <v>36</v>
      </c>
      <c r="I94" s="7" t="s">
        <v>12644</v>
      </c>
      <c r="J94" s="7" t="s">
        <v>1192</v>
      </c>
      <c r="K94" s="7" t="s">
        <v>12645</v>
      </c>
      <c r="L94" s="12">
        <v>1</v>
      </c>
      <c r="M94" s="7" t="s">
        <v>12497</v>
      </c>
    </row>
    <row r="95" spans="2:13" ht="52.5" customHeight="1" x14ac:dyDescent="0.35">
      <c r="B95" s="11">
        <v>5</v>
      </c>
      <c r="C95" s="5" t="s">
        <v>12492</v>
      </c>
      <c r="D95" s="11">
        <v>51</v>
      </c>
      <c r="E95" s="5" t="s">
        <v>12648</v>
      </c>
      <c r="F95" s="5" t="s">
        <v>12649</v>
      </c>
      <c r="G95" s="5" t="s">
        <v>973</v>
      </c>
      <c r="H95" s="5" t="s">
        <v>36</v>
      </c>
      <c r="I95" s="5" t="s">
        <v>12644</v>
      </c>
      <c r="J95" s="5" t="s">
        <v>1192</v>
      </c>
      <c r="K95" s="5" t="s">
        <v>12645</v>
      </c>
      <c r="L95" s="11">
        <v>1</v>
      </c>
      <c r="M95" s="5" t="s">
        <v>12497</v>
      </c>
    </row>
    <row r="96" spans="2:13" ht="37.5" customHeight="1" x14ac:dyDescent="0.35">
      <c r="B96" s="12">
        <v>5</v>
      </c>
      <c r="C96" s="7" t="s">
        <v>12492</v>
      </c>
      <c r="D96" s="12">
        <v>52</v>
      </c>
      <c r="E96" s="7" t="s">
        <v>12650</v>
      </c>
      <c r="F96" s="7" t="s">
        <v>12651</v>
      </c>
      <c r="G96" s="7" t="s">
        <v>1161</v>
      </c>
      <c r="H96" s="7" t="s">
        <v>37</v>
      </c>
      <c r="I96" s="7" t="s">
        <v>12624</v>
      </c>
      <c r="J96" s="7" t="s">
        <v>2001</v>
      </c>
      <c r="K96" s="7" t="s">
        <v>12625</v>
      </c>
      <c r="L96" s="12">
        <v>1</v>
      </c>
      <c r="M96" s="7" t="s">
        <v>12497</v>
      </c>
    </row>
    <row r="97" spans="2:13" ht="37.5" customHeight="1" x14ac:dyDescent="0.35">
      <c r="B97" s="11">
        <v>5</v>
      </c>
      <c r="C97" s="5" t="s">
        <v>12492</v>
      </c>
      <c r="D97" s="11">
        <v>53</v>
      </c>
      <c r="E97" s="5" t="s">
        <v>12652</v>
      </c>
      <c r="F97" s="5" t="s">
        <v>12653</v>
      </c>
      <c r="G97" s="5" t="s">
        <v>900</v>
      </c>
      <c r="H97" s="5" t="s">
        <v>37</v>
      </c>
      <c r="I97" s="5" t="s">
        <v>12624</v>
      </c>
      <c r="J97" s="5" t="s">
        <v>2001</v>
      </c>
      <c r="K97" s="5" t="s">
        <v>12625</v>
      </c>
      <c r="L97" s="11">
        <v>1</v>
      </c>
      <c r="M97" s="5" t="s">
        <v>12497</v>
      </c>
    </row>
    <row r="98" spans="2:13" ht="37.5" customHeight="1" x14ac:dyDescent="0.35">
      <c r="B98" s="12">
        <v>5</v>
      </c>
      <c r="C98" s="7" t="s">
        <v>12492</v>
      </c>
      <c r="D98" s="12">
        <v>54</v>
      </c>
      <c r="E98" s="7" t="s">
        <v>12654</v>
      </c>
      <c r="F98" s="7" t="s">
        <v>12655</v>
      </c>
      <c r="G98" s="7" t="s">
        <v>3997</v>
      </c>
      <c r="H98" s="7" t="s">
        <v>37</v>
      </c>
      <c r="I98" s="7" t="s">
        <v>12624</v>
      </c>
      <c r="J98" s="7" t="s">
        <v>2001</v>
      </c>
      <c r="K98" s="7" t="s">
        <v>12625</v>
      </c>
      <c r="L98" s="12">
        <v>1</v>
      </c>
      <c r="M98" s="7" t="s">
        <v>12497</v>
      </c>
    </row>
    <row r="99" spans="2:13" ht="67.5" customHeight="1" x14ac:dyDescent="0.35">
      <c r="B99" s="11">
        <v>5</v>
      </c>
      <c r="C99" s="5" t="s">
        <v>12492</v>
      </c>
      <c r="D99" s="11">
        <v>55</v>
      </c>
      <c r="E99" s="5" t="s">
        <v>12656</v>
      </c>
      <c r="F99" s="5" t="s">
        <v>12657</v>
      </c>
      <c r="G99" s="5" t="s">
        <v>30</v>
      </c>
      <c r="H99" s="5" t="s">
        <v>306</v>
      </c>
      <c r="I99" s="5" t="s">
        <v>12658</v>
      </c>
      <c r="J99" s="5" t="s">
        <v>12564</v>
      </c>
      <c r="K99" s="5" t="s">
        <v>12659</v>
      </c>
      <c r="L99" s="11">
        <v>2</v>
      </c>
      <c r="M99" s="5" t="s">
        <v>12497</v>
      </c>
    </row>
    <row r="100" spans="2:13" ht="37.5" customHeight="1" x14ac:dyDescent="0.35">
      <c r="B100" s="12">
        <v>5</v>
      </c>
      <c r="C100" s="7" t="s">
        <v>12492</v>
      </c>
      <c r="D100" s="12">
        <v>56</v>
      </c>
      <c r="E100" s="7" t="s">
        <v>12660</v>
      </c>
      <c r="F100" s="7" t="s">
        <v>12661</v>
      </c>
      <c r="G100" s="7" t="s">
        <v>232</v>
      </c>
      <c r="H100" s="7" t="s">
        <v>37</v>
      </c>
      <c r="I100" s="7" t="s">
        <v>12624</v>
      </c>
      <c r="J100" s="7" t="s">
        <v>2001</v>
      </c>
      <c r="K100" s="7" t="s">
        <v>12625</v>
      </c>
      <c r="L100" s="12">
        <v>1</v>
      </c>
      <c r="M100" s="7" t="s">
        <v>12497</v>
      </c>
    </row>
    <row r="101" spans="2:13" ht="37.5" customHeight="1" x14ac:dyDescent="0.35">
      <c r="B101" s="11">
        <v>5</v>
      </c>
      <c r="C101" s="5" t="s">
        <v>12492</v>
      </c>
      <c r="D101" s="11">
        <v>57</v>
      </c>
      <c r="E101" s="5" t="s">
        <v>12662</v>
      </c>
      <c r="F101" s="5" t="s">
        <v>12663</v>
      </c>
      <c r="G101" s="5" t="s">
        <v>26</v>
      </c>
      <c r="H101" s="5" t="s">
        <v>42</v>
      </c>
      <c r="I101" s="5" t="s">
        <v>12664</v>
      </c>
      <c r="J101" s="5" t="s">
        <v>12665</v>
      </c>
      <c r="K101" s="5" t="s">
        <v>12666</v>
      </c>
      <c r="L101" s="11">
        <v>1</v>
      </c>
      <c r="M101" s="5" t="s">
        <v>12497</v>
      </c>
    </row>
    <row r="102" spans="2:13" ht="67.5" customHeight="1" x14ac:dyDescent="0.35">
      <c r="B102" s="12">
        <v>5</v>
      </c>
      <c r="C102" s="7" t="s">
        <v>12492</v>
      </c>
      <c r="D102" s="12">
        <v>58</v>
      </c>
      <c r="E102" s="7" t="s">
        <v>12667</v>
      </c>
      <c r="F102" s="7" t="s">
        <v>12668</v>
      </c>
      <c r="G102" s="7" t="s">
        <v>4213</v>
      </c>
      <c r="H102" s="7" t="s">
        <v>306</v>
      </c>
      <c r="I102" s="7" t="s">
        <v>12658</v>
      </c>
      <c r="J102" s="7" t="s">
        <v>12564</v>
      </c>
      <c r="K102" s="7" t="s">
        <v>12659</v>
      </c>
      <c r="L102" s="12">
        <v>2</v>
      </c>
      <c r="M102" s="7" t="s">
        <v>12497</v>
      </c>
    </row>
    <row r="103" spans="2:13" ht="37.5" customHeight="1" x14ac:dyDescent="0.35">
      <c r="B103" s="11">
        <v>5</v>
      </c>
      <c r="C103" s="5" t="s">
        <v>12492</v>
      </c>
      <c r="D103" s="11">
        <v>59</v>
      </c>
      <c r="E103" s="5" t="s">
        <v>12669</v>
      </c>
      <c r="F103" s="5" t="s">
        <v>12670</v>
      </c>
      <c r="G103" s="5" t="s">
        <v>1164</v>
      </c>
      <c r="H103" s="5" t="s">
        <v>37</v>
      </c>
      <c r="I103" s="5" t="s">
        <v>12624</v>
      </c>
      <c r="J103" s="5" t="s">
        <v>2001</v>
      </c>
      <c r="K103" s="5" t="s">
        <v>12625</v>
      </c>
      <c r="L103" s="11">
        <v>1</v>
      </c>
      <c r="M103" s="5" t="s">
        <v>12497</v>
      </c>
    </row>
    <row r="104" spans="2:13" ht="37.5" customHeight="1" x14ac:dyDescent="0.35">
      <c r="B104" s="12">
        <v>5</v>
      </c>
      <c r="C104" s="7" t="s">
        <v>12492</v>
      </c>
      <c r="D104" s="12">
        <v>60</v>
      </c>
      <c r="E104" s="7" t="s">
        <v>12671</v>
      </c>
      <c r="F104" s="7" t="s">
        <v>12672</v>
      </c>
      <c r="G104" s="7" t="s">
        <v>1214</v>
      </c>
      <c r="H104" s="7" t="s">
        <v>37</v>
      </c>
      <c r="I104" s="7" t="s">
        <v>12624</v>
      </c>
      <c r="J104" s="7" t="s">
        <v>2001</v>
      </c>
      <c r="K104" s="7" t="s">
        <v>12625</v>
      </c>
      <c r="L104" s="12">
        <v>1</v>
      </c>
      <c r="M104" s="7" t="s">
        <v>12497</v>
      </c>
    </row>
    <row r="105" spans="2:13" ht="37.5" customHeight="1" x14ac:dyDescent="0.35">
      <c r="B105" s="11">
        <v>5</v>
      </c>
      <c r="C105" s="5" t="s">
        <v>12492</v>
      </c>
      <c r="D105" s="11">
        <v>61</v>
      </c>
      <c r="E105" s="5" t="s">
        <v>12673</v>
      </c>
      <c r="F105" s="5" t="s">
        <v>12674</v>
      </c>
      <c r="G105" s="5" t="s">
        <v>1211</v>
      </c>
      <c r="H105" s="5" t="s">
        <v>37</v>
      </c>
      <c r="I105" s="5" t="s">
        <v>12624</v>
      </c>
      <c r="J105" s="5" t="s">
        <v>2001</v>
      </c>
      <c r="K105" s="5" t="s">
        <v>12625</v>
      </c>
      <c r="L105" s="11">
        <v>1</v>
      </c>
      <c r="M105" s="5" t="s">
        <v>12497</v>
      </c>
    </row>
    <row r="106" spans="2:13" ht="37.5" customHeight="1" x14ac:dyDescent="0.35">
      <c r="B106" s="12">
        <v>5</v>
      </c>
      <c r="C106" s="7" t="s">
        <v>12492</v>
      </c>
      <c r="D106" s="12">
        <v>62</v>
      </c>
      <c r="E106" s="7" t="s">
        <v>12675</v>
      </c>
      <c r="F106" s="7" t="s">
        <v>12676</v>
      </c>
      <c r="G106" s="7" t="s">
        <v>2837</v>
      </c>
      <c r="H106" s="7" t="s">
        <v>37</v>
      </c>
      <c r="I106" s="7" t="s">
        <v>12624</v>
      </c>
      <c r="J106" s="7" t="s">
        <v>2001</v>
      </c>
      <c r="K106" s="7" t="s">
        <v>12625</v>
      </c>
      <c r="L106" s="12">
        <v>1</v>
      </c>
      <c r="M106" s="7" t="s">
        <v>12497</v>
      </c>
    </row>
    <row r="107" spans="2:13" ht="37.5" customHeight="1" x14ac:dyDescent="0.35">
      <c r="B107" s="11">
        <v>5</v>
      </c>
      <c r="C107" s="5" t="s">
        <v>12492</v>
      </c>
      <c r="D107" s="11">
        <v>63</v>
      </c>
      <c r="E107" s="5" t="s">
        <v>12677</v>
      </c>
      <c r="F107" s="5" t="s">
        <v>12678</v>
      </c>
      <c r="G107" s="5" t="s">
        <v>1206</v>
      </c>
      <c r="H107" s="5" t="s">
        <v>37</v>
      </c>
      <c r="I107" s="5" t="s">
        <v>12624</v>
      </c>
      <c r="J107" s="5" t="s">
        <v>2001</v>
      </c>
      <c r="K107" s="5" t="s">
        <v>12625</v>
      </c>
      <c r="L107" s="11">
        <v>1</v>
      </c>
      <c r="M107" s="5" t="s">
        <v>12497</v>
      </c>
    </row>
    <row r="108" spans="2:13" ht="37.5" customHeight="1" x14ac:dyDescent="0.35">
      <c r="B108" s="12"/>
      <c r="C108" s="7" t="s">
        <v>12679</v>
      </c>
      <c r="D108" s="12">
        <v>64</v>
      </c>
      <c r="E108" s="7" t="s">
        <v>12680</v>
      </c>
      <c r="F108" s="7" t="s">
        <v>12681</v>
      </c>
      <c r="G108" s="7" t="s">
        <v>1203</v>
      </c>
      <c r="H108" s="7" t="s">
        <v>37</v>
      </c>
      <c r="I108" s="7" t="s">
        <v>12624</v>
      </c>
      <c r="J108" s="7" t="s">
        <v>2001</v>
      </c>
      <c r="K108" s="7" t="s">
        <v>12625</v>
      </c>
      <c r="L108" s="12">
        <v>1</v>
      </c>
      <c r="M108" s="7"/>
    </row>
    <row r="109" spans="2:13" ht="37.5" customHeight="1" x14ac:dyDescent="0.35">
      <c r="B109" s="11"/>
      <c r="C109" s="5" t="s">
        <v>12679</v>
      </c>
      <c r="D109" s="11">
        <v>65</v>
      </c>
      <c r="E109" s="5" t="s">
        <v>12682</v>
      </c>
      <c r="F109" s="5" t="s">
        <v>12683</v>
      </c>
      <c r="G109" s="5" t="s">
        <v>4255</v>
      </c>
      <c r="H109" s="5" t="s">
        <v>37</v>
      </c>
      <c r="I109" s="5" t="s">
        <v>12624</v>
      </c>
      <c r="J109" s="5" t="s">
        <v>2001</v>
      </c>
      <c r="K109" s="5" t="s">
        <v>12625</v>
      </c>
      <c r="L109" s="11">
        <v>1</v>
      </c>
      <c r="M109" s="5"/>
    </row>
    <row r="110" spans="2:13" ht="37.5" customHeight="1" x14ac:dyDescent="0.35">
      <c r="B110" s="12"/>
      <c r="C110" s="7" t="s">
        <v>12679</v>
      </c>
      <c r="D110" s="12">
        <v>66</v>
      </c>
      <c r="E110" s="7" t="s">
        <v>12684</v>
      </c>
      <c r="F110" s="7" t="s">
        <v>12685</v>
      </c>
      <c r="G110" s="7" t="s">
        <v>1196</v>
      </c>
      <c r="H110" s="7" t="s">
        <v>37</v>
      </c>
      <c r="I110" s="7" t="s">
        <v>12624</v>
      </c>
      <c r="J110" s="7" t="s">
        <v>2001</v>
      </c>
      <c r="K110" s="7" t="s">
        <v>12625</v>
      </c>
      <c r="L110" s="12">
        <v>1</v>
      </c>
      <c r="M110" s="7"/>
    </row>
    <row r="111" spans="2:13" ht="37.5" customHeight="1" x14ac:dyDescent="0.35">
      <c r="B111" s="11"/>
      <c r="C111" s="5" t="s">
        <v>12679</v>
      </c>
      <c r="D111" s="11">
        <v>67</v>
      </c>
      <c r="E111" s="5" t="s">
        <v>12686</v>
      </c>
      <c r="F111" s="5" t="s">
        <v>12687</v>
      </c>
      <c r="G111" s="5" t="s">
        <v>12025</v>
      </c>
      <c r="H111" s="5" t="s">
        <v>37</v>
      </c>
      <c r="I111" s="5" t="s">
        <v>12624</v>
      </c>
      <c r="J111" s="5" t="s">
        <v>2001</v>
      </c>
      <c r="K111" s="5" t="s">
        <v>12625</v>
      </c>
      <c r="L111" s="11">
        <v>1</v>
      </c>
      <c r="M111" s="5"/>
    </row>
    <row r="112" spans="2:13" ht="37.5" customHeight="1" x14ac:dyDescent="0.35">
      <c r="B112" s="12"/>
      <c r="C112" s="7" t="s">
        <v>12679</v>
      </c>
      <c r="D112" s="12">
        <v>68</v>
      </c>
      <c r="E112" s="7" t="s">
        <v>12688</v>
      </c>
      <c r="F112" s="7" t="s">
        <v>12689</v>
      </c>
      <c r="G112" s="7" t="s">
        <v>662</v>
      </c>
      <c r="H112" s="7" t="s">
        <v>1948</v>
      </c>
      <c r="I112" s="7" t="s">
        <v>12690</v>
      </c>
      <c r="J112" s="7" t="s">
        <v>2038</v>
      </c>
      <c r="K112" s="7" t="s">
        <v>12691</v>
      </c>
      <c r="L112" s="12">
        <v>1</v>
      </c>
      <c r="M112" s="7"/>
    </row>
    <row r="113" spans="2:13" ht="37.5" customHeight="1" x14ac:dyDescent="0.35">
      <c r="B113" s="11"/>
      <c r="C113" s="5" t="s">
        <v>12679</v>
      </c>
      <c r="D113" s="11">
        <v>69</v>
      </c>
      <c r="E113" s="5" t="s">
        <v>12692</v>
      </c>
      <c r="F113" s="5" t="s">
        <v>12693</v>
      </c>
      <c r="G113" s="5" t="s">
        <v>1680</v>
      </c>
      <c r="H113" s="5" t="s">
        <v>36</v>
      </c>
      <c r="I113" s="5" t="s">
        <v>12694</v>
      </c>
      <c r="J113" s="5" t="s">
        <v>12695</v>
      </c>
      <c r="K113" s="5" t="s">
        <v>12696</v>
      </c>
      <c r="L113" s="11">
        <v>1</v>
      </c>
      <c r="M113" s="5"/>
    </row>
    <row r="114" spans="2:13" ht="52.5" customHeight="1" x14ac:dyDescent="0.35">
      <c r="B114" s="12"/>
      <c r="C114" s="7" t="s">
        <v>12679</v>
      </c>
      <c r="D114" s="12">
        <v>70</v>
      </c>
      <c r="E114" s="7" t="s">
        <v>12697</v>
      </c>
      <c r="F114" s="7" t="s">
        <v>12698</v>
      </c>
      <c r="G114" s="7" t="s">
        <v>536</v>
      </c>
      <c r="H114" s="7" t="s">
        <v>36</v>
      </c>
      <c r="I114" s="7" t="s">
        <v>12644</v>
      </c>
      <c r="J114" s="7" t="s">
        <v>1192</v>
      </c>
      <c r="K114" s="7" t="s">
        <v>12645</v>
      </c>
      <c r="L114" s="12">
        <v>1</v>
      </c>
      <c r="M114" s="7"/>
    </row>
    <row r="115" spans="2:13" ht="52.5" customHeight="1" x14ac:dyDescent="0.35">
      <c r="B115" s="11"/>
      <c r="C115" s="5" t="s">
        <v>12679</v>
      </c>
      <c r="D115" s="11">
        <v>71</v>
      </c>
      <c r="E115" s="5" t="s">
        <v>12699</v>
      </c>
      <c r="F115" s="5" t="s">
        <v>12700</v>
      </c>
      <c r="G115" s="5" t="s">
        <v>1560</v>
      </c>
      <c r="H115" s="5" t="s">
        <v>36</v>
      </c>
      <c r="I115" s="5" t="s">
        <v>12644</v>
      </c>
      <c r="J115" s="5" t="s">
        <v>1192</v>
      </c>
      <c r="K115" s="5" t="s">
        <v>12645</v>
      </c>
      <c r="L115" s="11">
        <v>1</v>
      </c>
      <c r="M115" s="5"/>
    </row>
    <row r="116" spans="2:13" ht="52.5" customHeight="1" x14ac:dyDescent="0.35">
      <c r="B116" s="12"/>
      <c r="C116" s="7" t="s">
        <v>12679</v>
      </c>
      <c r="D116" s="12">
        <v>72</v>
      </c>
      <c r="E116" s="7" t="s">
        <v>12701</v>
      </c>
      <c r="F116" s="7" t="s">
        <v>12702</v>
      </c>
      <c r="G116" s="7" t="s">
        <v>842</v>
      </c>
      <c r="H116" s="7" t="s">
        <v>36</v>
      </c>
      <c r="I116" s="7" t="s">
        <v>12644</v>
      </c>
      <c r="J116" s="7" t="s">
        <v>1192</v>
      </c>
      <c r="K116" s="7" t="s">
        <v>12645</v>
      </c>
      <c r="L116" s="12">
        <v>1</v>
      </c>
      <c r="M116" s="7"/>
    </row>
    <row r="117" spans="2:13" ht="52.5" customHeight="1" x14ac:dyDescent="0.35">
      <c r="B117" s="11"/>
      <c r="C117" s="5" t="s">
        <v>12679</v>
      </c>
      <c r="D117" s="11">
        <v>73</v>
      </c>
      <c r="E117" s="5" t="s">
        <v>12703</v>
      </c>
      <c r="F117" s="5" t="s">
        <v>12704</v>
      </c>
      <c r="G117" s="5" t="s">
        <v>1226</v>
      </c>
      <c r="H117" s="5" t="s">
        <v>36</v>
      </c>
      <c r="I117" s="5" t="s">
        <v>12644</v>
      </c>
      <c r="J117" s="5" t="s">
        <v>1192</v>
      </c>
      <c r="K117" s="5" t="s">
        <v>12645</v>
      </c>
      <c r="L117" s="11">
        <v>1</v>
      </c>
      <c r="M117" s="5"/>
    </row>
    <row r="118" spans="2:13" ht="52.5" customHeight="1" x14ac:dyDescent="0.35">
      <c r="B118" s="12"/>
      <c r="C118" s="7" t="s">
        <v>12679</v>
      </c>
      <c r="D118" s="12">
        <v>74</v>
      </c>
      <c r="E118" s="7" t="s">
        <v>12705</v>
      </c>
      <c r="F118" s="7" t="s">
        <v>12706</v>
      </c>
      <c r="G118" s="7" t="s">
        <v>794</v>
      </c>
      <c r="H118" s="7" t="s">
        <v>36</v>
      </c>
      <c r="I118" s="7" t="s">
        <v>12644</v>
      </c>
      <c r="J118" s="7" t="s">
        <v>1192</v>
      </c>
      <c r="K118" s="7" t="s">
        <v>12645</v>
      </c>
      <c r="L118" s="12">
        <v>1</v>
      </c>
      <c r="M118" s="7"/>
    </row>
    <row r="119" spans="2:13" ht="52.5" customHeight="1" x14ac:dyDescent="0.35">
      <c r="B119" s="11"/>
      <c r="C119" s="5" t="s">
        <v>12679</v>
      </c>
      <c r="D119" s="11">
        <v>75</v>
      </c>
      <c r="E119" s="5" t="s">
        <v>12707</v>
      </c>
      <c r="F119" s="5" t="s">
        <v>12708</v>
      </c>
      <c r="G119" s="5" t="s">
        <v>188</v>
      </c>
      <c r="H119" s="5" t="s">
        <v>36</v>
      </c>
      <c r="I119" s="5" t="s">
        <v>12644</v>
      </c>
      <c r="J119" s="5" t="s">
        <v>1192</v>
      </c>
      <c r="K119" s="5" t="s">
        <v>12645</v>
      </c>
      <c r="L119" s="11">
        <v>1</v>
      </c>
      <c r="M119" s="5"/>
    </row>
    <row r="120" spans="2:13" ht="37.5" customHeight="1" x14ac:dyDescent="0.35">
      <c r="B120" s="12"/>
      <c r="C120" s="7" t="s">
        <v>12679</v>
      </c>
      <c r="D120" s="12">
        <v>76</v>
      </c>
      <c r="E120" s="7" t="s">
        <v>12709</v>
      </c>
      <c r="F120" s="7" t="s">
        <v>12710</v>
      </c>
      <c r="G120" s="7" t="s">
        <v>856</v>
      </c>
      <c r="H120" s="7" t="s">
        <v>37</v>
      </c>
      <c r="I120" s="7" t="s">
        <v>12624</v>
      </c>
      <c r="J120" s="7" t="s">
        <v>2001</v>
      </c>
      <c r="K120" s="7" t="s">
        <v>12625</v>
      </c>
      <c r="L120" s="12">
        <v>1</v>
      </c>
      <c r="M120" s="7"/>
    </row>
    <row r="121" spans="2:13" ht="37.5" customHeight="1" x14ac:dyDescent="0.35">
      <c r="B121" s="11"/>
      <c r="C121" s="5" t="s">
        <v>12679</v>
      </c>
      <c r="D121" s="11">
        <v>77</v>
      </c>
      <c r="E121" s="5" t="s">
        <v>12711</v>
      </c>
      <c r="F121" s="5" t="s">
        <v>12712</v>
      </c>
      <c r="G121" s="5" t="s">
        <v>319</v>
      </c>
      <c r="H121" s="5" t="s">
        <v>37</v>
      </c>
      <c r="I121" s="5" t="s">
        <v>12624</v>
      </c>
      <c r="J121" s="5" t="s">
        <v>2001</v>
      </c>
      <c r="K121" s="5" t="s">
        <v>12625</v>
      </c>
      <c r="L121" s="11">
        <v>1</v>
      </c>
      <c r="M121" s="5"/>
    </row>
    <row r="122" spans="2:13" ht="67.5" customHeight="1" x14ac:dyDescent="0.35">
      <c r="B122" s="12"/>
      <c r="C122" s="7" t="s">
        <v>12679</v>
      </c>
      <c r="D122" s="12">
        <v>78</v>
      </c>
      <c r="E122" s="7" t="s">
        <v>12713</v>
      </c>
      <c r="F122" s="7" t="s">
        <v>12714</v>
      </c>
      <c r="G122" s="7" t="s">
        <v>12715</v>
      </c>
      <c r="H122" s="7" t="s">
        <v>306</v>
      </c>
      <c r="I122" s="7" t="s">
        <v>12658</v>
      </c>
      <c r="J122" s="7" t="s">
        <v>12564</v>
      </c>
      <c r="K122" s="7" t="s">
        <v>12659</v>
      </c>
      <c r="L122" s="12">
        <v>2</v>
      </c>
      <c r="M122" s="7"/>
    </row>
    <row r="123" spans="2:13" ht="37.5" customHeight="1" x14ac:dyDescent="0.35">
      <c r="B123" s="11"/>
      <c r="C123" s="5" t="s">
        <v>12679</v>
      </c>
      <c r="D123" s="11">
        <v>79</v>
      </c>
      <c r="E123" s="5" t="s">
        <v>12716</v>
      </c>
      <c r="F123" s="5" t="s">
        <v>12717</v>
      </c>
      <c r="G123" s="5" t="s">
        <v>4703</v>
      </c>
      <c r="H123" s="5" t="s">
        <v>37</v>
      </c>
      <c r="I123" s="5" t="s">
        <v>12624</v>
      </c>
      <c r="J123" s="5" t="s">
        <v>2001</v>
      </c>
      <c r="K123" s="5" t="s">
        <v>12625</v>
      </c>
      <c r="L123" s="11">
        <v>1</v>
      </c>
      <c r="M123" s="5"/>
    </row>
    <row r="124" spans="2:13" ht="52.5" customHeight="1" x14ac:dyDescent="0.35">
      <c r="B124" s="12"/>
      <c r="C124" s="7" t="s">
        <v>12679</v>
      </c>
      <c r="D124" s="12">
        <v>80</v>
      </c>
      <c r="E124" s="7" t="s">
        <v>12718</v>
      </c>
      <c r="F124" s="7" t="s">
        <v>12719</v>
      </c>
      <c r="G124" s="7" t="s">
        <v>1145</v>
      </c>
      <c r="H124" s="7" t="s">
        <v>36</v>
      </c>
      <c r="I124" s="7" t="s">
        <v>12644</v>
      </c>
      <c r="J124" s="7" t="s">
        <v>1192</v>
      </c>
      <c r="K124" s="7" t="s">
        <v>12645</v>
      </c>
      <c r="L124" s="12">
        <v>1</v>
      </c>
      <c r="M124" s="7"/>
    </row>
    <row r="125" spans="2:13" ht="52.5" customHeight="1" x14ac:dyDescent="0.35">
      <c r="B125" s="11"/>
      <c r="C125" s="5" t="s">
        <v>12679</v>
      </c>
      <c r="D125" s="11">
        <v>81</v>
      </c>
      <c r="E125" s="5" t="s">
        <v>12720</v>
      </c>
      <c r="F125" s="5" t="s">
        <v>12721</v>
      </c>
      <c r="G125" s="5" t="s">
        <v>7083</v>
      </c>
      <c r="H125" s="5" t="s">
        <v>36</v>
      </c>
      <c r="I125" s="5" t="s">
        <v>12644</v>
      </c>
      <c r="J125" s="5" t="s">
        <v>1192</v>
      </c>
      <c r="K125" s="5" t="s">
        <v>12645</v>
      </c>
      <c r="L125" s="11">
        <v>1</v>
      </c>
      <c r="M125" s="5"/>
    </row>
    <row r="126" spans="2:13" ht="52.5" customHeight="1" x14ac:dyDescent="0.35">
      <c r="B126" s="12"/>
      <c r="C126" s="7" t="s">
        <v>12679</v>
      </c>
      <c r="D126" s="12">
        <v>82</v>
      </c>
      <c r="E126" s="7" t="s">
        <v>12632</v>
      </c>
      <c r="F126" s="7" t="s">
        <v>12722</v>
      </c>
      <c r="G126" s="7" t="s">
        <v>944</v>
      </c>
      <c r="H126" s="7" t="s">
        <v>36</v>
      </c>
      <c r="I126" s="7" t="s">
        <v>12644</v>
      </c>
      <c r="J126" s="7" t="s">
        <v>1192</v>
      </c>
      <c r="K126" s="7" t="s">
        <v>12645</v>
      </c>
      <c r="L126" s="12">
        <v>1</v>
      </c>
      <c r="M126" s="7"/>
    </row>
    <row r="127" spans="2:13" ht="52.5" customHeight="1" x14ac:dyDescent="0.35">
      <c r="B127" s="11"/>
      <c r="C127" s="5" t="s">
        <v>12679</v>
      </c>
      <c r="D127" s="11">
        <v>83</v>
      </c>
      <c r="E127" s="5" t="s">
        <v>12723</v>
      </c>
      <c r="F127" s="5" t="s">
        <v>12724</v>
      </c>
      <c r="G127" s="5" t="s">
        <v>924</v>
      </c>
      <c r="H127" s="5" t="s">
        <v>36</v>
      </c>
      <c r="I127" s="5" t="s">
        <v>12644</v>
      </c>
      <c r="J127" s="5" t="s">
        <v>1192</v>
      </c>
      <c r="K127" s="5" t="s">
        <v>12645</v>
      </c>
      <c r="L127" s="11">
        <v>1</v>
      </c>
      <c r="M127" s="5"/>
    </row>
    <row r="128" spans="2:13" ht="52.5" customHeight="1" x14ac:dyDescent="0.35">
      <c r="B128" s="12"/>
      <c r="C128" s="7" t="s">
        <v>12679</v>
      </c>
      <c r="D128" s="12">
        <v>84</v>
      </c>
      <c r="E128" s="7" t="s">
        <v>12725</v>
      </c>
      <c r="F128" s="7" t="s">
        <v>12726</v>
      </c>
      <c r="G128" s="7" t="s">
        <v>638</v>
      </c>
      <c r="H128" s="7" t="s">
        <v>36</v>
      </c>
      <c r="I128" s="7" t="s">
        <v>12644</v>
      </c>
      <c r="J128" s="7" t="s">
        <v>1192</v>
      </c>
      <c r="K128" s="7" t="s">
        <v>12645</v>
      </c>
      <c r="L128" s="12">
        <v>1</v>
      </c>
      <c r="M128" s="7"/>
    </row>
    <row r="129" spans="2:13" ht="52.5" customHeight="1" x14ac:dyDescent="0.35">
      <c r="B129" s="11"/>
      <c r="C129" s="5" t="s">
        <v>12679</v>
      </c>
      <c r="D129" s="11">
        <v>85</v>
      </c>
      <c r="E129" s="5" t="s">
        <v>12727</v>
      </c>
      <c r="F129" s="5" t="s">
        <v>12728</v>
      </c>
      <c r="G129" s="5" t="s">
        <v>8619</v>
      </c>
      <c r="H129" s="5" t="s">
        <v>36</v>
      </c>
      <c r="I129" s="5" t="s">
        <v>12644</v>
      </c>
      <c r="J129" s="5" t="s">
        <v>1192</v>
      </c>
      <c r="K129" s="5" t="s">
        <v>12645</v>
      </c>
      <c r="L129" s="11">
        <v>1</v>
      </c>
      <c r="M129" s="5"/>
    </row>
    <row r="130" spans="2:13" ht="52.5" customHeight="1" x14ac:dyDescent="0.35">
      <c r="B130" s="12"/>
      <c r="C130" s="7" t="s">
        <v>12729</v>
      </c>
      <c r="D130" s="12">
        <v>86</v>
      </c>
      <c r="E130" s="7" t="s">
        <v>12730</v>
      </c>
      <c r="F130" s="7" t="s">
        <v>12731</v>
      </c>
      <c r="G130" s="7" t="s">
        <v>4815</v>
      </c>
      <c r="H130" s="7" t="s">
        <v>36</v>
      </c>
      <c r="I130" s="7" t="s">
        <v>12644</v>
      </c>
      <c r="J130" s="7" t="s">
        <v>1192</v>
      </c>
      <c r="K130" s="7" t="s">
        <v>12645</v>
      </c>
      <c r="L130" s="12">
        <v>1</v>
      </c>
      <c r="M130" s="7"/>
    </row>
    <row r="131" spans="2:13" ht="52.5" customHeight="1" x14ac:dyDescent="0.35">
      <c r="B131" s="11"/>
      <c r="C131" s="5" t="s">
        <v>12729</v>
      </c>
      <c r="D131" s="11">
        <v>87</v>
      </c>
      <c r="E131" s="5" t="s">
        <v>12732</v>
      </c>
      <c r="F131" s="5" t="s">
        <v>12733</v>
      </c>
      <c r="G131" s="5" t="s">
        <v>3492</v>
      </c>
      <c r="H131" s="5" t="s">
        <v>36</v>
      </c>
      <c r="I131" s="5" t="s">
        <v>12644</v>
      </c>
      <c r="J131" s="5" t="s">
        <v>1192</v>
      </c>
      <c r="K131" s="5" t="s">
        <v>12645</v>
      </c>
      <c r="L131" s="11">
        <v>1</v>
      </c>
      <c r="M131" s="5"/>
    </row>
    <row r="132" spans="2:13" ht="67.5" customHeight="1" x14ac:dyDescent="0.35">
      <c r="B132" s="12"/>
      <c r="C132" s="7" t="s">
        <v>12729</v>
      </c>
      <c r="D132" s="12">
        <v>88</v>
      </c>
      <c r="E132" s="7" t="s">
        <v>12734</v>
      </c>
      <c r="F132" s="7" t="s">
        <v>12735</v>
      </c>
      <c r="G132" s="7" t="s">
        <v>742</v>
      </c>
      <c r="H132" s="7" t="s">
        <v>2161</v>
      </c>
      <c r="I132" s="7" t="s">
        <v>12736</v>
      </c>
      <c r="J132" s="7" t="s">
        <v>1192</v>
      </c>
      <c r="K132" s="7" t="s">
        <v>12737</v>
      </c>
      <c r="L132" s="12">
        <v>2</v>
      </c>
      <c r="M132" s="7"/>
    </row>
    <row r="133" spans="2:13" ht="52.5" customHeight="1" x14ac:dyDescent="0.35">
      <c r="B133" s="11"/>
      <c r="C133" s="5" t="s">
        <v>12729</v>
      </c>
      <c r="D133" s="11">
        <v>89</v>
      </c>
      <c r="E133" s="5" t="s">
        <v>12738</v>
      </c>
      <c r="F133" s="5" t="s">
        <v>12739</v>
      </c>
      <c r="G133" s="5" t="s">
        <v>4826</v>
      </c>
      <c r="H133" s="5" t="s">
        <v>36</v>
      </c>
      <c r="I133" s="5" t="s">
        <v>12644</v>
      </c>
      <c r="J133" s="5" t="s">
        <v>1192</v>
      </c>
      <c r="K133" s="5" t="s">
        <v>12645</v>
      </c>
      <c r="L133" s="11">
        <v>1</v>
      </c>
      <c r="M133" s="5"/>
    </row>
    <row r="134" spans="2:13" ht="52.5" customHeight="1" x14ac:dyDescent="0.35">
      <c r="B134" s="12"/>
      <c r="C134" s="7" t="s">
        <v>12729</v>
      </c>
      <c r="D134" s="12">
        <v>90</v>
      </c>
      <c r="E134" s="7" t="s">
        <v>12740</v>
      </c>
      <c r="F134" s="7" t="s">
        <v>12741</v>
      </c>
      <c r="G134" s="7" t="s">
        <v>262</v>
      </c>
      <c r="H134" s="7" t="s">
        <v>36</v>
      </c>
      <c r="I134" s="7" t="s">
        <v>12644</v>
      </c>
      <c r="J134" s="7" t="s">
        <v>1192</v>
      </c>
      <c r="K134" s="7" t="s">
        <v>12645</v>
      </c>
      <c r="L134" s="12">
        <v>1</v>
      </c>
      <c r="M134" s="7"/>
    </row>
    <row r="135" spans="2:13" ht="52.5" customHeight="1" x14ac:dyDescent="0.35">
      <c r="B135" s="11"/>
      <c r="C135" s="5" t="s">
        <v>12729</v>
      </c>
      <c r="D135" s="11">
        <v>91</v>
      </c>
      <c r="E135" s="5" t="s">
        <v>12742</v>
      </c>
      <c r="F135" s="5" t="s">
        <v>12743</v>
      </c>
      <c r="G135" s="5" t="s">
        <v>12744</v>
      </c>
      <c r="H135" s="5" t="s">
        <v>36</v>
      </c>
      <c r="I135" s="5" t="s">
        <v>12644</v>
      </c>
      <c r="J135" s="5" t="s">
        <v>1192</v>
      </c>
      <c r="K135" s="5" t="s">
        <v>12645</v>
      </c>
      <c r="L135" s="11">
        <v>1</v>
      </c>
      <c r="M135" s="5"/>
    </row>
    <row r="136" spans="2:13" ht="67.5" customHeight="1" x14ac:dyDescent="0.35">
      <c r="B136" s="12"/>
      <c r="C136" s="7" t="s">
        <v>12729</v>
      </c>
      <c r="D136" s="12">
        <v>92</v>
      </c>
      <c r="E136" s="7" t="s">
        <v>12745</v>
      </c>
      <c r="F136" s="7" t="s">
        <v>12746</v>
      </c>
      <c r="G136" s="7" t="s">
        <v>566</v>
      </c>
      <c r="H136" s="7" t="s">
        <v>306</v>
      </c>
      <c r="I136" s="7" t="s">
        <v>12658</v>
      </c>
      <c r="J136" s="7" t="s">
        <v>12747</v>
      </c>
      <c r="K136" s="7" t="s">
        <v>12748</v>
      </c>
      <c r="L136" s="12">
        <v>2</v>
      </c>
      <c r="M136" s="7"/>
    </row>
    <row r="137" spans="2:13" ht="37.5" customHeight="1" x14ac:dyDescent="0.35">
      <c r="B137" s="11"/>
      <c r="C137" s="5" t="s">
        <v>12729</v>
      </c>
      <c r="D137" s="11">
        <v>93</v>
      </c>
      <c r="E137" s="5" t="s">
        <v>12749</v>
      </c>
      <c r="F137" s="5" t="s">
        <v>12750</v>
      </c>
      <c r="G137" s="5" t="s">
        <v>4908</v>
      </c>
      <c r="H137" s="5" t="s">
        <v>37</v>
      </c>
      <c r="I137" s="5" t="s">
        <v>12624</v>
      </c>
      <c r="J137" s="5" t="s">
        <v>2001</v>
      </c>
      <c r="K137" s="5" t="s">
        <v>12625</v>
      </c>
      <c r="L137" s="11">
        <v>1</v>
      </c>
      <c r="M137" s="5"/>
    </row>
    <row r="138" spans="2:13" ht="37.5" customHeight="1" x14ac:dyDescent="0.35">
      <c r="B138" s="12"/>
      <c r="C138" s="7" t="s">
        <v>12729</v>
      </c>
      <c r="D138" s="12">
        <v>94</v>
      </c>
      <c r="E138" s="7" t="s">
        <v>12751</v>
      </c>
      <c r="F138" s="7" t="s">
        <v>12752</v>
      </c>
      <c r="G138" s="7" t="s">
        <v>749</v>
      </c>
      <c r="H138" s="7" t="s">
        <v>37</v>
      </c>
      <c r="I138" s="7" t="s">
        <v>12624</v>
      </c>
      <c r="J138" s="7" t="s">
        <v>2001</v>
      </c>
      <c r="K138" s="7" t="s">
        <v>12625</v>
      </c>
      <c r="L138" s="12">
        <v>1</v>
      </c>
      <c r="M138" s="7"/>
    </row>
    <row r="139" spans="2:13" ht="37.5" customHeight="1" x14ac:dyDescent="0.35">
      <c r="B139" s="11"/>
      <c r="C139" s="5" t="s">
        <v>12729</v>
      </c>
      <c r="D139" s="11">
        <v>95</v>
      </c>
      <c r="E139" s="5" t="s">
        <v>12753</v>
      </c>
      <c r="F139" s="5" t="s">
        <v>12754</v>
      </c>
      <c r="G139" s="5" t="s">
        <v>749</v>
      </c>
      <c r="H139" s="5" t="s">
        <v>37</v>
      </c>
      <c r="I139" s="5" t="s">
        <v>12624</v>
      </c>
      <c r="J139" s="5" t="s">
        <v>2001</v>
      </c>
      <c r="K139" s="5" t="s">
        <v>12625</v>
      </c>
      <c r="L139" s="11">
        <v>1</v>
      </c>
      <c r="M139" s="5"/>
    </row>
    <row r="140" spans="2:13" ht="52.5" customHeight="1" x14ac:dyDescent="0.35">
      <c r="B140" s="12"/>
      <c r="C140" s="7" t="s">
        <v>12729</v>
      </c>
      <c r="D140" s="12">
        <v>96</v>
      </c>
      <c r="E140" s="7" t="s">
        <v>12755</v>
      </c>
      <c r="F140" s="7" t="s">
        <v>12756</v>
      </c>
      <c r="G140" s="7" t="s">
        <v>967</v>
      </c>
      <c r="H140" s="7" t="s">
        <v>36</v>
      </c>
      <c r="I140" s="7" t="s">
        <v>12644</v>
      </c>
      <c r="J140" s="7" t="s">
        <v>1192</v>
      </c>
      <c r="K140" s="7" t="s">
        <v>12645</v>
      </c>
      <c r="L140" s="12">
        <v>1</v>
      </c>
      <c r="M140" s="7"/>
    </row>
    <row r="141" spans="2:13" ht="52.5" customHeight="1" x14ac:dyDescent="0.35">
      <c r="B141" s="11"/>
      <c r="C141" s="5" t="s">
        <v>12729</v>
      </c>
      <c r="D141" s="11">
        <v>97</v>
      </c>
      <c r="E141" s="5" t="s">
        <v>12757</v>
      </c>
      <c r="F141" s="5" t="s">
        <v>12758</v>
      </c>
      <c r="G141" s="5" t="s">
        <v>428</v>
      </c>
      <c r="H141" s="5" t="s">
        <v>36</v>
      </c>
      <c r="I141" s="5" t="s">
        <v>12644</v>
      </c>
      <c r="J141" s="5" t="s">
        <v>1192</v>
      </c>
      <c r="K141" s="5" t="s">
        <v>12645</v>
      </c>
      <c r="L141" s="11">
        <v>1</v>
      </c>
      <c r="M141" s="5"/>
    </row>
    <row r="142" spans="2:13" ht="37.5" customHeight="1" x14ac:dyDescent="0.35">
      <c r="B142" s="12"/>
      <c r="C142" s="7" t="s">
        <v>12729</v>
      </c>
      <c r="D142" s="12">
        <v>98</v>
      </c>
      <c r="E142" s="7" t="s">
        <v>12759</v>
      </c>
      <c r="F142" s="7" t="s">
        <v>12760</v>
      </c>
      <c r="G142" s="7" t="s">
        <v>237</v>
      </c>
      <c r="H142" s="7" t="s">
        <v>37</v>
      </c>
      <c r="I142" s="7" t="s">
        <v>12624</v>
      </c>
      <c r="J142" s="7" t="s">
        <v>2001</v>
      </c>
      <c r="K142" s="7" t="s">
        <v>12625</v>
      </c>
      <c r="L142" s="12">
        <v>1</v>
      </c>
      <c r="M142" s="7"/>
    </row>
    <row r="143" spans="2:13" ht="67.5" customHeight="1" x14ac:dyDescent="0.35">
      <c r="B143" s="11"/>
      <c r="C143" s="5" t="s">
        <v>12729</v>
      </c>
      <c r="D143" s="11">
        <v>99</v>
      </c>
      <c r="E143" s="5" t="s">
        <v>12761</v>
      </c>
      <c r="F143" s="5" t="s">
        <v>12762</v>
      </c>
      <c r="G143" s="5" t="s">
        <v>877</v>
      </c>
      <c r="H143" s="5" t="s">
        <v>306</v>
      </c>
      <c r="I143" s="5" t="s">
        <v>12658</v>
      </c>
      <c r="J143" s="5" t="s">
        <v>12564</v>
      </c>
      <c r="K143" s="5" t="s">
        <v>12659</v>
      </c>
      <c r="L143" s="11">
        <v>2</v>
      </c>
      <c r="M143" s="5"/>
    </row>
    <row r="144" spans="2:13" ht="37.5" customHeight="1" x14ac:dyDescent="0.35">
      <c r="B144" s="12"/>
      <c r="C144" s="7" t="s">
        <v>12729</v>
      </c>
      <c r="D144" s="12">
        <v>100</v>
      </c>
      <c r="E144" s="7" t="s">
        <v>12763</v>
      </c>
      <c r="F144" s="7" t="s">
        <v>12764</v>
      </c>
      <c r="G144" s="7" t="s">
        <v>1720</v>
      </c>
      <c r="H144" s="7" t="s">
        <v>37</v>
      </c>
      <c r="I144" s="7" t="s">
        <v>12624</v>
      </c>
      <c r="J144" s="7" t="s">
        <v>2001</v>
      </c>
      <c r="K144" s="7" t="s">
        <v>12625</v>
      </c>
      <c r="L144" s="12">
        <v>1</v>
      </c>
      <c r="M144" s="7"/>
    </row>
    <row r="145" spans="2:13" ht="37.5" customHeight="1" x14ac:dyDescent="0.35">
      <c r="B145" s="11"/>
      <c r="C145" s="5" t="s">
        <v>12729</v>
      </c>
      <c r="D145" s="11">
        <v>101</v>
      </c>
      <c r="E145" s="5" t="s">
        <v>12765</v>
      </c>
      <c r="F145" s="5" t="s">
        <v>12766</v>
      </c>
      <c r="G145" s="5" t="s">
        <v>202</v>
      </c>
      <c r="H145" s="5" t="s">
        <v>37</v>
      </c>
      <c r="I145" s="5" t="s">
        <v>12624</v>
      </c>
      <c r="J145" s="5" t="s">
        <v>2001</v>
      </c>
      <c r="K145" s="5" t="s">
        <v>12625</v>
      </c>
      <c r="L145" s="11">
        <v>1</v>
      </c>
      <c r="M145" s="5"/>
    </row>
    <row r="146" spans="2:13" ht="52.5" customHeight="1" x14ac:dyDescent="0.35">
      <c r="B146" s="12"/>
      <c r="C146" s="7" t="s">
        <v>12729</v>
      </c>
      <c r="D146" s="12">
        <v>102</v>
      </c>
      <c r="E146" s="7" t="s">
        <v>12767</v>
      </c>
      <c r="F146" s="7" t="s">
        <v>12768</v>
      </c>
      <c r="G146" s="7" t="s">
        <v>908</v>
      </c>
      <c r="H146" s="7" t="s">
        <v>4662</v>
      </c>
      <c r="I146" s="7" t="s">
        <v>12769</v>
      </c>
      <c r="J146" s="7" t="s">
        <v>12770</v>
      </c>
      <c r="K146" s="7" t="s">
        <v>12771</v>
      </c>
      <c r="L146" s="12">
        <v>2</v>
      </c>
      <c r="M146" s="7"/>
    </row>
    <row r="147" spans="2:13" ht="52.5" customHeight="1" x14ac:dyDescent="0.35">
      <c r="B147" s="11"/>
      <c r="C147" s="5" t="s">
        <v>12729</v>
      </c>
      <c r="D147" s="11">
        <v>103</v>
      </c>
      <c r="E147" s="5" t="s">
        <v>12772</v>
      </c>
      <c r="F147" s="5" t="s">
        <v>12773</v>
      </c>
      <c r="G147" s="5" t="s">
        <v>8476</v>
      </c>
      <c r="H147" s="5" t="s">
        <v>36</v>
      </c>
      <c r="I147" s="5" t="s">
        <v>12644</v>
      </c>
      <c r="J147" s="5" t="s">
        <v>5410</v>
      </c>
      <c r="K147" s="5" t="s">
        <v>12774</v>
      </c>
      <c r="L147" s="11">
        <v>1</v>
      </c>
      <c r="M147" s="5"/>
    </row>
    <row r="148" spans="2:13" ht="52.5" customHeight="1" x14ac:dyDescent="0.35">
      <c r="B148" s="12"/>
      <c r="C148" s="7" t="s">
        <v>12729</v>
      </c>
      <c r="D148" s="12">
        <v>104</v>
      </c>
      <c r="E148" s="7" t="s">
        <v>12775</v>
      </c>
      <c r="F148" s="7" t="s">
        <v>12776</v>
      </c>
      <c r="G148" s="7" t="s">
        <v>582</v>
      </c>
      <c r="H148" s="7" t="s">
        <v>36</v>
      </c>
      <c r="I148" s="7" t="s">
        <v>12644</v>
      </c>
      <c r="J148" s="7" t="s">
        <v>12695</v>
      </c>
      <c r="K148" s="7" t="s">
        <v>12777</v>
      </c>
      <c r="L148" s="12">
        <v>1</v>
      </c>
      <c r="M148" s="7"/>
    </row>
    <row r="149" spans="2:13" ht="52.5" customHeight="1" x14ac:dyDescent="0.35">
      <c r="B149" s="11"/>
      <c r="C149" s="5" t="s">
        <v>12729</v>
      </c>
      <c r="D149" s="11">
        <v>105</v>
      </c>
      <c r="E149" s="5" t="s">
        <v>12778</v>
      </c>
      <c r="F149" s="5" t="s">
        <v>12779</v>
      </c>
      <c r="G149" s="5" t="s">
        <v>3323</v>
      </c>
      <c r="H149" s="5" t="s">
        <v>36</v>
      </c>
      <c r="I149" s="5" t="s">
        <v>12644</v>
      </c>
      <c r="J149" s="5" t="s">
        <v>12695</v>
      </c>
      <c r="K149" s="5" t="s">
        <v>12777</v>
      </c>
      <c r="L149" s="11">
        <v>1</v>
      </c>
      <c r="M149" s="5"/>
    </row>
    <row r="150" spans="2:13" ht="52.5" customHeight="1" x14ac:dyDescent="0.35">
      <c r="B150" s="12"/>
      <c r="C150" s="7" t="s">
        <v>12729</v>
      </c>
      <c r="D150" s="12">
        <v>106</v>
      </c>
      <c r="E150" s="7" t="s">
        <v>12780</v>
      </c>
      <c r="F150" s="7" t="s">
        <v>12781</v>
      </c>
      <c r="G150" s="7" t="s">
        <v>12782</v>
      </c>
      <c r="H150" s="7" t="s">
        <v>36</v>
      </c>
      <c r="I150" s="7" t="s">
        <v>12644</v>
      </c>
      <c r="J150" s="7" t="s">
        <v>5410</v>
      </c>
      <c r="K150" s="7" t="s">
        <v>12774</v>
      </c>
      <c r="L150" s="12">
        <v>1</v>
      </c>
      <c r="M150" s="7"/>
    </row>
    <row r="151" spans="2:13" ht="52.5" customHeight="1" x14ac:dyDescent="0.35">
      <c r="B151" s="11"/>
      <c r="C151" s="5" t="s">
        <v>12729</v>
      </c>
      <c r="D151" s="11">
        <v>107</v>
      </c>
      <c r="E151" s="5" t="s">
        <v>12783</v>
      </c>
      <c r="F151" s="5" t="s">
        <v>12784</v>
      </c>
      <c r="G151" s="5" t="s">
        <v>2850</v>
      </c>
      <c r="H151" s="5" t="s">
        <v>36</v>
      </c>
      <c r="I151" s="5" t="s">
        <v>12644</v>
      </c>
      <c r="J151" s="5" t="s">
        <v>12695</v>
      </c>
      <c r="K151" s="5" t="s">
        <v>12777</v>
      </c>
      <c r="L151" s="11">
        <v>1</v>
      </c>
      <c r="M151" s="5"/>
    </row>
    <row r="152" spans="2:13" ht="82.5" customHeight="1" x14ac:dyDescent="0.35">
      <c r="B152" s="12"/>
      <c r="C152" s="7" t="s">
        <v>12729</v>
      </c>
      <c r="D152" s="12">
        <v>108</v>
      </c>
      <c r="E152" s="7" t="s">
        <v>12785</v>
      </c>
      <c r="F152" s="7" t="s">
        <v>12786</v>
      </c>
      <c r="G152" s="7" t="s">
        <v>12439</v>
      </c>
      <c r="H152" s="7" t="s">
        <v>12787</v>
      </c>
      <c r="I152" s="7" t="s">
        <v>12788</v>
      </c>
      <c r="J152" s="7" t="s">
        <v>12789</v>
      </c>
      <c r="K152" s="7" t="s">
        <v>12790</v>
      </c>
      <c r="L152" s="12">
        <v>3</v>
      </c>
      <c r="M152" s="7"/>
    </row>
    <row r="153" spans="2:13" ht="52.5" customHeight="1" x14ac:dyDescent="0.35">
      <c r="B153" s="11"/>
      <c r="C153" s="5" t="s">
        <v>12729</v>
      </c>
      <c r="D153" s="11">
        <v>109</v>
      </c>
      <c r="E153" s="5" t="s">
        <v>12791</v>
      </c>
      <c r="F153" s="5" t="s">
        <v>12792</v>
      </c>
      <c r="G153" s="5" t="s">
        <v>12793</v>
      </c>
      <c r="H153" s="5" t="s">
        <v>36</v>
      </c>
      <c r="I153" s="5" t="s">
        <v>12644</v>
      </c>
      <c r="J153" s="5" t="s">
        <v>5410</v>
      </c>
      <c r="K153" s="5" t="s">
        <v>12774</v>
      </c>
      <c r="L153" s="11">
        <v>1</v>
      </c>
      <c r="M153" s="5"/>
    </row>
    <row r="154" spans="2:13" ht="52.5" customHeight="1" x14ac:dyDescent="0.35">
      <c r="B154" s="12"/>
      <c r="C154" s="7" t="s">
        <v>12729</v>
      </c>
      <c r="D154" s="12">
        <v>110</v>
      </c>
      <c r="E154" s="7" t="s">
        <v>12794</v>
      </c>
      <c r="F154" s="7" t="s">
        <v>12795</v>
      </c>
      <c r="G154" s="7" t="s">
        <v>1589</v>
      </c>
      <c r="H154" s="7" t="s">
        <v>36</v>
      </c>
      <c r="I154" s="7" t="s">
        <v>12644</v>
      </c>
      <c r="J154" s="7" t="s">
        <v>12695</v>
      </c>
      <c r="K154" s="7" t="s">
        <v>12777</v>
      </c>
      <c r="L154" s="12">
        <v>1</v>
      </c>
      <c r="M154" s="7"/>
    </row>
    <row r="155" spans="2:13" ht="82.5" customHeight="1" x14ac:dyDescent="0.35">
      <c r="B155" s="11"/>
      <c r="C155" s="5" t="s">
        <v>12729</v>
      </c>
      <c r="D155" s="11">
        <v>111</v>
      </c>
      <c r="E155" s="5" t="s">
        <v>12796</v>
      </c>
      <c r="F155" s="5" t="s">
        <v>12797</v>
      </c>
      <c r="G155" s="5" t="s">
        <v>791</v>
      </c>
      <c r="H155" s="5" t="s">
        <v>11443</v>
      </c>
      <c r="I155" s="5" t="s">
        <v>12798</v>
      </c>
      <c r="J155" s="5" t="s">
        <v>12799</v>
      </c>
      <c r="K155" s="5" t="s">
        <v>12800</v>
      </c>
      <c r="L155" s="11">
        <v>3</v>
      </c>
      <c r="M155" s="5"/>
    </row>
    <row r="156" spans="2:13" ht="67.5" customHeight="1" x14ac:dyDescent="0.35">
      <c r="B156" s="12"/>
      <c r="C156" s="7" t="s">
        <v>12729</v>
      </c>
      <c r="D156" s="12">
        <v>112</v>
      </c>
      <c r="E156" s="7" t="s">
        <v>12801</v>
      </c>
      <c r="F156" s="7" t="s">
        <v>12802</v>
      </c>
      <c r="G156" s="7" t="s">
        <v>12803</v>
      </c>
      <c r="H156" s="7" t="s">
        <v>1521</v>
      </c>
      <c r="I156" s="7" t="s">
        <v>12804</v>
      </c>
      <c r="J156" s="7" t="s">
        <v>12805</v>
      </c>
      <c r="K156" s="7" t="s">
        <v>12806</v>
      </c>
      <c r="L156" s="12">
        <v>2</v>
      </c>
      <c r="M156" s="7"/>
    </row>
    <row r="157" spans="2:13" ht="52.5" customHeight="1" x14ac:dyDescent="0.35">
      <c r="B157" s="11"/>
      <c r="C157" s="5" t="s">
        <v>12729</v>
      </c>
      <c r="D157" s="11">
        <v>113</v>
      </c>
      <c r="E157" s="5" t="s">
        <v>12807</v>
      </c>
      <c r="F157" s="5" t="s">
        <v>12808</v>
      </c>
      <c r="G157" s="5" t="s">
        <v>151</v>
      </c>
      <c r="H157" s="5" t="s">
        <v>36</v>
      </c>
      <c r="I157" s="5" t="s">
        <v>12644</v>
      </c>
      <c r="J157" s="5" t="s">
        <v>5410</v>
      </c>
      <c r="K157" s="5" t="s">
        <v>12774</v>
      </c>
      <c r="L157" s="11">
        <v>1</v>
      </c>
      <c r="M157" s="5"/>
    </row>
    <row r="158" spans="2:13" ht="52.5" customHeight="1" x14ac:dyDescent="0.35">
      <c r="B158" s="12"/>
      <c r="C158" s="7" t="s">
        <v>12729</v>
      </c>
      <c r="D158" s="12">
        <v>114</v>
      </c>
      <c r="E158" s="7" t="s">
        <v>12809</v>
      </c>
      <c r="F158" s="7" t="s">
        <v>12810</v>
      </c>
      <c r="G158" s="7" t="s">
        <v>1647</v>
      </c>
      <c r="H158" s="7" t="s">
        <v>36</v>
      </c>
      <c r="I158" s="7" t="s">
        <v>12644</v>
      </c>
      <c r="J158" s="7" t="s">
        <v>5410</v>
      </c>
      <c r="K158" s="7" t="s">
        <v>12774</v>
      </c>
      <c r="L158" s="12">
        <v>1</v>
      </c>
      <c r="M158" s="7"/>
    </row>
    <row r="159" spans="2:13" ht="52.5" customHeight="1" x14ac:dyDescent="0.35">
      <c r="B159" s="11"/>
      <c r="C159" s="5" t="s">
        <v>12729</v>
      </c>
      <c r="D159" s="11">
        <v>115</v>
      </c>
      <c r="E159" s="5" t="s">
        <v>12811</v>
      </c>
      <c r="F159" s="5" t="s">
        <v>12812</v>
      </c>
      <c r="G159" s="5" t="s">
        <v>12813</v>
      </c>
      <c r="H159" s="5" t="s">
        <v>36</v>
      </c>
      <c r="I159" s="5" t="s">
        <v>12644</v>
      </c>
      <c r="J159" s="5" t="s">
        <v>5410</v>
      </c>
      <c r="K159" s="5" t="s">
        <v>12774</v>
      </c>
      <c r="L159" s="11">
        <v>1</v>
      </c>
      <c r="M159" s="5"/>
    </row>
    <row r="160" spans="2:13" ht="52.5" customHeight="1" x14ac:dyDescent="0.35">
      <c r="B160" s="12"/>
      <c r="C160" s="7" t="s">
        <v>12729</v>
      </c>
      <c r="D160" s="12">
        <v>116</v>
      </c>
      <c r="E160" s="7" t="s">
        <v>12814</v>
      </c>
      <c r="F160" s="7" t="s">
        <v>12815</v>
      </c>
      <c r="G160" s="7" t="s">
        <v>1180</v>
      </c>
      <c r="H160" s="7" t="s">
        <v>36</v>
      </c>
      <c r="I160" s="7" t="s">
        <v>12644</v>
      </c>
      <c r="J160" s="7" t="s">
        <v>5410</v>
      </c>
      <c r="K160" s="7" t="s">
        <v>12774</v>
      </c>
      <c r="L160" s="12">
        <v>1</v>
      </c>
      <c r="M160" s="7"/>
    </row>
    <row r="161" spans="2:13" ht="52.5" customHeight="1" x14ac:dyDescent="0.35">
      <c r="B161" s="11"/>
      <c r="C161" s="5" t="s">
        <v>12729</v>
      </c>
      <c r="D161" s="11">
        <v>117</v>
      </c>
      <c r="E161" s="5" t="s">
        <v>12816</v>
      </c>
      <c r="F161" s="5" t="s">
        <v>12817</v>
      </c>
      <c r="G161" s="5" t="s">
        <v>12818</v>
      </c>
      <c r="H161" s="5" t="s">
        <v>36</v>
      </c>
      <c r="I161" s="5" t="s">
        <v>12644</v>
      </c>
      <c r="J161" s="5" t="s">
        <v>5410</v>
      </c>
      <c r="K161" s="5" t="s">
        <v>12774</v>
      </c>
      <c r="L161" s="11">
        <v>1</v>
      </c>
      <c r="M161" s="5"/>
    </row>
    <row r="162" spans="2:13" ht="52.5" customHeight="1" x14ac:dyDescent="0.35">
      <c r="B162" s="12"/>
      <c r="C162" s="7" t="s">
        <v>12729</v>
      </c>
      <c r="D162" s="12">
        <v>118</v>
      </c>
      <c r="E162" s="7" t="s">
        <v>12819</v>
      </c>
      <c r="F162" s="7" t="s">
        <v>12820</v>
      </c>
      <c r="G162" s="7" t="s">
        <v>3703</v>
      </c>
      <c r="H162" s="7" t="s">
        <v>36</v>
      </c>
      <c r="I162" s="7" t="s">
        <v>12644</v>
      </c>
      <c r="J162" s="7" t="s">
        <v>5410</v>
      </c>
      <c r="K162" s="7" t="s">
        <v>12774</v>
      </c>
      <c r="L162" s="12">
        <v>1</v>
      </c>
      <c r="M162" s="7"/>
    </row>
    <row r="163" spans="2:13" ht="52.5" customHeight="1" x14ac:dyDescent="0.35">
      <c r="B163" s="11"/>
      <c r="C163" s="5" t="s">
        <v>12729</v>
      </c>
      <c r="D163" s="11">
        <v>119</v>
      </c>
      <c r="E163" s="5" t="s">
        <v>12821</v>
      </c>
      <c r="F163" s="5" t="s">
        <v>12822</v>
      </c>
      <c r="G163" s="5" t="s">
        <v>12823</v>
      </c>
      <c r="H163" s="5" t="s">
        <v>36</v>
      </c>
      <c r="I163" s="5" t="s">
        <v>12644</v>
      </c>
      <c r="J163" s="5" t="s">
        <v>5410</v>
      </c>
      <c r="K163" s="5" t="s">
        <v>12774</v>
      </c>
      <c r="L163" s="11">
        <v>1</v>
      </c>
      <c r="M163" s="5"/>
    </row>
    <row r="164" spans="2:13" ht="37.5" customHeight="1" x14ac:dyDescent="0.35">
      <c r="B164" s="12">
        <v>6</v>
      </c>
      <c r="C164" s="7" t="s">
        <v>12824</v>
      </c>
      <c r="D164" s="12">
        <v>1</v>
      </c>
      <c r="E164" s="7" t="s">
        <v>12825</v>
      </c>
      <c r="F164" s="7" t="s">
        <v>12826</v>
      </c>
      <c r="G164" s="7" t="s">
        <v>3283</v>
      </c>
      <c r="H164" s="7" t="s">
        <v>38</v>
      </c>
      <c r="I164" s="7" t="s">
        <v>12827</v>
      </c>
      <c r="J164" s="7" t="s">
        <v>12828</v>
      </c>
      <c r="K164" s="7" t="s">
        <v>12829</v>
      </c>
      <c r="L164" s="12">
        <v>1</v>
      </c>
      <c r="M164" s="7" t="s">
        <v>12830</v>
      </c>
    </row>
    <row r="165" spans="2:13" ht="97.5" customHeight="1" x14ac:dyDescent="0.35">
      <c r="B165" s="11">
        <v>7</v>
      </c>
      <c r="C165" s="5" t="s">
        <v>12831</v>
      </c>
      <c r="D165" s="11">
        <v>1</v>
      </c>
      <c r="E165" s="5" t="s">
        <v>12832</v>
      </c>
      <c r="F165" s="5" t="s">
        <v>12833</v>
      </c>
      <c r="G165" s="5" t="s">
        <v>1235</v>
      </c>
      <c r="H165" s="5" t="s">
        <v>36</v>
      </c>
      <c r="I165" s="5" t="s">
        <v>12834</v>
      </c>
      <c r="J165" s="5" t="s">
        <v>12835</v>
      </c>
      <c r="K165" s="5" t="s">
        <v>12836</v>
      </c>
      <c r="L165" s="11">
        <v>1</v>
      </c>
      <c r="M165" s="5" t="s">
        <v>12497</v>
      </c>
    </row>
    <row r="166" spans="2:13" ht="37.5" customHeight="1" x14ac:dyDescent="0.35">
      <c r="B166" s="12">
        <v>8</v>
      </c>
      <c r="C166" s="7" t="s">
        <v>12837</v>
      </c>
      <c r="D166" s="12">
        <v>1</v>
      </c>
      <c r="E166" s="7" t="s">
        <v>12838</v>
      </c>
      <c r="F166" s="7" t="s">
        <v>12839</v>
      </c>
      <c r="G166" s="7" t="s">
        <v>1076</v>
      </c>
      <c r="H166" s="7" t="s">
        <v>36</v>
      </c>
      <c r="I166" s="7" t="s">
        <v>12840</v>
      </c>
      <c r="J166" s="7" t="s">
        <v>12841</v>
      </c>
      <c r="K166" s="7" t="s">
        <v>12842</v>
      </c>
      <c r="L166" s="12">
        <v>1</v>
      </c>
      <c r="M166" s="7" t="s">
        <v>12497</v>
      </c>
    </row>
    <row r="167" spans="2:13" ht="37.5" customHeight="1" x14ac:dyDescent="0.35">
      <c r="B167" s="11">
        <v>8</v>
      </c>
      <c r="C167" s="5" t="s">
        <v>12837</v>
      </c>
      <c r="D167" s="11">
        <v>2</v>
      </c>
      <c r="E167" s="5" t="s">
        <v>12843</v>
      </c>
      <c r="F167" s="5" t="s">
        <v>12844</v>
      </c>
      <c r="G167" s="5" t="s">
        <v>25</v>
      </c>
      <c r="H167" s="5" t="s">
        <v>36</v>
      </c>
      <c r="I167" s="5" t="s">
        <v>12845</v>
      </c>
      <c r="J167" s="5" t="s">
        <v>12846</v>
      </c>
      <c r="K167" s="5" t="s">
        <v>12847</v>
      </c>
      <c r="L167" s="11">
        <v>1</v>
      </c>
      <c r="M167" s="5" t="s">
        <v>12497</v>
      </c>
    </row>
    <row r="168" spans="2:13" ht="52.5" customHeight="1" x14ac:dyDescent="0.35">
      <c r="B168" s="12">
        <v>8</v>
      </c>
      <c r="C168" s="7" t="s">
        <v>12837</v>
      </c>
      <c r="D168" s="12">
        <v>3</v>
      </c>
      <c r="E168" s="7" t="s">
        <v>12848</v>
      </c>
      <c r="F168" s="7" t="s">
        <v>12849</v>
      </c>
      <c r="G168" s="7" t="s">
        <v>212</v>
      </c>
      <c r="H168" s="7" t="s">
        <v>36</v>
      </c>
      <c r="I168" s="7" t="s">
        <v>12850</v>
      </c>
      <c r="J168" s="7" t="s">
        <v>12851</v>
      </c>
      <c r="K168" s="7" t="s">
        <v>12852</v>
      </c>
      <c r="L168" s="12">
        <v>1</v>
      </c>
      <c r="M168" s="7" t="s">
        <v>12497</v>
      </c>
    </row>
    <row r="169" spans="2:13" ht="52.5" customHeight="1" x14ac:dyDescent="0.35">
      <c r="B169" s="11">
        <v>8</v>
      </c>
      <c r="C169" s="5" t="s">
        <v>12837</v>
      </c>
      <c r="D169" s="11">
        <v>4</v>
      </c>
      <c r="E169" s="5" t="s">
        <v>12853</v>
      </c>
      <c r="F169" s="5" t="s">
        <v>12854</v>
      </c>
      <c r="G169" s="5" t="s">
        <v>560</v>
      </c>
      <c r="H169" s="5" t="s">
        <v>36</v>
      </c>
      <c r="I169" s="5" t="s">
        <v>12855</v>
      </c>
      <c r="J169" s="5" t="s">
        <v>6351</v>
      </c>
      <c r="K169" s="5" t="s">
        <v>12856</v>
      </c>
      <c r="L169" s="11">
        <v>1</v>
      </c>
      <c r="M169" s="5" t="s">
        <v>12497</v>
      </c>
    </row>
    <row r="170" spans="2:13" ht="37.5" customHeight="1" x14ac:dyDescent="0.35">
      <c r="B170" s="12">
        <v>8</v>
      </c>
      <c r="C170" s="7" t="s">
        <v>12837</v>
      </c>
      <c r="D170" s="12">
        <v>5</v>
      </c>
      <c r="E170" s="7" t="s">
        <v>12857</v>
      </c>
      <c r="F170" s="7" t="s">
        <v>12858</v>
      </c>
      <c r="G170" s="7" t="s">
        <v>701</v>
      </c>
      <c r="H170" s="7" t="s">
        <v>36</v>
      </c>
      <c r="I170" s="7" t="s">
        <v>12859</v>
      </c>
      <c r="J170" s="7" t="s">
        <v>12620</v>
      </c>
      <c r="K170" s="7" t="s">
        <v>12860</v>
      </c>
      <c r="L170" s="12">
        <v>1</v>
      </c>
      <c r="M170" s="7" t="s">
        <v>12497</v>
      </c>
    </row>
    <row r="171" spans="2:13" ht="82.5" customHeight="1" x14ac:dyDescent="0.35">
      <c r="B171" s="11">
        <v>9</v>
      </c>
      <c r="C171" s="5" t="s">
        <v>12861</v>
      </c>
      <c r="D171" s="11">
        <v>1</v>
      </c>
      <c r="E171" s="5" t="s">
        <v>12862</v>
      </c>
      <c r="F171" s="5" t="s">
        <v>12863</v>
      </c>
      <c r="G171" s="5" t="s">
        <v>560</v>
      </c>
      <c r="H171" s="5" t="s">
        <v>36</v>
      </c>
      <c r="I171" s="5" t="s">
        <v>12864</v>
      </c>
      <c r="J171" s="5" t="s">
        <v>9046</v>
      </c>
      <c r="K171" s="5" t="s">
        <v>12865</v>
      </c>
      <c r="L171" s="11">
        <v>1</v>
      </c>
      <c r="M171" s="5" t="s">
        <v>12497</v>
      </c>
    </row>
    <row r="172" spans="2:13" ht="67.5" customHeight="1" x14ac:dyDescent="0.35">
      <c r="B172" s="12">
        <v>9</v>
      </c>
      <c r="C172" s="7" t="s">
        <v>12861</v>
      </c>
      <c r="D172" s="12">
        <v>2</v>
      </c>
      <c r="E172" s="7" t="s">
        <v>12866</v>
      </c>
      <c r="F172" s="7" t="s">
        <v>12867</v>
      </c>
      <c r="G172" s="7" t="s">
        <v>497</v>
      </c>
      <c r="H172" s="7" t="s">
        <v>36</v>
      </c>
      <c r="I172" s="7" t="s">
        <v>12868</v>
      </c>
      <c r="J172" s="7" t="s">
        <v>9046</v>
      </c>
      <c r="K172" s="7" t="s">
        <v>12869</v>
      </c>
      <c r="L172" s="12">
        <v>1</v>
      </c>
      <c r="M172" s="7" t="s">
        <v>12497</v>
      </c>
    </row>
    <row r="173" spans="2:13" ht="67.5" customHeight="1" x14ac:dyDescent="0.35">
      <c r="B173" s="11">
        <v>9</v>
      </c>
      <c r="C173" s="5" t="s">
        <v>12861</v>
      </c>
      <c r="D173" s="11">
        <v>3</v>
      </c>
      <c r="E173" s="5" t="s">
        <v>12870</v>
      </c>
      <c r="F173" s="5" t="s">
        <v>12871</v>
      </c>
      <c r="G173" s="5" t="s">
        <v>27</v>
      </c>
      <c r="H173" s="5" t="s">
        <v>36</v>
      </c>
      <c r="I173" s="5" t="s">
        <v>12872</v>
      </c>
      <c r="J173" s="5" t="s">
        <v>9046</v>
      </c>
      <c r="K173" s="5" t="s">
        <v>12873</v>
      </c>
      <c r="L173" s="11">
        <v>1</v>
      </c>
      <c r="M173" s="5" t="s">
        <v>12497</v>
      </c>
    </row>
    <row r="174" spans="2:13" ht="67.5" customHeight="1" x14ac:dyDescent="0.35">
      <c r="B174" s="12">
        <v>9</v>
      </c>
      <c r="C174" s="7" t="s">
        <v>12861</v>
      </c>
      <c r="D174" s="12">
        <v>4</v>
      </c>
      <c r="E174" s="7" t="s">
        <v>12874</v>
      </c>
      <c r="F174" s="7" t="s">
        <v>12875</v>
      </c>
      <c r="G174" s="7" t="s">
        <v>26</v>
      </c>
      <c r="H174" s="7" t="s">
        <v>38</v>
      </c>
      <c r="I174" s="7" t="s">
        <v>12876</v>
      </c>
      <c r="J174" s="7" t="s">
        <v>4948</v>
      </c>
      <c r="K174" s="7" t="s">
        <v>12877</v>
      </c>
      <c r="L174" s="12">
        <v>1</v>
      </c>
      <c r="M174" s="7" t="s">
        <v>12497</v>
      </c>
    </row>
    <row r="175" spans="2:13" ht="67.5" customHeight="1" x14ac:dyDescent="0.35">
      <c r="B175" s="11">
        <v>9</v>
      </c>
      <c r="C175" s="5" t="s">
        <v>12861</v>
      </c>
      <c r="D175" s="11">
        <v>1</v>
      </c>
      <c r="E175" s="5" t="s">
        <v>12878</v>
      </c>
      <c r="F175" s="5" t="s">
        <v>12879</v>
      </c>
      <c r="G175" s="5" t="s">
        <v>993</v>
      </c>
      <c r="H175" s="5" t="s">
        <v>306</v>
      </c>
      <c r="I175" s="5" t="s">
        <v>12880</v>
      </c>
      <c r="J175" s="5" t="s">
        <v>12881</v>
      </c>
      <c r="K175" s="5" t="s">
        <v>12882</v>
      </c>
      <c r="L175" s="11">
        <v>2</v>
      </c>
      <c r="M175" s="5" t="s">
        <v>12497</v>
      </c>
    </row>
    <row r="176" spans="2:13" ht="37.5" customHeight="1" x14ac:dyDescent="0.35">
      <c r="B176" s="12"/>
      <c r="C176" s="7" t="s">
        <v>12883</v>
      </c>
      <c r="D176" s="12">
        <v>2</v>
      </c>
      <c r="E176" s="7" t="s">
        <v>12884</v>
      </c>
      <c r="F176" s="7" t="s">
        <v>12885</v>
      </c>
      <c r="G176" s="7" t="s">
        <v>1961</v>
      </c>
      <c r="H176" s="7" t="s">
        <v>37</v>
      </c>
      <c r="I176" s="7" t="s">
        <v>12424</v>
      </c>
      <c r="J176" s="7" t="s">
        <v>3742</v>
      </c>
      <c r="K176" s="7" t="s">
        <v>12886</v>
      </c>
      <c r="L176" s="12">
        <v>1</v>
      </c>
      <c r="M176" s="7"/>
    </row>
    <row r="177" spans="2:13" ht="37.5" customHeight="1" x14ac:dyDescent="0.35">
      <c r="B177" s="11"/>
      <c r="C177" s="5" t="s">
        <v>12883</v>
      </c>
      <c r="D177" s="11">
        <v>3</v>
      </c>
      <c r="E177" s="5" t="s">
        <v>12887</v>
      </c>
      <c r="F177" s="5" t="s">
        <v>12888</v>
      </c>
      <c r="G177" s="5" t="s">
        <v>188</v>
      </c>
      <c r="H177" s="5" t="s">
        <v>36</v>
      </c>
      <c r="I177" s="5" t="s">
        <v>12889</v>
      </c>
      <c r="J177" s="5" t="s">
        <v>9046</v>
      </c>
      <c r="K177" s="5" t="s">
        <v>12890</v>
      </c>
      <c r="L177" s="11">
        <v>1</v>
      </c>
      <c r="M177" s="5"/>
    </row>
    <row r="178" spans="2:13" ht="37.5" customHeight="1" x14ac:dyDescent="0.35">
      <c r="B178" s="12"/>
      <c r="C178" s="7" t="s">
        <v>12883</v>
      </c>
      <c r="D178" s="12">
        <v>4</v>
      </c>
      <c r="E178" s="7" t="s">
        <v>12891</v>
      </c>
      <c r="F178" s="7" t="s">
        <v>12892</v>
      </c>
      <c r="G178" s="7" t="s">
        <v>249</v>
      </c>
      <c r="H178" s="7" t="s">
        <v>37</v>
      </c>
      <c r="I178" s="7" t="s">
        <v>12424</v>
      </c>
      <c r="J178" s="7" t="s">
        <v>3742</v>
      </c>
      <c r="K178" s="7" t="s">
        <v>12886</v>
      </c>
      <c r="L178" s="12">
        <v>1</v>
      </c>
      <c r="M178" s="7"/>
    </row>
    <row r="179" spans="2:13" ht="52.5" customHeight="1" x14ac:dyDescent="0.35">
      <c r="B179" s="11"/>
      <c r="C179" s="5" t="s">
        <v>12883</v>
      </c>
      <c r="D179" s="11">
        <v>5</v>
      </c>
      <c r="E179" s="5" t="s">
        <v>12893</v>
      </c>
      <c r="F179" s="5" t="s">
        <v>12894</v>
      </c>
      <c r="G179" s="5" t="s">
        <v>1076</v>
      </c>
      <c r="H179" s="5" t="s">
        <v>36</v>
      </c>
      <c r="I179" s="5" t="s">
        <v>12895</v>
      </c>
      <c r="J179" s="5" t="s">
        <v>8767</v>
      </c>
      <c r="K179" s="5" t="s">
        <v>12896</v>
      </c>
      <c r="L179" s="11">
        <v>1</v>
      </c>
      <c r="M179" s="5"/>
    </row>
    <row r="180" spans="2:13" ht="52.5" customHeight="1" x14ac:dyDescent="0.35">
      <c r="B180" s="12"/>
      <c r="C180" s="7" t="s">
        <v>12883</v>
      </c>
      <c r="D180" s="12">
        <v>6</v>
      </c>
      <c r="E180" s="7" t="s">
        <v>12897</v>
      </c>
      <c r="F180" s="7" t="s">
        <v>12898</v>
      </c>
      <c r="G180" s="7" t="s">
        <v>698</v>
      </c>
      <c r="H180" s="7" t="s">
        <v>36</v>
      </c>
      <c r="I180" s="7" t="s">
        <v>12895</v>
      </c>
      <c r="J180" s="7" t="s">
        <v>8767</v>
      </c>
      <c r="K180" s="7" t="s">
        <v>12896</v>
      </c>
      <c r="L180" s="12">
        <v>1</v>
      </c>
      <c r="M180" s="7"/>
    </row>
    <row r="181" spans="2:13" ht="52.5" customHeight="1" x14ac:dyDescent="0.35">
      <c r="B181" s="11"/>
      <c r="C181" s="5" t="s">
        <v>12883</v>
      </c>
      <c r="D181" s="11">
        <v>7</v>
      </c>
      <c r="E181" s="5" t="s">
        <v>12899</v>
      </c>
      <c r="F181" s="5" t="s">
        <v>12900</v>
      </c>
      <c r="G181" s="5" t="s">
        <v>1290</v>
      </c>
      <c r="H181" s="5" t="s">
        <v>36</v>
      </c>
      <c r="I181" s="5" t="s">
        <v>12644</v>
      </c>
      <c r="J181" s="5" t="s">
        <v>8767</v>
      </c>
      <c r="K181" s="5" t="s">
        <v>12901</v>
      </c>
      <c r="L181" s="11">
        <v>1</v>
      </c>
      <c r="M181" s="5"/>
    </row>
    <row r="182" spans="2:13" ht="52.5" customHeight="1" x14ac:dyDescent="0.35">
      <c r="B182" s="12"/>
      <c r="C182" s="7" t="s">
        <v>12883</v>
      </c>
      <c r="D182" s="12">
        <v>8</v>
      </c>
      <c r="E182" s="7" t="s">
        <v>12902</v>
      </c>
      <c r="F182" s="7" t="s">
        <v>12903</v>
      </c>
      <c r="G182" s="7" t="s">
        <v>576</v>
      </c>
      <c r="H182" s="7" t="s">
        <v>36</v>
      </c>
      <c r="I182" s="7" t="s">
        <v>12644</v>
      </c>
      <c r="J182" s="7" t="s">
        <v>8767</v>
      </c>
      <c r="K182" s="7" t="s">
        <v>12901</v>
      </c>
      <c r="L182" s="12">
        <v>1</v>
      </c>
      <c r="M182" s="7"/>
    </row>
    <row r="183" spans="2:13" ht="52.5" customHeight="1" x14ac:dyDescent="0.35">
      <c r="B183" s="11"/>
      <c r="C183" s="5" t="s">
        <v>12883</v>
      </c>
      <c r="D183" s="11">
        <v>9</v>
      </c>
      <c r="E183" s="5" t="s">
        <v>12904</v>
      </c>
      <c r="F183" s="5" t="s">
        <v>12905</v>
      </c>
      <c r="G183" s="5" t="s">
        <v>4908</v>
      </c>
      <c r="H183" s="5" t="s">
        <v>36</v>
      </c>
      <c r="I183" s="5" t="s">
        <v>12644</v>
      </c>
      <c r="J183" s="5" t="s">
        <v>8767</v>
      </c>
      <c r="K183" s="5" t="s">
        <v>12901</v>
      </c>
      <c r="L183" s="11">
        <v>1</v>
      </c>
      <c r="M183" s="5"/>
    </row>
    <row r="184" spans="2:13" ht="52.5" customHeight="1" x14ac:dyDescent="0.35">
      <c r="B184" s="12">
        <v>10</v>
      </c>
      <c r="C184" s="7" t="s">
        <v>12906</v>
      </c>
      <c r="D184" s="12">
        <v>1</v>
      </c>
      <c r="E184" s="7" t="s">
        <v>12907</v>
      </c>
      <c r="F184" s="7" t="s">
        <v>12908</v>
      </c>
      <c r="G184" s="7" t="s">
        <v>365</v>
      </c>
      <c r="H184" s="7" t="s">
        <v>36</v>
      </c>
      <c r="I184" s="7" t="s">
        <v>12909</v>
      </c>
      <c r="J184" s="7" t="s">
        <v>12910</v>
      </c>
      <c r="K184" s="7" t="s">
        <v>12911</v>
      </c>
      <c r="L184" s="12">
        <v>1</v>
      </c>
      <c r="M184" s="7" t="s">
        <v>12497</v>
      </c>
    </row>
    <row r="185" spans="2:13" ht="52.5" customHeight="1" x14ac:dyDescent="0.35">
      <c r="B185" s="11">
        <v>10</v>
      </c>
      <c r="C185" s="5" t="s">
        <v>12906</v>
      </c>
      <c r="D185" s="11">
        <v>2</v>
      </c>
      <c r="E185" s="5" t="s">
        <v>12912</v>
      </c>
      <c r="F185" s="5" t="s">
        <v>12913</v>
      </c>
      <c r="G185" s="5" t="s">
        <v>224</v>
      </c>
      <c r="H185" s="5" t="s">
        <v>36</v>
      </c>
      <c r="I185" s="5" t="s">
        <v>12914</v>
      </c>
      <c r="J185" s="5" t="s">
        <v>2102</v>
      </c>
      <c r="K185" s="5" t="s">
        <v>12915</v>
      </c>
      <c r="L185" s="11">
        <v>1</v>
      </c>
      <c r="M185" s="5" t="s">
        <v>12497</v>
      </c>
    </row>
    <row r="186" spans="2:13" ht="67.5" customHeight="1" x14ac:dyDescent="0.35">
      <c r="B186" s="12">
        <v>10</v>
      </c>
      <c r="C186" s="7" t="s">
        <v>12906</v>
      </c>
      <c r="D186" s="12">
        <v>3</v>
      </c>
      <c r="E186" s="7" t="s">
        <v>12916</v>
      </c>
      <c r="F186" s="7" t="s">
        <v>12917</v>
      </c>
      <c r="G186" s="7" t="s">
        <v>27</v>
      </c>
      <c r="H186" s="7" t="s">
        <v>1948</v>
      </c>
      <c r="I186" s="7" t="s">
        <v>12918</v>
      </c>
      <c r="J186" s="7" t="s">
        <v>10368</v>
      </c>
      <c r="K186" s="7" t="s">
        <v>12919</v>
      </c>
      <c r="L186" s="12">
        <v>1</v>
      </c>
      <c r="M186" s="7" t="s">
        <v>12497</v>
      </c>
    </row>
    <row r="187" spans="2:13" ht="52.5" customHeight="1" x14ac:dyDescent="0.35">
      <c r="B187" s="11">
        <v>10</v>
      </c>
      <c r="C187" s="5" t="s">
        <v>12906</v>
      </c>
      <c r="D187" s="11">
        <v>4</v>
      </c>
      <c r="E187" s="5" t="s">
        <v>12920</v>
      </c>
      <c r="F187" s="5" t="s">
        <v>12921</v>
      </c>
      <c r="G187" s="5" t="s">
        <v>32</v>
      </c>
      <c r="H187" s="5" t="s">
        <v>36</v>
      </c>
      <c r="I187" s="5" t="s">
        <v>12922</v>
      </c>
      <c r="J187" s="5" t="s">
        <v>12923</v>
      </c>
      <c r="K187" s="5" t="s">
        <v>12924</v>
      </c>
      <c r="L187" s="11">
        <v>1</v>
      </c>
      <c r="M187" s="5" t="s">
        <v>12497</v>
      </c>
    </row>
    <row r="188" spans="2:13" ht="52.5" customHeight="1" x14ac:dyDescent="0.35">
      <c r="B188" s="12">
        <v>10</v>
      </c>
      <c r="C188" s="7" t="s">
        <v>12906</v>
      </c>
      <c r="D188" s="12">
        <v>5</v>
      </c>
      <c r="E188" s="7" t="s">
        <v>12925</v>
      </c>
      <c r="F188" s="7" t="s">
        <v>12926</v>
      </c>
      <c r="G188" s="7" t="s">
        <v>188</v>
      </c>
      <c r="H188" s="7" t="s">
        <v>36</v>
      </c>
      <c r="I188" s="7" t="s">
        <v>12927</v>
      </c>
      <c r="J188" s="7" t="s">
        <v>2102</v>
      </c>
      <c r="K188" s="7" t="s">
        <v>12928</v>
      </c>
      <c r="L188" s="12">
        <v>1</v>
      </c>
      <c r="M188" s="7" t="s">
        <v>12497</v>
      </c>
    </row>
    <row r="189" spans="2:13" ht="52.5" customHeight="1" x14ac:dyDescent="0.35">
      <c r="B189" s="11">
        <v>10</v>
      </c>
      <c r="C189" s="5" t="s">
        <v>12906</v>
      </c>
      <c r="D189" s="11">
        <v>6</v>
      </c>
      <c r="E189" s="5" t="s">
        <v>12929</v>
      </c>
      <c r="F189" s="5" t="s">
        <v>12930</v>
      </c>
      <c r="G189" s="5" t="s">
        <v>1148</v>
      </c>
      <c r="H189" s="5" t="s">
        <v>37</v>
      </c>
      <c r="I189" s="5" t="s">
        <v>12424</v>
      </c>
      <c r="J189" s="5" t="s">
        <v>2102</v>
      </c>
      <c r="K189" s="5" t="s">
        <v>12931</v>
      </c>
      <c r="L189" s="11">
        <v>1</v>
      </c>
      <c r="M189" s="5" t="s">
        <v>12497</v>
      </c>
    </row>
    <row r="190" spans="2:13" ht="52.5" customHeight="1" x14ac:dyDescent="0.35">
      <c r="B190" s="12">
        <v>10</v>
      </c>
      <c r="C190" s="7" t="s">
        <v>12906</v>
      </c>
      <c r="D190" s="12">
        <v>7</v>
      </c>
      <c r="E190" s="7" t="s">
        <v>12932</v>
      </c>
      <c r="F190" s="7" t="s">
        <v>12933</v>
      </c>
      <c r="G190" s="7" t="s">
        <v>244</v>
      </c>
      <c r="H190" s="7" t="s">
        <v>37</v>
      </c>
      <c r="I190" s="7" t="s">
        <v>12424</v>
      </c>
      <c r="J190" s="7" t="s">
        <v>2102</v>
      </c>
      <c r="K190" s="7" t="s">
        <v>12931</v>
      </c>
      <c r="L190" s="12">
        <v>1</v>
      </c>
      <c r="M190" s="7" t="s">
        <v>12497</v>
      </c>
    </row>
    <row r="191" spans="2:13" ht="52.5" customHeight="1" x14ac:dyDescent="0.35">
      <c r="B191" s="11">
        <v>10</v>
      </c>
      <c r="C191" s="5" t="s">
        <v>12906</v>
      </c>
      <c r="D191" s="11">
        <v>8</v>
      </c>
      <c r="E191" s="5" t="s">
        <v>12934</v>
      </c>
      <c r="F191" s="5" t="s">
        <v>12935</v>
      </c>
      <c r="G191" s="5" t="s">
        <v>384</v>
      </c>
      <c r="H191" s="5" t="s">
        <v>37</v>
      </c>
      <c r="I191" s="5" t="s">
        <v>12424</v>
      </c>
      <c r="J191" s="5" t="s">
        <v>2102</v>
      </c>
      <c r="K191" s="5" t="s">
        <v>12931</v>
      </c>
      <c r="L191" s="11">
        <v>1</v>
      </c>
      <c r="M191" s="5" t="s">
        <v>12497</v>
      </c>
    </row>
    <row r="192" spans="2:13" ht="52.5" customHeight="1" x14ac:dyDescent="0.35">
      <c r="B192" s="12">
        <v>10</v>
      </c>
      <c r="C192" s="7" t="s">
        <v>12906</v>
      </c>
      <c r="D192" s="12">
        <v>9</v>
      </c>
      <c r="E192" s="7" t="s">
        <v>12936</v>
      </c>
      <c r="F192" s="7" t="s">
        <v>12937</v>
      </c>
      <c r="G192" s="7" t="s">
        <v>625</v>
      </c>
      <c r="H192" s="7" t="s">
        <v>37</v>
      </c>
      <c r="I192" s="7" t="s">
        <v>12424</v>
      </c>
      <c r="J192" s="7" t="s">
        <v>2102</v>
      </c>
      <c r="K192" s="7" t="s">
        <v>12931</v>
      </c>
      <c r="L192" s="12">
        <v>1</v>
      </c>
      <c r="M192" s="7" t="s">
        <v>12497</v>
      </c>
    </row>
    <row r="193" spans="2:13" ht="52.5" customHeight="1" x14ac:dyDescent="0.35">
      <c r="B193" s="11">
        <v>10</v>
      </c>
      <c r="C193" s="5" t="s">
        <v>12906</v>
      </c>
      <c r="D193" s="11">
        <v>10</v>
      </c>
      <c r="E193" s="5" t="s">
        <v>12938</v>
      </c>
      <c r="F193" s="5" t="s">
        <v>12939</v>
      </c>
      <c r="G193" s="5" t="s">
        <v>358</v>
      </c>
      <c r="H193" s="5" t="s">
        <v>37</v>
      </c>
      <c r="I193" s="5" t="s">
        <v>12424</v>
      </c>
      <c r="J193" s="5" t="s">
        <v>2102</v>
      </c>
      <c r="K193" s="5" t="s">
        <v>12931</v>
      </c>
      <c r="L193" s="11">
        <v>1</v>
      </c>
      <c r="M193" s="5" t="s">
        <v>12497</v>
      </c>
    </row>
    <row r="194" spans="2:13" ht="52.5" customHeight="1" x14ac:dyDescent="0.35">
      <c r="B194" s="12">
        <v>10</v>
      </c>
      <c r="C194" s="7" t="s">
        <v>12906</v>
      </c>
      <c r="D194" s="12">
        <v>11</v>
      </c>
      <c r="E194" s="7" t="s">
        <v>12940</v>
      </c>
      <c r="F194" s="7" t="s">
        <v>12941</v>
      </c>
      <c r="G194" s="7" t="s">
        <v>2341</v>
      </c>
      <c r="H194" s="7" t="s">
        <v>36</v>
      </c>
      <c r="I194" s="7" t="s">
        <v>12942</v>
      </c>
      <c r="J194" s="7" t="s">
        <v>5531</v>
      </c>
      <c r="K194" s="7" t="s">
        <v>12943</v>
      </c>
      <c r="L194" s="12">
        <v>1</v>
      </c>
      <c r="M194" s="7" t="s">
        <v>12497</v>
      </c>
    </row>
    <row r="195" spans="2:13" ht="52.5" customHeight="1" x14ac:dyDescent="0.35">
      <c r="B195" s="11">
        <v>10</v>
      </c>
      <c r="C195" s="5" t="s">
        <v>12906</v>
      </c>
      <c r="D195" s="11">
        <v>12</v>
      </c>
      <c r="E195" s="5" t="s">
        <v>12944</v>
      </c>
      <c r="F195" s="5" t="s">
        <v>12945</v>
      </c>
      <c r="G195" s="5" t="s">
        <v>993</v>
      </c>
      <c r="H195" s="5" t="s">
        <v>37</v>
      </c>
      <c r="I195" s="5" t="s">
        <v>12424</v>
      </c>
      <c r="J195" s="5" t="s">
        <v>2102</v>
      </c>
      <c r="K195" s="5" t="s">
        <v>12931</v>
      </c>
      <c r="L195" s="11">
        <v>1</v>
      </c>
      <c r="M195" s="5" t="s">
        <v>12497</v>
      </c>
    </row>
    <row r="196" spans="2:13" ht="52.5" customHeight="1" x14ac:dyDescent="0.35">
      <c r="B196" s="12">
        <v>10</v>
      </c>
      <c r="C196" s="7" t="s">
        <v>12906</v>
      </c>
      <c r="D196" s="12">
        <v>13</v>
      </c>
      <c r="E196" s="7" t="s">
        <v>12946</v>
      </c>
      <c r="F196" s="7" t="s">
        <v>12947</v>
      </c>
      <c r="G196" s="7" t="s">
        <v>962</v>
      </c>
      <c r="H196" s="7" t="s">
        <v>37</v>
      </c>
      <c r="I196" s="7" t="s">
        <v>12424</v>
      </c>
      <c r="J196" s="7" t="s">
        <v>2102</v>
      </c>
      <c r="K196" s="7" t="s">
        <v>12931</v>
      </c>
      <c r="L196" s="12">
        <v>1</v>
      </c>
      <c r="M196" s="7" t="s">
        <v>12497</v>
      </c>
    </row>
    <row r="197" spans="2:13" ht="52.5" customHeight="1" x14ac:dyDescent="0.35">
      <c r="B197" s="11">
        <v>10</v>
      </c>
      <c r="C197" s="5" t="s">
        <v>12906</v>
      </c>
      <c r="D197" s="11">
        <v>14</v>
      </c>
      <c r="E197" s="5" t="s">
        <v>12948</v>
      </c>
      <c r="F197" s="5" t="s">
        <v>12949</v>
      </c>
      <c r="G197" s="5" t="s">
        <v>160</v>
      </c>
      <c r="H197" s="5" t="s">
        <v>36</v>
      </c>
      <c r="I197" s="5" t="s">
        <v>12950</v>
      </c>
      <c r="J197" s="5" t="s">
        <v>5510</v>
      </c>
      <c r="K197" s="5" t="s">
        <v>12951</v>
      </c>
      <c r="L197" s="11">
        <v>1</v>
      </c>
      <c r="M197" s="5" t="s">
        <v>12497</v>
      </c>
    </row>
    <row r="198" spans="2:13" ht="52.5" customHeight="1" x14ac:dyDescent="0.35">
      <c r="B198" s="12">
        <v>10</v>
      </c>
      <c r="C198" s="7" t="s">
        <v>12906</v>
      </c>
      <c r="D198" s="12">
        <v>15</v>
      </c>
      <c r="E198" s="7" t="s">
        <v>12952</v>
      </c>
      <c r="F198" s="7" t="s">
        <v>12953</v>
      </c>
      <c r="G198" s="7" t="s">
        <v>900</v>
      </c>
      <c r="H198" s="7" t="s">
        <v>36</v>
      </c>
      <c r="I198" s="7" t="s">
        <v>12950</v>
      </c>
      <c r="J198" s="7" t="s">
        <v>5531</v>
      </c>
      <c r="K198" s="7" t="s">
        <v>12954</v>
      </c>
      <c r="L198" s="12">
        <v>1</v>
      </c>
      <c r="M198" s="7" t="s">
        <v>12497</v>
      </c>
    </row>
    <row r="199" spans="2:13" ht="52.5" customHeight="1" x14ac:dyDescent="0.35">
      <c r="B199" s="11">
        <v>10</v>
      </c>
      <c r="C199" s="5" t="s">
        <v>12906</v>
      </c>
      <c r="D199" s="11">
        <v>16</v>
      </c>
      <c r="E199" s="5" t="s">
        <v>12955</v>
      </c>
      <c r="F199" s="5" t="s">
        <v>12956</v>
      </c>
      <c r="G199" s="5" t="s">
        <v>701</v>
      </c>
      <c r="H199" s="5" t="s">
        <v>36</v>
      </c>
      <c r="I199" s="5" t="s">
        <v>12950</v>
      </c>
      <c r="J199" s="5" t="s">
        <v>10380</v>
      </c>
      <c r="K199" s="5" t="s">
        <v>12957</v>
      </c>
      <c r="L199" s="11">
        <v>1</v>
      </c>
      <c r="M199" s="5" t="s">
        <v>12497</v>
      </c>
    </row>
    <row r="200" spans="2:13" ht="52.5" customHeight="1" x14ac:dyDescent="0.35">
      <c r="B200" s="12">
        <v>10</v>
      </c>
      <c r="C200" s="7" t="s">
        <v>12906</v>
      </c>
      <c r="D200" s="12">
        <v>17</v>
      </c>
      <c r="E200" s="7" t="s">
        <v>12958</v>
      </c>
      <c r="F200" s="7" t="s">
        <v>12959</v>
      </c>
      <c r="G200" s="7" t="s">
        <v>151</v>
      </c>
      <c r="H200" s="7" t="s">
        <v>36</v>
      </c>
      <c r="I200" s="7" t="s">
        <v>12950</v>
      </c>
      <c r="J200" s="7" t="s">
        <v>12960</v>
      </c>
      <c r="K200" s="7" t="s">
        <v>12961</v>
      </c>
      <c r="L200" s="12">
        <v>1</v>
      </c>
      <c r="M200" s="7" t="s">
        <v>12497</v>
      </c>
    </row>
    <row r="201" spans="2:13" ht="67.5" customHeight="1" x14ac:dyDescent="0.35">
      <c r="B201" s="11">
        <v>11</v>
      </c>
      <c r="C201" s="5" t="s">
        <v>12962</v>
      </c>
      <c r="D201" s="11">
        <v>1</v>
      </c>
      <c r="E201" s="5" t="s">
        <v>12963</v>
      </c>
      <c r="F201" s="5" t="s">
        <v>12964</v>
      </c>
      <c r="G201" s="5" t="s">
        <v>25</v>
      </c>
      <c r="H201" s="5" t="s">
        <v>36</v>
      </c>
      <c r="I201" s="5" t="s">
        <v>12965</v>
      </c>
      <c r="J201" s="5" t="s">
        <v>12966</v>
      </c>
      <c r="K201" s="5" t="s">
        <v>12967</v>
      </c>
      <c r="L201" s="11">
        <v>1</v>
      </c>
      <c r="M201" s="5" t="s">
        <v>12497</v>
      </c>
    </row>
    <row r="202" spans="2:13" ht="37.5" customHeight="1" x14ac:dyDescent="0.35">
      <c r="B202" s="12">
        <v>11</v>
      </c>
      <c r="C202" s="7" t="s">
        <v>12962</v>
      </c>
      <c r="D202" s="12">
        <v>2</v>
      </c>
      <c r="E202" s="7" t="s">
        <v>12968</v>
      </c>
      <c r="F202" s="7" t="s">
        <v>12969</v>
      </c>
      <c r="G202" s="7" t="s">
        <v>24</v>
      </c>
      <c r="H202" s="7" t="s">
        <v>36</v>
      </c>
      <c r="I202" s="7" t="s">
        <v>12970</v>
      </c>
      <c r="J202" s="7" t="s">
        <v>12966</v>
      </c>
      <c r="K202" s="7" t="s">
        <v>12971</v>
      </c>
      <c r="L202" s="12">
        <v>1</v>
      </c>
      <c r="M202" s="7" t="s">
        <v>12497</v>
      </c>
    </row>
    <row r="203" spans="2:13" ht="37.5" customHeight="1" x14ac:dyDescent="0.35">
      <c r="B203" s="11">
        <v>11</v>
      </c>
      <c r="C203" s="5" t="s">
        <v>12962</v>
      </c>
      <c r="D203" s="11">
        <v>3</v>
      </c>
      <c r="E203" s="5" t="s">
        <v>12972</v>
      </c>
      <c r="F203" s="5" t="s">
        <v>12973</v>
      </c>
      <c r="G203" s="5" t="s">
        <v>29</v>
      </c>
      <c r="H203" s="5" t="s">
        <v>36</v>
      </c>
      <c r="I203" s="5" t="s">
        <v>12694</v>
      </c>
      <c r="J203" s="5" t="s">
        <v>12966</v>
      </c>
      <c r="K203" s="5" t="s">
        <v>12974</v>
      </c>
      <c r="L203" s="11">
        <v>1</v>
      </c>
      <c r="M203" s="5" t="s">
        <v>12497</v>
      </c>
    </row>
    <row r="204" spans="2:13" ht="37.5" customHeight="1" x14ac:dyDescent="0.35">
      <c r="B204" s="12">
        <v>11</v>
      </c>
      <c r="C204" s="7" t="s">
        <v>12962</v>
      </c>
      <c r="D204" s="12">
        <v>4</v>
      </c>
      <c r="E204" s="7" t="s">
        <v>12975</v>
      </c>
      <c r="F204" s="7" t="s">
        <v>12976</v>
      </c>
      <c r="G204" s="7" t="s">
        <v>25</v>
      </c>
      <c r="H204" s="7" t="s">
        <v>38</v>
      </c>
      <c r="I204" s="7" t="s">
        <v>12977</v>
      </c>
      <c r="J204" s="7" t="s">
        <v>8700</v>
      </c>
      <c r="K204" s="7" t="s">
        <v>12978</v>
      </c>
      <c r="L204" s="12">
        <v>1</v>
      </c>
      <c r="M204" s="7" t="s">
        <v>12497</v>
      </c>
    </row>
    <row r="205" spans="2:13" ht="37.5" customHeight="1" x14ac:dyDescent="0.35">
      <c r="B205" s="11">
        <v>11</v>
      </c>
      <c r="C205" s="5" t="s">
        <v>12962</v>
      </c>
      <c r="D205" s="11">
        <v>5</v>
      </c>
      <c r="E205" s="5" t="s">
        <v>12979</v>
      </c>
      <c r="F205" s="5" t="s">
        <v>12980</v>
      </c>
      <c r="G205" s="5" t="s">
        <v>457</v>
      </c>
      <c r="H205" s="5" t="s">
        <v>36</v>
      </c>
      <c r="I205" s="5" t="s">
        <v>12981</v>
      </c>
      <c r="J205" s="5" t="s">
        <v>5531</v>
      </c>
      <c r="K205" s="5" t="s">
        <v>12982</v>
      </c>
      <c r="L205" s="11">
        <v>1</v>
      </c>
      <c r="M205" s="5" t="s">
        <v>12497</v>
      </c>
    </row>
    <row r="206" spans="2:13" ht="37.5" customHeight="1" x14ac:dyDescent="0.35">
      <c r="B206" s="12">
        <v>11</v>
      </c>
      <c r="C206" s="7" t="s">
        <v>12962</v>
      </c>
      <c r="D206" s="12">
        <v>6</v>
      </c>
      <c r="E206" s="7" t="s">
        <v>12983</v>
      </c>
      <c r="F206" s="7" t="s">
        <v>12984</v>
      </c>
      <c r="G206" s="7" t="s">
        <v>831</v>
      </c>
      <c r="H206" s="7" t="s">
        <v>36</v>
      </c>
      <c r="I206" s="7" t="s">
        <v>12985</v>
      </c>
      <c r="J206" s="7" t="s">
        <v>5531</v>
      </c>
      <c r="K206" s="7" t="s">
        <v>12986</v>
      </c>
      <c r="L206" s="12">
        <v>1</v>
      </c>
      <c r="M206" s="7" t="s">
        <v>12497</v>
      </c>
    </row>
    <row r="207" spans="2:13" ht="52.5" customHeight="1" x14ac:dyDescent="0.35">
      <c r="B207" s="11">
        <v>11</v>
      </c>
      <c r="C207" s="5" t="s">
        <v>12962</v>
      </c>
      <c r="D207" s="11">
        <v>7</v>
      </c>
      <c r="E207" s="5" t="s">
        <v>12987</v>
      </c>
      <c r="F207" s="5" t="s">
        <v>12988</v>
      </c>
      <c r="G207" s="5" t="s">
        <v>32</v>
      </c>
      <c r="H207" s="5" t="s">
        <v>36</v>
      </c>
      <c r="I207" s="5" t="s">
        <v>12989</v>
      </c>
      <c r="J207" s="5" t="s">
        <v>5531</v>
      </c>
      <c r="K207" s="5" t="s">
        <v>12990</v>
      </c>
      <c r="L207" s="11">
        <v>1</v>
      </c>
      <c r="M207" s="5" t="s">
        <v>12497</v>
      </c>
    </row>
    <row r="208" spans="2:13" ht="37.5" customHeight="1" x14ac:dyDescent="0.35">
      <c r="B208" s="12">
        <v>11</v>
      </c>
      <c r="C208" s="7" t="s">
        <v>12962</v>
      </c>
      <c r="D208" s="12">
        <v>8</v>
      </c>
      <c r="E208" s="7" t="s">
        <v>12991</v>
      </c>
      <c r="F208" s="7" t="s">
        <v>12992</v>
      </c>
      <c r="G208" s="7" t="s">
        <v>1513</v>
      </c>
      <c r="H208" s="7" t="s">
        <v>36</v>
      </c>
      <c r="I208" s="7" t="s">
        <v>12985</v>
      </c>
      <c r="J208" s="7" t="s">
        <v>5531</v>
      </c>
      <c r="K208" s="7" t="s">
        <v>12986</v>
      </c>
      <c r="L208" s="12">
        <v>1</v>
      </c>
      <c r="M208" s="7" t="s">
        <v>12497</v>
      </c>
    </row>
    <row r="209" spans="2:13" ht="21.75" customHeight="1" x14ac:dyDescent="0.35">
      <c r="B209" s="11">
        <v>11</v>
      </c>
      <c r="C209" s="5" t="s">
        <v>12962</v>
      </c>
      <c r="D209" s="11">
        <v>9</v>
      </c>
      <c r="E209" s="5" t="s">
        <v>12993</v>
      </c>
      <c r="F209" s="5" t="s">
        <v>12994</v>
      </c>
      <c r="G209" s="5" t="s">
        <v>1045</v>
      </c>
      <c r="H209" s="5" t="s">
        <v>36</v>
      </c>
      <c r="I209" s="5" t="s">
        <v>12995</v>
      </c>
      <c r="J209" s="5" t="s">
        <v>5531</v>
      </c>
      <c r="K209" s="5" t="s">
        <v>12996</v>
      </c>
      <c r="L209" s="11">
        <v>1</v>
      </c>
      <c r="M209" s="5" t="s">
        <v>12497</v>
      </c>
    </row>
    <row r="210" spans="2:13" ht="52.5" customHeight="1" x14ac:dyDescent="0.35">
      <c r="B210" s="12">
        <v>11</v>
      </c>
      <c r="C210" s="7" t="s">
        <v>12962</v>
      </c>
      <c r="D210" s="12">
        <v>11</v>
      </c>
      <c r="E210" s="7" t="s">
        <v>12997</v>
      </c>
      <c r="F210" s="7" t="s">
        <v>12998</v>
      </c>
      <c r="G210" s="7" t="s">
        <v>3283</v>
      </c>
      <c r="H210" s="7" t="s">
        <v>36</v>
      </c>
      <c r="I210" s="7" t="s">
        <v>12999</v>
      </c>
      <c r="J210" s="7" t="s">
        <v>5176</v>
      </c>
      <c r="K210" s="7" t="s">
        <v>13000</v>
      </c>
      <c r="L210" s="12">
        <v>1</v>
      </c>
      <c r="M210" s="7" t="s">
        <v>12497</v>
      </c>
    </row>
    <row r="211" spans="2:13" ht="37.5" customHeight="1" x14ac:dyDescent="0.35">
      <c r="B211" s="11">
        <v>11</v>
      </c>
      <c r="C211" s="5" t="s">
        <v>12962</v>
      </c>
      <c r="D211" s="11">
        <v>12</v>
      </c>
      <c r="E211" s="5" t="s">
        <v>13001</v>
      </c>
      <c r="F211" s="5" t="s">
        <v>13002</v>
      </c>
      <c r="G211" s="5" t="s">
        <v>212</v>
      </c>
      <c r="H211" s="5" t="s">
        <v>36</v>
      </c>
      <c r="I211" s="5" t="s">
        <v>12985</v>
      </c>
      <c r="J211" s="5" t="s">
        <v>207</v>
      </c>
      <c r="K211" s="5" t="s">
        <v>13003</v>
      </c>
      <c r="L211" s="11">
        <v>1</v>
      </c>
      <c r="M211" s="5" t="s">
        <v>12497</v>
      </c>
    </row>
    <row r="212" spans="2:13" ht="21.75" customHeight="1" x14ac:dyDescent="0.35">
      <c r="B212" s="12">
        <v>11</v>
      </c>
      <c r="C212" s="7" t="s">
        <v>12962</v>
      </c>
      <c r="D212" s="12">
        <v>13</v>
      </c>
      <c r="E212" s="7" t="s">
        <v>13004</v>
      </c>
      <c r="F212" s="7" t="s">
        <v>13005</v>
      </c>
      <c r="G212" s="7" t="s">
        <v>32</v>
      </c>
      <c r="H212" s="7" t="s">
        <v>38</v>
      </c>
      <c r="I212" s="7" t="s">
        <v>13006</v>
      </c>
      <c r="J212" s="7" t="s">
        <v>9772</v>
      </c>
      <c r="K212" s="7" t="s">
        <v>13007</v>
      </c>
      <c r="L212" s="12">
        <v>1</v>
      </c>
      <c r="M212" s="7" t="s">
        <v>12497</v>
      </c>
    </row>
    <row r="213" spans="2:13" ht="52.5" customHeight="1" x14ac:dyDescent="0.35">
      <c r="B213" s="11">
        <v>11</v>
      </c>
      <c r="C213" s="5" t="s">
        <v>12962</v>
      </c>
      <c r="D213" s="11">
        <v>14</v>
      </c>
      <c r="E213" s="5" t="s">
        <v>13008</v>
      </c>
      <c r="F213" s="5" t="s">
        <v>13009</v>
      </c>
      <c r="G213" s="5" t="s">
        <v>513</v>
      </c>
      <c r="H213" s="5" t="s">
        <v>306</v>
      </c>
      <c r="I213" s="5" t="s">
        <v>13010</v>
      </c>
      <c r="J213" s="5" t="s">
        <v>13011</v>
      </c>
      <c r="K213" s="5" t="s">
        <v>13012</v>
      </c>
      <c r="L213" s="11">
        <v>2</v>
      </c>
      <c r="M213" s="5" t="s">
        <v>12497</v>
      </c>
    </row>
    <row r="214" spans="2:13" ht="37.5" customHeight="1" x14ac:dyDescent="0.35">
      <c r="B214" s="12">
        <v>11</v>
      </c>
      <c r="C214" s="7" t="s">
        <v>12962</v>
      </c>
      <c r="D214" s="12">
        <v>15</v>
      </c>
      <c r="E214" s="7" t="s">
        <v>13013</v>
      </c>
      <c r="F214" s="7" t="s">
        <v>13014</v>
      </c>
      <c r="G214" s="7" t="s">
        <v>1667</v>
      </c>
      <c r="H214" s="7" t="s">
        <v>36</v>
      </c>
      <c r="I214" s="7" t="s">
        <v>13015</v>
      </c>
      <c r="J214" s="7" t="s">
        <v>10406</v>
      </c>
      <c r="K214" s="7" t="s">
        <v>13016</v>
      </c>
      <c r="L214" s="12">
        <v>1</v>
      </c>
      <c r="M214" s="7" t="s">
        <v>12497</v>
      </c>
    </row>
    <row r="215" spans="2:13" ht="67.5" customHeight="1" x14ac:dyDescent="0.35">
      <c r="B215" s="11">
        <v>12</v>
      </c>
      <c r="C215" s="5" t="s">
        <v>13017</v>
      </c>
      <c r="D215" s="11">
        <v>1</v>
      </c>
      <c r="E215" s="5" t="s">
        <v>13018</v>
      </c>
      <c r="F215" s="5" t="s">
        <v>13019</v>
      </c>
      <c r="G215" s="5" t="s">
        <v>24</v>
      </c>
      <c r="H215" s="5" t="s">
        <v>36</v>
      </c>
      <c r="I215" s="5" t="s">
        <v>13020</v>
      </c>
      <c r="J215" s="5" t="s">
        <v>6141</v>
      </c>
      <c r="K215" s="5" t="s">
        <v>13021</v>
      </c>
      <c r="L215" s="11">
        <v>1</v>
      </c>
      <c r="M215" s="5" t="s">
        <v>12491</v>
      </c>
    </row>
    <row r="216" spans="2:13" ht="37.5" customHeight="1" x14ac:dyDescent="0.35">
      <c r="B216" s="12">
        <v>12</v>
      </c>
      <c r="C216" s="7" t="s">
        <v>13017</v>
      </c>
      <c r="D216" s="12">
        <v>2</v>
      </c>
      <c r="E216" s="7" t="s">
        <v>13022</v>
      </c>
      <c r="F216" s="7" t="s">
        <v>13023</v>
      </c>
      <c r="G216" s="7" t="s">
        <v>428</v>
      </c>
      <c r="H216" s="7" t="s">
        <v>36</v>
      </c>
      <c r="I216" s="7" t="s">
        <v>13024</v>
      </c>
      <c r="J216" s="7" t="s">
        <v>6141</v>
      </c>
      <c r="K216" s="7" t="s">
        <v>13025</v>
      </c>
      <c r="L216" s="12">
        <v>1</v>
      </c>
      <c r="M216" s="7" t="s">
        <v>12491</v>
      </c>
    </row>
    <row r="217" spans="2:13" ht="37.5" customHeight="1" x14ac:dyDescent="0.35">
      <c r="B217" s="11">
        <v>12</v>
      </c>
      <c r="C217" s="5" t="s">
        <v>13017</v>
      </c>
      <c r="D217" s="11">
        <v>3</v>
      </c>
      <c r="E217" s="5" t="s">
        <v>13026</v>
      </c>
      <c r="F217" s="5" t="s">
        <v>13027</v>
      </c>
      <c r="G217" s="5" t="s">
        <v>1294</v>
      </c>
      <c r="H217" s="5" t="s">
        <v>36</v>
      </c>
      <c r="I217" s="5" t="s">
        <v>13028</v>
      </c>
      <c r="J217" s="5" t="s">
        <v>6141</v>
      </c>
      <c r="K217" s="5" t="s">
        <v>13029</v>
      </c>
      <c r="L217" s="11">
        <v>1</v>
      </c>
      <c r="M217" s="5" t="s">
        <v>12491</v>
      </c>
    </row>
    <row r="218" spans="2:13" ht="37.5" customHeight="1" x14ac:dyDescent="0.35">
      <c r="B218" s="12">
        <v>12</v>
      </c>
      <c r="C218" s="7" t="s">
        <v>13017</v>
      </c>
      <c r="D218" s="12">
        <v>4</v>
      </c>
      <c r="E218" s="7" t="s">
        <v>13030</v>
      </c>
      <c r="F218" s="7" t="s">
        <v>13031</v>
      </c>
      <c r="G218" s="7" t="s">
        <v>282</v>
      </c>
      <c r="H218" s="7" t="s">
        <v>36</v>
      </c>
      <c r="I218" s="7" t="s">
        <v>12840</v>
      </c>
      <c r="J218" s="7" t="s">
        <v>6141</v>
      </c>
      <c r="K218" s="7" t="s">
        <v>13032</v>
      </c>
      <c r="L218" s="12">
        <v>1</v>
      </c>
      <c r="M218" s="7" t="s">
        <v>12491</v>
      </c>
    </row>
    <row r="219" spans="2:13" ht="67.5" customHeight="1" x14ac:dyDescent="0.35">
      <c r="B219" s="11">
        <v>12</v>
      </c>
      <c r="C219" s="5" t="s">
        <v>13017</v>
      </c>
      <c r="D219" s="11">
        <v>5</v>
      </c>
      <c r="E219" s="5" t="s">
        <v>13033</v>
      </c>
      <c r="F219" s="5" t="s">
        <v>13034</v>
      </c>
      <c r="G219" s="5" t="s">
        <v>33</v>
      </c>
      <c r="H219" s="5" t="s">
        <v>36</v>
      </c>
      <c r="I219" s="5" t="s">
        <v>13035</v>
      </c>
      <c r="J219" s="5" t="s">
        <v>6141</v>
      </c>
      <c r="K219" s="5" t="s">
        <v>13036</v>
      </c>
      <c r="L219" s="11">
        <v>1</v>
      </c>
      <c r="M219" s="5" t="s">
        <v>12491</v>
      </c>
    </row>
    <row r="220" spans="2:13" ht="67.5" customHeight="1" x14ac:dyDescent="0.35">
      <c r="B220" s="12">
        <v>12</v>
      </c>
      <c r="C220" s="7" t="s">
        <v>13017</v>
      </c>
      <c r="D220" s="12">
        <v>6</v>
      </c>
      <c r="E220" s="7" t="s">
        <v>13037</v>
      </c>
      <c r="F220" s="7" t="s">
        <v>13038</v>
      </c>
      <c r="G220" s="7" t="s">
        <v>442</v>
      </c>
      <c r="H220" s="7" t="s">
        <v>36</v>
      </c>
      <c r="I220" s="7" t="s">
        <v>13035</v>
      </c>
      <c r="J220" s="7" t="s">
        <v>6141</v>
      </c>
      <c r="K220" s="7" t="s">
        <v>13036</v>
      </c>
      <c r="L220" s="12">
        <v>1</v>
      </c>
      <c r="M220" s="7" t="s">
        <v>12491</v>
      </c>
    </row>
    <row r="221" spans="2:13" ht="52.5" customHeight="1" x14ac:dyDescent="0.35">
      <c r="B221" s="11">
        <v>12</v>
      </c>
      <c r="C221" s="5" t="s">
        <v>13017</v>
      </c>
      <c r="D221" s="11">
        <v>7</v>
      </c>
      <c r="E221" s="5" t="s">
        <v>13039</v>
      </c>
      <c r="F221" s="5" t="s">
        <v>13040</v>
      </c>
      <c r="G221" s="5" t="s">
        <v>24</v>
      </c>
      <c r="H221" s="5" t="s">
        <v>36</v>
      </c>
      <c r="I221" s="5" t="s">
        <v>13041</v>
      </c>
      <c r="J221" s="5" t="s">
        <v>6141</v>
      </c>
      <c r="K221" s="5" t="s">
        <v>13042</v>
      </c>
      <c r="L221" s="11">
        <v>1</v>
      </c>
      <c r="M221" s="5" t="s">
        <v>12491</v>
      </c>
    </row>
    <row r="222" spans="2:13" ht="37.5" customHeight="1" x14ac:dyDescent="0.35">
      <c r="B222" s="12">
        <v>12</v>
      </c>
      <c r="C222" s="7" t="s">
        <v>13017</v>
      </c>
      <c r="D222" s="12">
        <v>8</v>
      </c>
      <c r="E222" s="7" t="s">
        <v>13043</v>
      </c>
      <c r="F222" s="7" t="s">
        <v>13044</v>
      </c>
      <c r="G222" s="7" t="s">
        <v>560</v>
      </c>
      <c r="H222" s="7" t="s">
        <v>36</v>
      </c>
      <c r="I222" s="7" t="s">
        <v>13045</v>
      </c>
      <c r="J222" s="7" t="s">
        <v>6141</v>
      </c>
      <c r="K222" s="7" t="s">
        <v>13046</v>
      </c>
      <c r="L222" s="12">
        <v>1</v>
      </c>
      <c r="M222" s="7" t="s">
        <v>12491</v>
      </c>
    </row>
    <row r="223" spans="2:13" ht="82.5" customHeight="1" x14ac:dyDescent="0.35">
      <c r="B223" s="11">
        <v>12</v>
      </c>
      <c r="C223" s="5" t="s">
        <v>13017</v>
      </c>
      <c r="D223" s="11">
        <v>9</v>
      </c>
      <c r="E223" s="5" t="s">
        <v>13047</v>
      </c>
      <c r="F223" s="5" t="s">
        <v>13048</v>
      </c>
      <c r="G223" s="5" t="s">
        <v>185</v>
      </c>
      <c r="H223" s="5" t="s">
        <v>36</v>
      </c>
      <c r="I223" s="5" t="s">
        <v>13049</v>
      </c>
      <c r="J223" s="5" t="s">
        <v>6141</v>
      </c>
      <c r="K223" s="5" t="s">
        <v>13050</v>
      </c>
      <c r="L223" s="11">
        <v>1</v>
      </c>
      <c r="M223" s="5" t="s">
        <v>12491</v>
      </c>
    </row>
    <row r="224" spans="2:13" ht="67.5" customHeight="1" x14ac:dyDescent="0.35">
      <c r="B224" s="12">
        <v>12</v>
      </c>
      <c r="C224" s="7" t="s">
        <v>13017</v>
      </c>
      <c r="D224" s="12">
        <v>10</v>
      </c>
      <c r="E224" s="7" t="s">
        <v>13051</v>
      </c>
      <c r="F224" s="7" t="s">
        <v>13052</v>
      </c>
      <c r="G224" s="7" t="s">
        <v>24</v>
      </c>
      <c r="H224" s="7" t="s">
        <v>36</v>
      </c>
      <c r="I224" s="7" t="s">
        <v>13053</v>
      </c>
      <c r="J224" s="7" t="s">
        <v>6141</v>
      </c>
      <c r="K224" s="7" t="s">
        <v>13054</v>
      </c>
      <c r="L224" s="12">
        <v>1</v>
      </c>
      <c r="M224" s="7" t="s">
        <v>12491</v>
      </c>
    </row>
    <row r="225" spans="2:13" ht="37.5" customHeight="1" x14ac:dyDescent="0.35">
      <c r="B225" s="11">
        <v>12</v>
      </c>
      <c r="C225" s="5" t="s">
        <v>13017</v>
      </c>
      <c r="D225" s="11">
        <v>11</v>
      </c>
      <c r="E225" s="5" t="s">
        <v>13055</v>
      </c>
      <c r="F225" s="5" t="s">
        <v>13056</v>
      </c>
      <c r="G225" s="5" t="s">
        <v>31</v>
      </c>
      <c r="H225" s="5" t="s">
        <v>36</v>
      </c>
      <c r="I225" s="5" t="s">
        <v>13057</v>
      </c>
      <c r="J225" s="5" t="s">
        <v>6141</v>
      </c>
      <c r="K225" s="5" t="s">
        <v>13058</v>
      </c>
      <c r="L225" s="11">
        <v>1</v>
      </c>
      <c r="M225" s="5" t="s">
        <v>12491</v>
      </c>
    </row>
    <row r="226" spans="2:13" ht="52.5" customHeight="1" x14ac:dyDescent="0.35">
      <c r="B226" s="12">
        <v>12</v>
      </c>
      <c r="C226" s="7" t="s">
        <v>13017</v>
      </c>
      <c r="D226" s="12">
        <v>12</v>
      </c>
      <c r="E226" s="7" t="s">
        <v>13059</v>
      </c>
      <c r="F226" s="7" t="s">
        <v>13060</v>
      </c>
      <c r="G226" s="7" t="s">
        <v>395</v>
      </c>
      <c r="H226" s="7" t="s">
        <v>36</v>
      </c>
      <c r="I226" s="7" t="s">
        <v>13061</v>
      </c>
      <c r="J226" s="7" t="s">
        <v>6141</v>
      </c>
      <c r="K226" s="7" t="s">
        <v>13062</v>
      </c>
      <c r="L226" s="12">
        <v>1</v>
      </c>
      <c r="M226" s="7" t="s">
        <v>12491</v>
      </c>
    </row>
    <row r="227" spans="2:13" ht="52.5" customHeight="1" x14ac:dyDescent="0.35">
      <c r="B227" s="11">
        <v>12</v>
      </c>
      <c r="C227" s="5" t="s">
        <v>13017</v>
      </c>
      <c r="D227" s="11">
        <v>13</v>
      </c>
      <c r="E227" s="5" t="s">
        <v>13063</v>
      </c>
      <c r="F227" s="5" t="s">
        <v>13064</v>
      </c>
      <c r="G227" s="5" t="s">
        <v>185</v>
      </c>
      <c r="H227" s="5" t="s">
        <v>36</v>
      </c>
      <c r="I227" s="5" t="s">
        <v>13061</v>
      </c>
      <c r="J227" s="5" t="s">
        <v>6141</v>
      </c>
      <c r="K227" s="5" t="s">
        <v>13062</v>
      </c>
      <c r="L227" s="11">
        <v>1</v>
      </c>
      <c r="M227" s="5" t="s">
        <v>12491</v>
      </c>
    </row>
    <row r="228" spans="2:13" ht="21.75" customHeight="1" x14ac:dyDescent="0.35">
      <c r="B228" s="12">
        <v>12</v>
      </c>
      <c r="C228" s="7" t="s">
        <v>13017</v>
      </c>
      <c r="D228" s="12">
        <v>14</v>
      </c>
      <c r="E228" s="7" t="s">
        <v>13065</v>
      </c>
      <c r="F228" s="7" t="s">
        <v>13066</v>
      </c>
      <c r="G228" s="7" t="s">
        <v>445</v>
      </c>
      <c r="H228" s="7" t="s">
        <v>36</v>
      </c>
      <c r="I228" s="7" t="s">
        <v>13067</v>
      </c>
      <c r="J228" s="7" t="s">
        <v>6141</v>
      </c>
      <c r="K228" s="7" t="s">
        <v>13068</v>
      </c>
      <c r="L228" s="12">
        <v>1</v>
      </c>
      <c r="M228" s="7" t="s">
        <v>12491</v>
      </c>
    </row>
    <row r="229" spans="2:13" ht="52.5" customHeight="1" x14ac:dyDescent="0.35">
      <c r="B229" s="11">
        <v>12</v>
      </c>
      <c r="C229" s="5" t="s">
        <v>13017</v>
      </c>
      <c r="D229" s="11">
        <v>15</v>
      </c>
      <c r="E229" s="5" t="s">
        <v>13069</v>
      </c>
      <c r="F229" s="5" t="s">
        <v>13070</v>
      </c>
      <c r="G229" s="5" t="s">
        <v>402</v>
      </c>
      <c r="H229" s="5" t="s">
        <v>36</v>
      </c>
      <c r="I229" s="5" t="s">
        <v>13071</v>
      </c>
      <c r="J229" s="5" t="s">
        <v>6141</v>
      </c>
      <c r="K229" s="5" t="s">
        <v>13072</v>
      </c>
      <c r="L229" s="11">
        <v>1</v>
      </c>
      <c r="M229" s="5" t="s">
        <v>12491</v>
      </c>
    </row>
    <row r="230" spans="2:13" ht="52.5" customHeight="1" x14ac:dyDescent="0.35">
      <c r="B230" s="12">
        <v>12</v>
      </c>
      <c r="C230" s="7" t="s">
        <v>13017</v>
      </c>
      <c r="D230" s="12">
        <v>16</v>
      </c>
      <c r="E230" s="7" t="s">
        <v>13073</v>
      </c>
      <c r="F230" s="7" t="s">
        <v>13074</v>
      </c>
      <c r="G230" s="7" t="s">
        <v>573</v>
      </c>
      <c r="H230" s="7" t="s">
        <v>36</v>
      </c>
      <c r="I230" s="7" t="s">
        <v>13075</v>
      </c>
      <c r="J230" s="7" t="s">
        <v>6141</v>
      </c>
      <c r="K230" s="7" t="s">
        <v>13076</v>
      </c>
      <c r="L230" s="12">
        <v>1</v>
      </c>
      <c r="M230" s="7" t="s">
        <v>12491</v>
      </c>
    </row>
    <row r="231" spans="2:13" ht="37.5" customHeight="1" x14ac:dyDescent="0.35">
      <c r="B231" s="11">
        <v>12</v>
      </c>
      <c r="C231" s="5" t="s">
        <v>13017</v>
      </c>
      <c r="D231" s="11">
        <v>17</v>
      </c>
      <c r="E231" s="5" t="s">
        <v>13077</v>
      </c>
      <c r="F231" s="5" t="s">
        <v>13078</v>
      </c>
      <c r="G231" s="5" t="s">
        <v>372</v>
      </c>
      <c r="H231" s="5" t="s">
        <v>36</v>
      </c>
      <c r="I231" s="5" t="s">
        <v>12605</v>
      </c>
      <c r="J231" s="5" t="s">
        <v>6141</v>
      </c>
      <c r="K231" s="5" t="s">
        <v>13079</v>
      </c>
      <c r="L231" s="11">
        <v>1</v>
      </c>
      <c r="M231" s="5" t="s">
        <v>12491</v>
      </c>
    </row>
    <row r="232" spans="2:13" ht="52.5" customHeight="1" x14ac:dyDescent="0.35">
      <c r="B232" s="12">
        <v>12</v>
      </c>
      <c r="C232" s="7" t="s">
        <v>13017</v>
      </c>
      <c r="D232" s="12">
        <v>18</v>
      </c>
      <c r="E232" s="7" t="s">
        <v>13080</v>
      </c>
      <c r="F232" s="7" t="s">
        <v>13081</v>
      </c>
      <c r="G232" s="7" t="s">
        <v>3946</v>
      </c>
      <c r="H232" s="7" t="s">
        <v>36</v>
      </c>
      <c r="I232" s="7" t="s">
        <v>13082</v>
      </c>
      <c r="J232" s="7" t="s">
        <v>6141</v>
      </c>
      <c r="K232" s="7" t="s">
        <v>13083</v>
      </c>
      <c r="L232" s="12">
        <v>1</v>
      </c>
      <c r="M232" s="7" t="s">
        <v>12491</v>
      </c>
    </row>
    <row r="233" spans="2:13" ht="52.5" customHeight="1" x14ac:dyDescent="0.35">
      <c r="B233" s="11">
        <v>12</v>
      </c>
      <c r="C233" s="5" t="s">
        <v>13017</v>
      </c>
      <c r="D233" s="11">
        <v>19</v>
      </c>
      <c r="E233" s="5" t="s">
        <v>13084</v>
      </c>
      <c r="F233" s="5" t="s">
        <v>13085</v>
      </c>
      <c r="G233" s="5" t="s">
        <v>26</v>
      </c>
      <c r="H233" s="5" t="s">
        <v>36</v>
      </c>
      <c r="I233" s="5" t="s">
        <v>13082</v>
      </c>
      <c r="J233" s="5" t="s">
        <v>6141</v>
      </c>
      <c r="K233" s="5" t="s">
        <v>13083</v>
      </c>
      <c r="L233" s="11">
        <v>1</v>
      </c>
      <c r="M233" s="5" t="s">
        <v>12491</v>
      </c>
    </row>
    <row r="234" spans="2:13" ht="37.5" customHeight="1" x14ac:dyDescent="0.35">
      <c r="B234" s="12">
        <v>12</v>
      </c>
      <c r="C234" s="7" t="s">
        <v>13017</v>
      </c>
      <c r="D234" s="12">
        <v>20</v>
      </c>
      <c r="E234" s="7" t="s">
        <v>13086</v>
      </c>
      <c r="F234" s="7" t="s">
        <v>13087</v>
      </c>
      <c r="G234" s="7" t="s">
        <v>805</v>
      </c>
      <c r="H234" s="7" t="s">
        <v>37</v>
      </c>
      <c r="I234" s="7" t="s">
        <v>12388</v>
      </c>
      <c r="J234" s="7" t="s">
        <v>13088</v>
      </c>
      <c r="K234" s="7" t="s">
        <v>13089</v>
      </c>
      <c r="L234" s="12">
        <v>1</v>
      </c>
      <c r="M234" s="7" t="s">
        <v>12491</v>
      </c>
    </row>
    <row r="235" spans="2:13" ht="67.5" customHeight="1" x14ac:dyDescent="0.35">
      <c r="B235" s="11">
        <v>12</v>
      </c>
      <c r="C235" s="5" t="s">
        <v>13017</v>
      </c>
      <c r="D235" s="11">
        <v>21</v>
      </c>
      <c r="E235" s="5" t="s">
        <v>13090</v>
      </c>
      <c r="F235" s="5" t="s">
        <v>13091</v>
      </c>
      <c r="G235" s="5" t="s">
        <v>825</v>
      </c>
      <c r="H235" s="5" t="s">
        <v>36</v>
      </c>
      <c r="I235" s="5" t="s">
        <v>13092</v>
      </c>
      <c r="J235" s="5" t="s">
        <v>6141</v>
      </c>
      <c r="K235" s="5" t="s">
        <v>13093</v>
      </c>
      <c r="L235" s="11">
        <v>1</v>
      </c>
      <c r="M235" s="5" t="s">
        <v>12491</v>
      </c>
    </row>
    <row r="236" spans="2:13" ht="52.5" customHeight="1" x14ac:dyDescent="0.35">
      <c r="B236" s="12">
        <v>12</v>
      </c>
      <c r="C236" s="7" t="s">
        <v>13017</v>
      </c>
      <c r="D236" s="12">
        <v>22</v>
      </c>
      <c r="E236" s="7" t="s">
        <v>13094</v>
      </c>
      <c r="F236" s="7" t="s">
        <v>13095</v>
      </c>
      <c r="G236" s="7" t="s">
        <v>552</v>
      </c>
      <c r="H236" s="7" t="s">
        <v>36</v>
      </c>
      <c r="I236" s="7" t="s">
        <v>13096</v>
      </c>
      <c r="J236" s="7" t="s">
        <v>13097</v>
      </c>
      <c r="K236" s="7" t="s">
        <v>13098</v>
      </c>
      <c r="L236" s="12">
        <v>2</v>
      </c>
      <c r="M236" s="7" t="s">
        <v>12491</v>
      </c>
    </row>
    <row r="237" spans="2:13" ht="52.5" customHeight="1" x14ac:dyDescent="0.35">
      <c r="B237" s="11">
        <v>12</v>
      </c>
      <c r="C237" s="5" t="s">
        <v>13017</v>
      </c>
      <c r="D237" s="11">
        <v>23</v>
      </c>
      <c r="E237" s="5" t="s">
        <v>13099</v>
      </c>
      <c r="F237" s="5" t="s">
        <v>13100</v>
      </c>
      <c r="G237" s="5" t="s">
        <v>1713</v>
      </c>
      <c r="H237" s="5" t="s">
        <v>37</v>
      </c>
      <c r="I237" s="5" t="s">
        <v>13101</v>
      </c>
      <c r="J237" s="5"/>
      <c r="K237" s="5" t="s">
        <v>13102</v>
      </c>
      <c r="L237" s="11">
        <v>2</v>
      </c>
      <c r="M237" s="5" t="s">
        <v>12491</v>
      </c>
    </row>
    <row r="238" spans="2:13" ht="37.5" customHeight="1" x14ac:dyDescent="0.35">
      <c r="B238" s="12">
        <v>12</v>
      </c>
      <c r="C238" s="7" t="s">
        <v>13017</v>
      </c>
      <c r="D238" s="12">
        <v>24</v>
      </c>
      <c r="E238" s="7" t="s">
        <v>13103</v>
      </c>
      <c r="F238" s="7" t="s">
        <v>13104</v>
      </c>
      <c r="G238" s="7" t="s">
        <v>800</v>
      </c>
      <c r="H238" s="7" t="s">
        <v>36</v>
      </c>
      <c r="I238" s="7" t="s">
        <v>13105</v>
      </c>
      <c r="J238" s="7" t="s">
        <v>8548</v>
      </c>
      <c r="K238" s="7" t="s">
        <v>13106</v>
      </c>
      <c r="L238" s="12">
        <v>1</v>
      </c>
      <c r="M238" s="7" t="s">
        <v>12491</v>
      </c>
    </row>
    <row r="239" spans="2:13" ht="52.5" customHeight="1" x14ac:dyDescent="0.35">
      <c r="B239" s="11">
        <v>13</v>
      </c>
      <c r="C239" s="5" t="s">
        <v>13107</v>
      </c>
      <c r="D239" s="11">
        <v>1</v>
      </c>
      <c r="E239" s="5" t="s">
        <v>13108</v>
      </c>
      <c r="F239" s="5" t="s">
        <v>13109</v>
      </c>
      <c r="G239" s="5" t="s">
        <v>24</v>
      </c>
      <c r="H239" s="5" t="s">
        <v>36</v>
      </c>
      <c r="I239" s="5" t="s">
        <v>13110</v>
      </c>
      <c r="J239" s="5" t="s">
        <v>177</v>
      </c>
      <c r="K239" s="5" t="s">
        <v>13111</v>
      </c>
      <c r="L239" s="11">
        <v>1</v>
      </c>
      <c r="M239" s="5" t="s">
        <v>12491</v>
      </c>
    </row>
    <row r="240" spans="2:13" ht="37.5" customHeight="1" x14ac:dyDescent="0.35">
      <c r="B240" s="12">
        <v>13</v>
      </c>
      <c r="C240" s="7" t="s">
        <v>13107</v>
      </c>
      <c r="D240" s="12">
        <v>2</v>
      </c>
      <c r="E240" s="7" t="s">
        <v>13112</v>
      </c>
      <c r="F240" s="7" t="s">
        <v>13113</v>
      </c>
      <c r="G240" s="7" t="s">
        <v>1294</v>
      </c>
      <c r="H240" s="7" t="s">
        <v>36</v>
      </c>
      <c r="I240" s="7" t="s">
        <v>13114</v>
      </c>
      <c r="J240" s="7" t="s">
        <v>1988</v>
      </c>
      <c r="K240" s="7" t="s">
        <v>13115</v>
      </c>
      <c r="L240" s="12">
        <v>1</v>
      </c>
      <c r="M240" s="7" t="s">
        <v>12491</v>
      </c>
    </row>
    <row r="241" spans="2:13" ht="52.5" customHeight="1" x14ac:dyDescent="0.35">
      <c r="B241" s="11">
        <v>14</v>
      </c>
      <c r="C241" s="5" t="s">
        <v>13116</v>
      </c>
      <c r="D241" s="11">
        <v>1</v>
      </c>
      <c r="E241" s="5" t="s">
        <v>13117</v>
      </c>
      <c r="F241" s="5" t="s">
        <v>13118</v>
      </c>
      <c r="G241" s="5" t="s">
        <v>29</v>
      </c>
      <c r="H241" s="5" t="s">
        <v>1046</v>
      </c>
      <c r="I241" s="5" t="s">
        <v>13119</v>
      </c>
      <c r="J241" s="5" t="s">
        <v>5588</v>
      </c>
      <c r="K241" s="5" t="s">
        <v>13120</v>
      </c>
      <c r="L241" s="11">
        <v>1</v>
      </c>
      <c r="M241" s="5" t="s">
        <v>13121</v>
      </c>
    </row>
    <row r="242" spans="2:13" ht="52.5" customHeight="1" x14ac:dyDescent="0.35">
      <c r="B242" s="12">
        <v>14</v>
      </c>
      <c r="C242" s="7" t="s">
        <v>13116</v>
      </c>
      <c r="D242" s="12">
        <v>2</v>
      </c>
      <c r="E242" s="7" t="s">
        <v>13122</v>
      </c>
      <c r="F242" s="7" t="s">
        <v>13123</v>
      </c>
      <c r="G242" s="7" t="s">
        <v>30</v>
      </c>
      <c r="H242" s="7" t="s">
        <v>36</v>
      </c>
      <c r="I242" s="7" t="s">
        <v>13124</v>
      </c>
      <c r="J242" s="7" t="s">
        <v>331</v>
      </c>
      <c r="K242" s="7" t="s">
        <v>13125</v>
      </c>
      <c r="L242" s="12">
        <v>1</v>
      </c>
      <c r="M242" s="7" t="s">
        <v>13121</v>
      </c>
    </row>
    <row r="243" spans="2:13" ht="142.5" customHeight="1" x14ac:dyDescent="0.35">
      <c r="B243" s="11">
        <v>15</v>
      </c>
      <c r="C243" s="5" t="s">
        <v>13126</v>
      </c>
      <c r="D243" s="11">
        <v>1</v>
      </c>
      <c r="E243" s="5" t="s">
        <v>13127</v>
      </c>
      <c r="F243" s="5" t="s">
        <v>13128</v>
      </c>
      <c r="G243" s="5" t="s">
        <v>1435</v>
      </c>
      <c r="H243" s="5" t="s">
        <v>6394</v>
      </c>
      <c r="I243" s="5" t="s">
        <v>13129</v>
      </c>
      <c r="J243" s="5" t="s">
        <v>13130</v>
      </c>
      <c r="K243" s="5" t="s">
        <v>13131</v>
      </c>
      <c r="L243" s="11">
        <v>2</v>
      </c>
      <c r="M243" s="5" t="s">
        <v>13121</v>
      </c>
    </row>
    <row r="244" spans="2:13" ht="127.5" customHeight="1" x14ac:dyDescent="0.35">
      <c r="B244" s="12">
        <v>15</v>
      </c>
      <c r="C244" s="7" t="s">
        <v>13126</v>
      </c>
      <c r="D244" s="12">
        <v>2</v>
      </c>
      <c r="E244" s="7" t="s">
        <v>13132</v>
      </c>
      <c r="F244" s="7" t="s">
        <v>13133</v>
      </c>
      <c r="G244" s="7" t="s">
        <v>29</v>
      </c>
      <c r="H244" s="7" t="s">
        <v>13134</v>
      </c>
      <c r="I244" s="7" t="s">
        <v>13135</v>
      </c>
      <c r="J244" s="7" t="s">
        <v>13136</v>
      </c>
      <c r="K244" s="7" t="s">
        <v>13137</v>
      </c>
      <c r="L244" s="12">
        <v>3</v>
      </c>
      <c r="M244" s="7" t="s">
        <v>13121</v>
      </c>
    </row>
    <row r="245" spans="2:13" ht="52.5" customHeight="1" x14ac:dyDescent="0.35">
      <c r="B245" s="11">
        <v>16</v>
      </c>
      <c r="C245" s="5" t="s">
        <v>13138</v>
      </c>
      <c r="D245" s="11">
        <v>1</v>
      </c>
      <c r="E245" s="5" t="s">
        <v>13139</v>
      </c>
      <c r="F245" s="5" t="s">
        <v>13140</v>
      </c>
      <c r="G245" s="5" t="s">
        <v>24</v>
      </c>
      <c r="H245" s="5" t="s">
        <v>36</v>
      </c>
      <c r="I245" s="5" t="s">
        <v>13141</v>
      </c>
      <c r="J245" s="5" t="s">
        <v>12138</v>
      </c>
      <c r="K245" s="5" t="s">
        <v>13142</v>
      </c>
      <c r="L245" s="11">
        <v>1</v>
      </c>
      <c r="M245" s="5" t="s">
        <v>13143</v>
      </c>
    </row>
    <row r="246" spans="2:13" ht="37.5" customHeight="1" x14ac:dyDescent="0.35">
      <c r="B246" s="12">
        <v>16</v>
      </c>
      <c r="C246" s="7" t="s">
        <v>13138</v>
      </c>
      <c r="D246" s="12">
        <v>2</v>
      </c>
      <c r="E246" s="7" t="s">
        <v>13144</v>
      </c>
      <c r="F246" s="7" t="s">
        <v>13145</v>
      </c>
      <c r="G246" s="7" t="s">
        <v>26</v>
      </c>
      <c r="H246" s="7" t="s">
        <v>36</v>
      </c>
      <c r="I246" s="7" t="s">
        <v>13146</v>
      </c>
      <c r="J246" s="7" t="s">
        <v>2174</v>
      </c>
      <c r="K246" s="7" t="s">
        <v>13147</v>
      </c>
      <c r="L246" s="12">
        <v>1</v>
      </c>
      <c r="M246" s="7" t="s">
        <v>13143</v>
      </c>
    </row>
    <row r="247" spans="2:13" ht="52.5" customHeight="1" x14ac:dyDescent="0.35">
      <c r="B247" s="11">
        <v>16</v>
      </c>
      <c r="C247" s="5" t="s">
        <v>13138</v>
      </c>
      <c r="D247" s="11">
        <v>3</v>
      </c>
      <c r="E247" s="5" t="s">
        <v>13148</v>
      </c>
      <c r="F247" s="5" t="s">
        <v>13149</v>
      </c>
      <c r="G247" s="5" t="s">
        <v>993</v>
      </c>
      <c r="H247" s="5" t="s">
        <v>36</v>
      </c>
      <c r="I247" s="5" t="s">
        <v>13150</v>
      </c>
      <c r="J247" s="5" t="s">
        <v>4948</v>
      </c>
      <c r="K247" s="5" t="s">
        <v>13151</v>
      </c>
      <c r="L247" s="11">
        <v>1</v>
      </c>
      <c r="M247" s="5" t="s">
        <v>13143</v>
      </c>
    </row>
    <row r="248" spans="2:13" ht="37.5" customHeight="1" x14ac:dyDescent="0.35">
      <c r="B248" s="12">
        <v>17</v>
      </c>
      <c r="C248" s="7" t="s">
        <v>13152</v>
      </c>
      <c r="D248" s="12">
        <v>1</v>
      </c>
      <c r="E248" s="7" t="s">
        <v>13153</v>
      </c>
      <c r="F248" s="7" t="s">
        <v>13154</v>
      </c>
      <c r="G248" s="7" t="s">
        <v>2919</v>
      </c>
      <c r="H248" s="7" t="s">
        <v>4662</v>
      </c>
      <c r="I248" s="7" t="s">
        <v>13155</v>
      </c>
      <c r="J248" s="7" t="s">
        <v>13156</v>
      </c>
      <c r="K248" s="7" t="s">
        <v>13157</v>
      </c>
      <c r="L248" s="12">
        <v>2</v>
      </c>
      <c r="M248" s="7" t="s">
        <v>12497</v>
      </c>
    </row>
    <row r="249" spans="2:13" ht="37.5" customHeight="1" x14ac:dyDescent="0.35">
      <c r="B249" s="11">
        <v>17</v>
      </c>
      <c r="C249" s="5" t="s">
        <v>13152</v>
      </c>
      <c r="D249" s="11">
        <v>2</v>
      </c>
      <c r="E249" s="5" t="s">
        <v>13158</v>
      </c>
      <c r="F249" s="5" t="s">
        <v>13159</v>
      </c>
      <c r="G249" s="5" t="s">
        <v>212</v>
      </c>
      <c r="H249" s="5" t="s">
        <v>37</v>
      </c>
      <c r="I249" s="5" t="s">
        <v>13160</v>
      </c>
      <c r="J249" s="5" t="s">
        <v>2102</v>
      </c>
      <c r="K249" s="5" t="s">
        <v>13161</v>
      </c>
      <c r="L249" s="11">
        <v>1</v>
      </c>
      <c r="M249" s="5" t="s">
        <v>12497</v>
      </c>
    </row>
    <row r="250" spans="2:13" ht="37.5" customHeight="1" x14ac:dyDescent="0.35">
      <c r="B250" s="12">
        <v>17</v>
      </c>
      <c r="C250" s="7" t="s">
        <v>13152</v>
      </c>
      <c r="D250" s="12">
        <v>3</v>
      </c>
      <c r="E250" s="7" t="s">
        <v>13162</v>
      </c>
      <c r="F250" s="7" t="s">
        <v>13163</v>
      </c>
      <c r="G250" s="7" t="s">
        <v>198</v>
      </c>
      <c r="H250" s="7" t="s">
        <v>37</v>
      </c>
      <c r="I250" s="7" t="s">
        <v>13164</v>
      </c>
      <c r="J250" s="7" t="s">
        <v>13165</v>
      </c>
      <c r="K250" s="7" t="s">
        <v>13166</v>
      </c>
      <c r="L250" s="12">
        <v>1</v>
      </c>
      <c r="M250" s="7" t="s">
        <v>12497</v>
      </c>
    </row>
    <row r="251" spans="2:13" ht="37.5" customHeight="1" x14ac:dyDescent="0.35">
      <c r="B251" s="11">
        <v>17</v>
      </c>
      <c r="C251" s="5" t="s">
        <v>13152</v>
      </c>
      <c r="D251" s="11">
        <v>4</v>
      </c>
      <c r="E251" s="5" t="s">
        <v>13167</v>
      </c>
      <c r="F251" s="5" t="s">
        <v>13168</v>
      </c>
      <c r="G251" s="5" t="s">
        <v>212</v>
      </c>
      <c r="H251" s="5" t="s">
        <v>39</v>
      </c>
      <c r="I251" s="5" t="s">
        <v>13169</v>
      </c>
      <c r="J251" s="5" t="s">
        <v>4308</v>
      </c>
      <c r="K251" s="5" t="s">
        <v>13170</v>
      </c>
      <c r="L251" s="11">
        <v>1</v>
      </c>
      <c r="M251" s="5" t="s">
        <v>12497</v>
      </c>
    </row>
    <row r="252" spans="2:13" ht="37.5" customHeight="1" x14ac:dyDescent="0.35">
      <c r="B252" s="12">
        <v>17</v>
      </c>
      <c r="C252" s="7" t="s">
        <v>13152</v>
      </c>
      <c r="D252" s="12">
        <v>5</v>
      </c>
      <c r="E252" s="7" t="s">
        <v>13171</v>
      </c>
      <c r="F252" s="7" t="s">
        <v>13172</v>
      </c>
      <c r="G252" s="7" t="s">
        <v>993</v>
      </c>
      <c r="H252" s="7" t="s">
        <v>301</v>
      </c>
      <c r="I252" s="7" t="s">
        <v>13173</v>
      </c>
      <c r="J252" s="7" t="s">
        <v>13174</v>
      </c>
      <c r="K252" s="7" t="s">
        <v>13175</v>
      </c>
      <c r="L252" s="12">
        <v>2</v>
      </c>
      <c r="M252" s="7" t="s">
        <v>12497</v>
      </c>
    </row>
    <row r="253" spans="2:13" ht="37.5" customHeight="1" x14ac:dyDescent="0.35">
      <c r="B253" s="11">
        <v>17</v>
      </c>
      <c r="C253" s="5" t="s">
        <v>13152</v>
      </c>
      <c r="D253" s="11">
        <v>7</v>
      </c>
      <c r="E253" s="5" t="s">
        <v>13176</v>
      </c>
      <c r="F253" s="5" t="s">
        <v>13177</v>
      </c>
      <c r="G253" s="5" t="s">
        <v>788</v>
      </c>
      <c r="H253" s="5" t="s">
        <v>37</v>
      </c>
      <c r="I253" s="5" t="s">
        <v>13178</v>
      </c>
      <c r="J253" s="5" t="s">
        <v>13165</v>
      </c>
      <c r="K253" s="5" t="s">
        <v>13179</v>
      </c>
      <c r="L253" s="11">
        <v>1</v>
      </c>
      <c r="M253" s="5" t="s">
        <v>12497</v>
      </c>
    </row>
    <row r="254" spans="2:13" ht="37.5" customHeight="1" x14ac:dyDescent="0.35">
      <c r="B254" s="12">
        <v>17</v>
      </c>
      <c r="C254" s="7" t="s">
        <v>13152</v>
      </c>
      <c r="D254" s="12">
        <v>8</v>
      </c>
      <c r="E254" s="7" t="s">
        <v>13180</v>
      </c>
      <c r="F254" s="7" t="s">
        <v>13181</v>
      </c>
      <c r="G254" s="7" t="s">
        <v>26</v>
      </c>
      <c r="H254" s="7" t="s">
        <v>36</v>
      </c>
      <c r="I254" s="7" t="s">
        <v>13182</v>
      </c>
      <c r="J254" s="7" t="s">
        <v>13183</v>
      </c>
      <c r="K254" s="7" t="s">
        <v>13184</v>
      </c>
      <c r="L254" s="12">
        <v>1</v>
      </c>
      <c r="M254" s="7" t="s">
        <v>12497</v>
      </c>
    </row>
    <row r="255" spans="2:13" ht="37.5" customHeight="1" x14ac:dyDescent="0.35">
      <c r="B255" s="11">
        <v>17</v>
      </c>
      <c r="C255" s="5" t="s">
        <v>13152</v>
      </c>
      <c r="D255" s="11">
        <v>9</v>
      </c>
      <c r="E255" s="5" t="s">
        <v>13185</v>
      </c>
      <c r="F255" s="5" t="s">
        <v>13186</v>
      </c>
      <c r="G255" s="5" t="s">
        <v>232</v>
      </c>
      <c r="H255" s="5" t="s">
        <v>37</v>
      </c>
      <c r="I255" s="5" t="s">
        <v>13178</v>
      </c>
      <c r="J255" s="5" t="s">
        <v>13165</v>
      </c>
      <c r="K255" s="5" t="s">
        <v>13179</v>
      </c>
      <c r="L255" s="11">
        <v>1</v>
      </c>
      <c r="M255" s="5" t="s">
        <v>12497</v>
      </c>
    </row>
    <row r="256" spans="2:13" ht="21.75" customHeight="1" x14ac:dyDescent="0.35">
      <c r="B256" s="12">
        <v>17</v>
      </c>
      <c r="C256" s="7" t="s">
        <v>13152</v>
      </c>
      <c r="D256" s="12">
        <v>10</v>
      </c>
      <c r="E256" s="7" t="s">
        <v>13187</v>
      </c>
      <c r="F256" s="7" t="s">
        <v>13188</v>
      </c>
      <c r="G256" s="7" t="s">
        <v>26</v>
      </c>
      <c r="H256" s="7" t="s">
        <v>39</v>
      </c>
      <c r="I256" s="7" t="s">
        <v>13189</v>
      </c>
      <c r="J256" s="7" t="s">
        <v>4308</v>
      </c>
      <c r="K256" s="7" t="s">
        <v>13190</v>
      </c>
      <c r="L256" s="12">
        <v>1</v>
      </c>
      <c r="M256" s="7" t="s">
        <v>12497</v>
      </c>
    </row>
    <row r="257" spans="2:13" ht="21.75" customHeight="1" x14ac:dyDescent="0.35">
      <c r="B257" s="11">
        <v>17</v>
      </c>
      <c r="C257" s="5" t="s">
        <v>13152</v>
      </c>
      <c r="D257" s="11">
        <v>11</v>
      </c>
      <c r="E257" s="5" t="s">
        <v>13191</v>
      </c>
      <c r="F257" s="5" t="s">
        <v>13192</v>
      </c>
      <c r="G257" s="5" t="s">
        <v>1680</v>
      </c>
      <c r="H257" s="5" t="s">
        <v>41</v>
      </c>
      <c r="I257" s="5" t="s">
        <v>13193</v>
      </c>
      <c r="J257" s="5" t="s">
        <v>5394</v>
      </c>
      <c r="K257" s="5" t="s">
        <v>13194</v>
      </c>
      <c r="L257" s="11">
        <v>1</v>
      </c>
      <c r="M257" s="5" t="s">
        <v>12497</v>
      </c>
    </row>
    <row r="258" spans="2:13" ht="21.75" customHeight="1" x14ac:dyDescent="0.35">
      <c r="B258" s="12">
        <v>17</v>
      </c>
      <c r="C258" s="7" t="s">
        <v>13152</v>
      </c>
      <c r="D258" s="12">
        <v>12</v>
      </c>
      <c r="E258" s="7" t="s">
        <v>13195</v>
      </c>
      <c r="F258" s="7" t="s">
        <v>13196</v>
      </c>
      <c r="G258" s="7" t="s">
        <v>1196</v>
      </c>
      <c r="H258" s="7" t="s">
        <v>39</v>
      </c>
      <c r="I258" s="7" t="s">
        <v>13189</v>
      </c>
      <c r="J258" s="7" t="s">
        <v>4308</v>
      </c>
      <c r="K258" s="7" t="s">
        <v>13190</v>
      </c>
      <c r="L258" s="12">
        <v>1</v>
      </c>
      <c r="M258" s="7" t="s">
        <v>12497</v>
      </c>
    </row>
    <row r="259" spans="2:13" ht="21.75" customHeight="1" x14ac:dyDescent="0.35">
      <c r="B259" s="11">
        <v>17</v>
      </c>
      <c r="C259" s="5" t="s">
        <v>13152</v>
      </c>
      <c r="D259" s="11">
        <v>13</v>
      </c>
      <c r="E259" s="5" t="s">
        <v>13197</v>
      </c>
      <c r="F259" s="5" t="s">
        <v>13198</v>
      </c>
      <c r="G259" s="5" t="s">
        <v>541</v>
      </c>
      <c r="H259" s="5" t="s">
        <v>39</v>
      </c>
      <c r="I259" s="5" t="s">
        <v>13189</v>
      </c>
      <c r="J259" s="5" t="s">
        <v>4308</v>
      </c>
      <c r="K259" s="5" t="s">
        <v>13190</v>
      </c>
      <c r="L259" s="11">
        <v>1</v>
      </c>
      <c r="M259" s="5" t="s">
        <v>12497</v>
      </c>
    </row>
    <row r="260" spans="2:13" ht="37.5" customHeight="1" x14ac:dyDescent="0.35">
      <c r="B260" s="12">
        <v>17</v>
      </c>
      <c r="C260" s="7" t="s">
        <v>13152</v>
      </c>
      <c r="D260" s="12">
        <v>14</v>
      </c>
      <c r="E260" s="7" t="s">
        <v>13199</v>
      </c>
      <c r="F260" s="7" t="s">
        <v>13200</v>
      </c>
      <c r="G260" s="7" t="s">
        <v>395</v>
      </c>
      <c r="H260" s="7" t="s">
        <v>39</v>
      </c>
      <c r="I260" s="7" t="s">
        <v>13189</v>
      </c>
      <c r="J260" s="7" t="s">
        <v>4308</v>
      </c>
      <c r="K260" s="7" t="s">
        <v>13190</v>
      </c>
      <c r="L260" s="12">
        <v>1</v>
      </c>
      <c r="M260" s="7" t="s">
        <v>12497</v>
      </c>
    </row>
    <row r="261" spans="2:13" ht="37.5" customHeight="1" x14ac:dyDescent="0.35">
      <c r="B261" s="11">
        <v>17</v>
      </c>
      <c r="C261" s="5" t="s">
        <v>13152</v>
      </c>
      <c r="D261" s="11">
        <v>15</v>
      </c>
      <c r="E261" s="5" t="s">
        <v>13201</v>
      </c>
      <c r="F261" s="5" t="s">
        <v>13202</v>
      </c>
      <c r="G261" s="5" t="s">
        <v>28</v>
      </c>
      <c r="H261" s="5" t="s">
        <v>39</v>
      </c>
      <c r="I261" s="5" t="s">
        <v>13203</v>
      </c>
      <c r="J261" s="5" t="s">
        <v>4308</v>
      </c>
      <c r="K261" s="5" t="s">
        <v>13204</v>
      </c>
      <c r="L261" s="11">
        <v>1</v>
      </c>
      <c r="M261" s="5" t="s">
        <v>12497</v>
      </c>
    </row>
    <row r="262" spans="2:13" ht="82.5" customHeight="1" x14ac:dyDescent="0.35">
      <c r="B262" s="12">
        <v>17</v>
      </c>
      <c r="C262" s="7" t="s">
        <v>13152</v>
      </c>
      <c r="D262" s="12">
        <v>16</v>
      </c>
      <c r="E262" s="7" t="s">
        <v>13205</v>
      </c>
      <c r="F262" s="7" t="s">
        <v>13206</v>
      </c>
      <c r="G262" s="7" t="s">
        <v>32</v>
      </c>
      <c r="H262" s="7" t="s">
        <v>4662</v>
      </c>
      <c r="I262" s="7" t="s">
        <v>13207</v>
      </c>
      <c r="J262" s="7" t="s">
        <v>13208</v>
      </c>
      <c r="K262" s="7" t="s">
        <v>13209</v>
      </c>
      <c r="L262" s="12">
        <v>2</v>
      </c>
      <c r="M262" s="7" t="s">
        <v>12497</v>
      </c>
    </row>
    <row r="263" spans="2:13" ht="67.5" customHeight="1" x14ac:dyDescent="0.35">
      <c r="B263" s="11">
        <v>17</v>
      </c>
      <c r="C263" s="5" t="s">
        <v>13152</v>
      </c>
      <c r="D263" s="11">
        <v>17</v>
      </c>
      <c r="E263" s="5" t="s">
        <v>13210</v>
      </c>
      <c r="F263" s="5" t="s">
        <v>13211</v>
      </c>
      <c r="G263" s="5" t="s">
        <v>2341</v>
      </c>
      <c r="H263" s="5" t="s">
        <v>4662</v>
      </c>
      <c r="I263" s="5" t="s">
        <v>13212</v>
      </c>
      <c r="J263" s="5" t="s">
        <v>4308</v>
      </c>
      <c r="K263" s="5" t="s">
        <v>13213</v>
      </c>
      <c r="L263" s="11">
        <v>1</v>
      </c>
      <c r="M263" s="5" t="s">
        <v>12497</v>
      </c>
    </row>
    <row r="264" spans="2:13" ht="67.5" customHeight="1" x14ac:dyDescent="0.35">
      <c r="B264" s="12">
        <v>17</v>
      </c>
      <c r="C264" s="7" t="s">
        <v>13152</v>
      </c>
      <c r="D264" s="12">
        <v>18</v>
      </c>
      <c r="E264" s="7" t="s">
        <v>13214</v>
      </c>
      <c r="F264" s="7" t="s">
        <v>13215</v>
      </c>
      <c r="G264" s="7" t="s">
        <v>1884</v>
      </c>
      <c r="H264" s="7" t="s">
        <v>4662</v>
      </c>
      <c r="I264" s="7" t="s">
        <v>13216</v>
      </c>
      <c r="J264" s="7" t="s">
        <v>4308</v>
      </c>
      <c r="K264" s="7" t="s">
        <v>13217</v>
      </c>
      <c r="L264" s="12">
        <v>2</v>
      </c>
      <c r="M264" s="7" t="s">
        <v>12497</v>
      </c>
    </row>
    <row r="265" spans="2:13" ht="67.5" customHeight="1" x14ac:dyDescent="0.35">
      <c r="B265" s="11">
        <v>17</v>
      </c>
      <c r="C265" s="5" t="s">
        <v>13152</v>
      </c>
      <c r="D265" s="11">
        <v>19</v>
      </c>
      <c r="E265" s="5" t="s">
        <v>13218</v>
      </c>
      <c r="F265" s="5" t="s">
        <v>13219</v>
      </c>
      <c r="G265" s="5" t="s">
        <v>1855</v>
      </c>
      <c r="H265" s="5" t="s">
        <v>4662</v>
      </c>
      <c r="I265" s="5" t="s">
        <v>13220</v>
      </c>
      <c r="J265" s="5" t="s">
        <v>4308</v>
      </c>
      <c r="K265" s="5" t="s">
        <v>13221</v>
      </c>
      <c r="L265" s="11">
        <v>2</v>
      </c>
      <c r="M265" s="5" t="s">
        <v>12497</v>
      </c>
    </row>
    <row r="266" spans="2:13" ht="52.5" customHeight="1" x14ac:dyDescent="0.35">
      <c r="B266" s="12">
        <v>17</v>
      </c>
      <c r="C266" s="7" t="s">
        <v>13152</v>
      </c>
      <c r="D266" s="12">
        <v>20</v>
      </c>
      <c r="E266" s="7" t="s">
        <v>13222</v>
      </c>
      <c r="F266" s="7" t="s">
        <v>13223</v>
      </c>
      <c r="G266" s="7" t="s">
        <v>285</v>
      </c>
      <c r="H266" s="7" t="s">
        <v>36</v>
      </c>
      <c r="I266" s="7" t="s">
        <v>13224</v>
      </c>
      <c r="J266" s="7" t="s">
        <v>4308</v>
      </c>
      <c r="K266" s="7" t="s">
        <v>13225</v>
      </c>
      <c r="L266" s="12">
        <v>1</v>
      </c>
      <c r="M266" s="7" t="s">
        <v>12497</v>
      </c>
    </row>
    <row r="267" spans="2:13" ht="52.5" customHeight="1" x14ac:dyDescent="0.35">
      <c r="B267" s="11">
        <v>17</v>
      </c>
      <c r="C267" s="5" t="s">
        <v>13152</v>
      </c>
      <c r="D267" s="11">
        <v>21</v>
      </c>
      <c r="E267" s="5" t="s">
        <v>13226</v>
      </c>
      <c r="F267" s="5" t="s">
        <v>13227</v>
      </c>
      <c r="G267" s="5" t="s">
        <v>457</v>
      </c>
      <c r="H267" s="5" t="s">
        <v>36</v>
      </c>
      <c r="I267" s="5" t="s">
        <v>13224</v>
      </c>
      <c r="J267" s="5" t="s">
        <v>13228</v>
      </c>
      <c r="K267" s="5" t="s">
        <v>13229</v>
      </c>
      <c r="L267" s="11">
        <v>1</v>
      </c>
      <c r="M267" s="5" t="s">
        <v>12497</v>
      </c>
    </row>
    <row r="268" spans="2:13" ht="52.5" customHeight="1" x14ac:dyDescent="0.35">
      <c r="B268" s="12">
        <v>17</v>
      </c>
      <c r="C268" s="7" t="s">
        <v>13152</v>
      </c>
      <c r="D268" s="12">
        <v>22</v>
      </c>
      <c r="E268" s="7" t="s">
        <v>13230</v>
      </c>
      <c r="F268" s="7" t="s">
        <v>13231</v>
      </c>
      <c r="G268" s="7" t="s">
        <v>279</v>
      </c>
      <c r="H268" s="7" t="s">
        <v>13232</v>
      </c>
      <c r="I268" s="7" t="s">
        <v>13233</v>
      </c>
      <c r="J268" s="7" t="s">
        <v>13234</v>
      </c>
      <c r="K268" s="7" t="s">
        <v>13235</v>
      </c>
      <c r="L268" s="12">
        <v>2</v>
      </c>
      <c r="M268" s="7" t="s">
        <v>12497</v>
      </c>
    </row>
    <row r="269" spans="2:13" ht="52.5" customHeight="1" x14ac:dyDescent="0.35">
      <c r="B269" s="11">
        <v>17</v>
      </c>
      <c r="C269" s="5" t="s">
        <v>13152</v>
      </c>
      <c r="D269" s="11">
        <v>23</v>
      </c>
      <c r="E269" s="5" t="s">
        <v>13236</v>
      </c>
      <c r="F269" s="5" t="s">
        <v>13237</v>
      </c>
      <c r="G269" s="5" t="s">
        <v>31</v>
      </c>
      <c r="H269" s="5" t="s">
        <v>36</v>
      </c>
      <c r="I269" s="5" t="s">
        <v>13224</v>
      </c>
      <c r="J269" s="5" t="s">
        <v>13228</v>
      </c>
      <c r="K269" s="5" t="s">
        <v>13229</v>
      </c>
      <c r="L269" s="11">
        <v>1</v>
      </c>
      <c r="M269" s="5" t="s">
        <v>12497</v>
      </c>
    </row>
    <row r="270" spans="2:13" ht="37.5" customHeight="1" x14ac:dyDescent="0.35">
      <c r="B270" s="12">
        <v>17</v>
      </c>
      <c r="C270" s="7" t="s">
        <v>13152</v>
      </c>
      <c r="D270" s="12">
        <v>24</v>
      </c>
      <c r="E270" s="7" t="s">
        <v>13238</v>
      </c>
      <c r="F270" s="7" t="s">
        <v>13239</v>
      </c>
      <c r="G270" s="7" t="s">
        <v>1873</v>
      </c>
      <c r="H270" s="7" t="s">
        <v>39</v>
      </c>
      <c r="I270" s="7" t="s">
        <v>13240</v>
      </c>
      <c r="J270" s="7" t="s">
        <v>9782</v>
      </c>
      <c r="K270" s="7" t="s">
        <v>13241</v>
      </c>
      <c r="L270" s="12">
        <v>1</v>
      </c>
      <c r="M270" s="7" t="s">
        <v>12497</v>
      </c>
    </row>
    <row r="271" spans="2:13" ht="67.5" customHeight="1" x14ac:dyDescent="0.35">
      <c r="B271" s="11">
        <v>18</v>
      </c>
      <c r="C271" s="5" t="s">
        <v>13242</v>
      </c>
      <c r="D271" s="11">
        <v>1</v>
      </c>
      <c r="E271" s="5" t="s">
        <v>13243</v>
      </c>
      <c r="F271" s="5" t="s">
        <v>13244</v>
      </c>
      <c r="G271" s="5" t="s">
        <v>2919</v>
      </c>
      <c r="H271" s="5" t="s">
        <v>13245</v>
      </c>
      <c r="I271" s="5" t="s">
        <v>13246</v>
      </c>
      <c r="J271" s="5" t="s">
        <v>13247</v>
      </c>
      <c r="K271" s="5" t="s">
        <v>13248</v>
      </c>
      <c r="L271" s="11">
        <v>2</v>
      </c>
      <c r="M271" s="5" t="s">
        <v>13143</v>
      </c>
    </row>
    <row r="272" spans="2:13" ht="37.5" customHeight="1" x14ac:dyDescent="0.35">
      <c r="B272" s="12">
        <v>18</v>
      </c>
      <c r="C272" s="7" t="s">
        <v>13242</v>
      </c>
      <c r="D272" s="12">
        <v>2</v>
      </c>
      <c r="E272" s="7" t="s">
        <v>13249</v>
      </c>
      <c r="F272" s="7" t="s">
        <v>13250</v>
      </c>
      <c r="G272" s="7" t="s">
        <v>27</v>
      </c>
      <c r="H272" s="7" t="s">
        <v>39</v>
      </c>
      <c r="I272" s="7" t="s">
        <v>13251</v>
      </c>
      <c r="J272" s="7" t="s">
        <v>258</v>
      </c>
      <c r="K272" s="7" t="s">
        <v>13252</v>
      </c>
      <c r="L272" s="12">
        <v>1</v>
      </c>
      <c r="M272" s="7" t="s">
        <v>13143</v>
      </c>
    </row>
    <row r="273" spans="2:13" ht="67.5" customHeight="1" x14ac:dyDescent="0.35">
      <c r="B273" s="11">
        <v>18</v>
      </c>
      <c r="C273" s="5" t="s">
        <v>13242</v>
      </c>
      <c r="D273" s="11">
        <v>3</v>
      </c>
      <c r="E273" s="5" t="s">
        <v>13253</v>
      </c>
      <c r="F273" s="5" t="s">
        <v>13254</v>
      </c>
      <c r="G273" s="5" t="s">
        <v>24</v>
      </c>
      <c r="H273" s="5" t="s">
        <v>39</v>
      </c>
      <c r="I273" s="5" t="s">
        <v>13255</v>
      </c>
      <c r="J273" s="5" t="s">
        <v>13256</v>
      </c>
      <c r="K273" s="5" t="s">
        <v>13257</v>
      </c>
      <c r="L273" s="11">
        <v>2</v>
      </c>
      <c r="M273" s="5" t="s">
        <v>13143</v>
      </c>
    </row>
    <row r="274" spans="2:13" ht="37.5" customHeight="1" x14ac:dyDescent="0.35">
      <c r="B274" s="12">
        <v>18</v>
      </c>
      <c r="C274" s="7" t="s">
        <v>13242</v>
      </c>
      <c r="D274" s="12">
        <v>4</v>
      </c>
      <c r="E274" s="7" t="s">
        <v>13258</v>
      </c>
      <c r="F274" s="7" t="s">
        <v>13259</v>
      </c>
      <c r="G274" s="7" t="s">
        <v>794</v>
      </c>
      <c r="H274" s="7" t="s">
        <v>39</v>
      </c>
      <c r="I274" s="7" t="s">
        <v>13251</v>
      </c>
      <c r="J274" s="7" t="s">
        <v>258</v>
      </c>
      <c r="K274" s="7" t="s">
        <v>13252</v>
      </c>
      <c r="L274" s="12">
        <v>1</v>
      </c>
      <c r="M274" s="7" t="s">
        <v>13143</v>
      </c>
    </row>
    <row r="275" spans="2:13" ht="37.5" customHeight="1" x14ac:dyDescent="0.35">
      <c r="B275" s="11">
        <v>18</v>
      </c>
      <c r="C275" s="5" t="s">
        <v>13242</v>
      </c>
      <c r="D275" s="11">
        <v>5</v>
      </c>
      <c r="E275" s="5" t="s">
        <v>13260</v>
      </c>
      <c r="F275" s="5" t="s">
        <v>13261</v>
      </c>
      <c r="G275" s="5" t="s">
        <v>625</v>
      </c>
      <c r="H275" s="5" t="s">
        <v>39</v>
      </c>
      <c r="I275" s="5" t="s">
        <v>13251</v>
      </c>
      <c r="J275" s="5" t="s">
        <v>258</v>
      </c>
      <c r="K275" s="5" t="s">
        <v>13252</v>
      </c>
      <c r="L275" s="11">
        <v>1</v>
      </c>
      <c r="M275" s="5" t="s">
        <v>13143</v>
      </c>
    </row>
    <row r="276" spans="2:13" ht="37.5" customHeight="1" x14ac:dyDescent="0.35">
      <c r="B276" s="12">
        <v>18</v>
      </c>
      <c r="C276" s="7" t="s">
        <v>13242</v>
      </c>
      <c r="D276" s="12">
        <v>6</v>
      </c>
      <c r="E276" s="7" t="s">
        <v>13262</v>
      </c>
      <c r="F276" s="7" t="s">
        <v>13263</v>
      </c>
      <c r="G276" s="7" t="s">
        <v>28</v>
      </c>
      <c r="H276" s="7" t="s">
        <v>39</v>
      </c>
      <c r="I276" s="7" t="s">
        <v>13251</v>
      </c>
      <c r="J276" s="7" t="s">
        <v>258</v>
      </c>
      <c r="K276" s="7" t="s">
        <v>13252</v>
      </c>
      <c r="L276" s="12">
        <v>1</v>
      </c>
      <c r="M276" s="7" t="s">
        <v>13143</v>
      </c>
    </row>
    <row r="277" spans="2:13" ht="37.5" customHeight="1" x14ac:dyDescent="0.35">
      <c r="B277" s="11">
        <v>18</v>
      </c>
      <c r="C277" s="5" t="s">
        <v>13242</v>
      </c>
      <c r="D277" s="11">
        <v>7</v>
      </c>
      <c r="E277" s="5" t="s">
        <v>13264</v>
      </c>
      <c r="F277" s="5" t="s">
        <v>13265</v>
      </c>
      <c r="G277" s="5" t="s">
        <v>31</v>
      </c>
      <c r="H277" s="5" t="s">
        <v>39</v>
      </c>
      <c r="I277" s="5" t="s">
        <v>13251</v>
      </c>
      <c r="J277" s="5" t="s">
        <v>258</v>
      </c>
      <c r="K277" s="5" t="s">
        <v>13252</v>
      </c>
      <c r="L277" s="11">
        <v>1</v>
      </c>
      <c r="M277" s="5" t="s">
        <v>13143</v>
      </c>
    </row>
    <row r="278" spans="2:13" ht="37.5" customHeight="1" x14ac:dyDescent="0.35">
      <c r="B278" s="12">
        <v>18</v>
      </c>
      <c r="C278" s="7" t="s">
        <v>13242</v>
      </c>
      <c r="D278" s="12">
        <v>8</v>
      </c>
      <c r="E278" s="7" t="s">
        <v>13266</v>
      </c>
      <c r="F278" s="7" t="s">
        <v>13267</v>
      </c>
      <c r="G278" s="7" t="s">
        <v>232</v>
      </c>
      <c r="H278" s="7" t="s">
        <v>39</v>
      </c>
      <c r="I278" s="7" t="s">
        <v>13251</v>
      </c>
      <c r="J278" s="7" t="s">
        <v>258</v>
      </c>
      <c r="K278" s="7" t="s">
        <v>13252</v>
      </c>
      <c r="L278" s="12">
        <v>1</v>
      </c>
      <c r="M278" s="7" t="s">
        <v>13143</v>
      </c>
    </row>
    <row r="279" spans="2:13" ht="82.5" customHeight="1" x14ac:dyDescent="0.35">
      <c r="B279" s="11">
        <v>18</v>
      </c>
      <c r="C279" s="5" t="s">
        <v>13242</v>
      </c>
      <c r="D279" s="11">
        <v>9</v>
      </c>
      <c r="E279" s="5" t="s">
        <v>13268</v>
      </c>
      <c r="F279" s="5" t="s">
        <v>13269</v>
      </c>
      <c r="G279" s="5" t="s">
        <v>25</v>
      </c>
      <c r="H279" s="5" t="s">
        <v>4662</v>
      </c>
      <c r="I279" s="5" t="s">
        <v>13270</v>
      </c>
      <c r="J279" s="5" t="s">
        <v>8030</v>
      </c>
      <c r="K279" s="5" t="s">
        <v>13271</v>
      </c>
      <c r="L279" s="11">
        <v>2</v>
      </c>
      <c r="M279" s="5" t="s">
        <v>13143</v>
      </c>
    </row>
    <row r="280" spans="2:13" ht="37.5" customHeight="1" x14ac:dyDescent="0.35">
      <c r="B280" s="12">
        <v>18</v>
      </c>
      <c r="C280" s="7" t="s">
        <v>13242</v>
      </c>
      <c r="D280" s="12">
        <v>10</v>
      </c>
      <c r="E280" s="7" t="s">
        <v>13272</v>
      </c>
      <c r="F280" s="7" t="s">
        <v>13273</v>
      </c>
      <c r="G280" s="7" t="s">
        <v>736</v>
      </c>
      <c r="H280" s="7" t="s">
        <v>39</v>
      </c>
      <c r="I280" s="7" t="s">
        <v>13251</v>
      </c>
      <c r="J280" s="7" t="s">
        <v>258</v>
      </c>
      <c r="K280" s="7" t="s">
        <v>13252</v>
      </c>
      <c r="L280" s="12">
        <v>1</v>
      </c>
      <c r="M280" s="7" t="s">
        <v>13143</v>
      </c>
    </row>
    <row r="281" spans="2:13" ht="37.5" customHeight="1" x14ac:dyDescent="0.35">
      <c r="B281" s="11">
        <v>18</v>
      </c>
      <c r="C281" s="5" t="s">
        <v>13242</v>
      </c>
      <c r="D281" s="11">
        <v>11</v>
      </c>
      <c r="E281" s="5" t="s">
        <v>13274</v>
      </c>
      <c r="F281" s="5" t="s">
        <v>13275</v>
      </c>
      <c r="G281" s="5" t="s">
        <v>541</v>
      </c>
      <c r="H281" s="5" t="s">
        <v>41</v>
      </c>
      <c r="I281" s="5" t="s">
        <v>13276</v>
      </c>
      <c r="J281" s="5" t="s">
        <v>1069</v>
      </c>
      <c r="K281" s="5" t="s">
        <v>13277</v>
      </c>
      <c r="L281" s="11">
        <v>1</v>
      </c>
      <c r="M281" s="5" t="s">
        <v>13143</v>
      </c>
    </row>
    <row r="282" spans="2:13" ht="37.5" customHeight="1" x14ac:dyDescent="0.35">
      <c r="B282" s="12">
        <v>18</v>
      </c>
      <c r="C282" s="7" t="s">
        <v>13242</v>
      </c>
      <c r="D282" s="12">
        <v>12</v>
      </c>
      <c r="E282" s="7" t="s">
        <v>13278</v>
      </c>
      <c r="F282" s="7" t="s">
        <v>13279</v>
      </c>
      <c r="G282" s="7" t="s">
        <v>2229</v>
      </c>
      <c r="H282" s="7" t="s">
        <v>39</v>
      </c>
      <c r="I282" s="7" t="s">
        <v>13280</v>
      </c>
      <c r="J282" s="7" t="s">
        <v>258</v>
      </c>
      <c r="K282" s="7" t="s">
        <v>13281</v>
      </c>
      <c r="L282" s="12">
        <v>1</v>
      </c>
      <c r="M282" s="7" t="s">
        <v>13143</v>
      </c>
    </row>
    <row r="283" spans="2:13" ht="37.5" customHeight="1" x14ac:dyDescent="0.35">
      <c r="B283" s="11">
        <v>18</v>
      </c>
      <c r="C283" s="5" t="s">
        <v>13242</v>
      </c>
      <c r="D283" s="11">
        <v>13</v>
      </c>
      <c r="E283" s="5" t="s">
        <v>13282</v>
      </c>
      <c r="F283" s="5" t="s">
        <v>13283</v>
      </c>
      <c r="G283" s="5" t="s">
        <v>560</v>
      </c>
      <c r="H283" s="5" t="s">
        <v>1948</v>
      </c>
      <c r="I283" s="5" t="s">
        <v>13284</v>
      </c>
      <c r="J283" s="5" t="s">
        <v>194</v>
      </c>
      <c r="K283" s="5" t="s">
        <v>13285</v>
      </c>
      <c r="L283" s="11">
        <v>1</v>
      </c>
      <c r="M283" s="5" t="s">
        <v>13143</v>
      </c>
    </row>
    <row r="284" spans="2:13" ht="37.5" customHeight="1" x14ac:dyDescent="0.35">
      <c r="B284" s="12">
        <v>18</v>
      </c>
      <c r="C284" s="7" t="s">
        <v>13242</v>
      </c>
      <c r="D284" s="12">
        <v>14</v>
      </c>
      <c r="E284" s="7" t="s">
        <v>13286</v>
      </c>
      <c r="F284" s="7" t="s">
        <v>13287</v>
      </c>
      <c r="G284" s="7" t="s">
        <v>279</v>
      </c>
      <c r="H284" s="7" t="s">
        <v>39</v>
      </c>
      <c r="I284" s="7" t="s">
        <v>13280</v>
      </c>
      <c r="J284" s="7" t="s">
        <v>258</v>
      </c>
      <c r="K284" s="7" t="s">
        <v>13281</v>
      </c>
      <c r="L284" s="12">
        <v>1</v>
      </c>
      <c r="M284" s="7" t="s">
        <v>13143</v>
      </c>
    </row>
    <row r="285" spans="2:13" ht="37.5" customHeight="1" x14ac:dyDescent="0.35">
      <c r="B285" s="11">
        <v>18</v>
      </c>
      <c r="C285" s="5" t="s">
        <v>13242</v>
      </c>
      <c r="D285" s="11">
        <v>15</v>
      </c>
      <c r="E285" s="5" t="s">
        <v>13288</v>
      </c>
      <c r="F285" s="5" t="s">
        <v>13289</v>
      </c>
      <c r="G285" s="5" t="s">
        <v>1252</v>
      </c>
      <c r="H285" s="5" t="s">
        <v>39</v>
      </c>
      <c r="I285" s="5" t="s">
        <v>13280</v>
      </c>
      <c r="J285" s="5" t="s">
        <v>258</v>
      </c>
      <c r="K285" s="5" t="s">
        <v>13281</v>
      </c>
      <c r="L285" s="11">
        <v>1</v>
      </c>
      <c r="M285" s="5" t="s">
        <v>13143</v>
      </c>
    </row>
    <row r="286" spans="2:13" ht="37.5" customHeight="1" x14ac:dyDescent="0.35">
      <c r="B286" s="12">
        <v>18</v>
      </c>
      <c r="C286" s="7" t="s">
        <v>13242</v>
      </c>
      <c r="D286" s="12">
        <v>16</v>
      </c>
      <c r="E286" s="7" t="s">
        <v>13290</v>
      </c>
      <c r="F286" s="7" t="s">
        <v>13291</v>
      </c>
      <c r="G286" s="7" t="s">
        <v>897</v>
      </c>
      <c r="H286" s="7" t="s">
        <v>39</v>
      </c>
      <c r="I286" s="7" t="s">
        <v>13280</v>
      </c>
      <c r="J286" s="7" t="s">
        <v>258</v>
      </c>
      <c r="K286" s="7" t="s">
        <v>13281</v>
      </c>
      <c r="L286" s="12">
        <v>1</v>
      </c>
      <c r="M286" s="7" t="s">
        <v>13143</v>
      </c>
    </row>
    <row r="287" spans="2:13" ht="37.5" customHeight="1" x14ac:dyDescent="0.35">
      <c r="B287" s="11">
        <v>18</v>
      </c>
      <c r="C287" s="5" t="s">
        <v>13242</v>
      </c>
      <c r="D287" s="11">
        <v>17</v>
      </c>
      <c r="E287" s="5" t="s">
        <v>13292</v>
      </c>
      <c r="F287" s="5" t="s">
        <v>13293</v>
      </c>
      <c r="G287" s="5" t="s">
        <v>973</v>
      </c>
      <c r="H287" s="5" t="s">
        <v>41</v>
      </c>
      <c r="I287" s="5" t="s">
        <v>13294</v>
      </c>
      <c r="J287" s="5" t="s">
        <v>258</v>
      </c>
      <c r="K287" s="5" t="s">
        <v>13295</v>
      </c>
      <c r="L287" s="11">
        <v>1</v>
      </c>
      <c r="M287" s="5" t="s">
        <v>13143</v>
      </c>
    </row>
    <row r="288" spans="2:13" ht="37.5" customHeight="1" x14ac:dyDescent="0.35">
      <c r="B288" s="12">
        <v>18</v>
      </c>
      <c r="C288" s="7" t="s">
        <v>13242</v>
      </c>
      <c r="D288" s="12">
        <v>18</v>
      </c>
      <c r="E288" s="7" t="s">
        <v>13296</v>
      </c>
      <c r="F288" s="7" t="s">
        <v>13297</v>
      </c>
      <c r="G288" s="7" t="s">
        <v>29</v>
      </c>
      <c r="H288" s="7" t="s">
        <v>41</v>
      </c>
      <c r="I288" s="7" t="s">
        <v>13294</v>
      </c>
      <c r="J288" s="7" t="s">
        <v>258</v>
      </c>
      <c r="K288" s="7" t="s">
        <v>13295</v>
      </c>
      <c r="L288" s="12">
        <v>1</v>
      </c>
      <c r="M288" s="7" t="s">
        <v>13143</v>
      </c>
    </row>
    <row r="289" spans="2:13" ht="37.5" customHeight="1" x14ac:dyDescent="0.35">
      <c r="B289" s="11">
        <v>18</v>
      </c>
      <c r="C289" s="5" t="s">
        <v>13242</v>
      </c>
      <c r="D289" s="11">
        <v>19</v>
      </c>
      <c r="E289" s="5" t="s">
        <v>13298</v>
      </c>
      <c r="F289" s="5" t="s">
        <v>13299</v>
      </c>
      <c r="G289" s="5" t="s">
        <v>365</v>
      </c>
      <c r="H289" s="5" t="s">
        <v>38</v>
      </c>
      <c r="I289" s="5" t="s">
        <v>13300</v>
      </c>
      <c r="J289" s="5" t="s">
        <v>4851</v>
      </c>
      <c r="K289" s="5" t="s">
        <v>13301</v>
      </c>
      <c r="L289" s="11">
        <v>1</v>
      </c>
      <c r="M289" s="5" t="s">
        <v>13143</v>
      </c>
    </row>
    <row r="290" spans="2:13" ht="37.5" customHeight="1" x14ac:dyDescent="0.35">
      <c r="B290" s="12">
        <v>18</v>
      </c>
      <c r="C290" s="7" t="s">
        <v>13242</v>
      </c>
      <c r="D290" s="12">
        <v>20</v>
      </c>
      <c r="E290" s="7" t="s">
        <v>13302</v>
      </c>
      <c r="F290" s="7" t="s">
        <v>13303</v>
      </c>
      <c r="G290" s="7" t="s">
        <v>1873</v>
      </c>
      <c r="H290" s="7" t="s">
        <v>39</v>
      </c>
      <c r="I290" s="7" t="s">
        <v>13304</v>
      </c>
      <c r="J290" s="7" t="s">
        <v>258</v>
      </c>
      <c r="K290" s="7" t="s">
        <v>13305</v>
      </c>
      <c r="L290" s="12">
        <v>1</v>
      </c>
      <c r="M290" s="7" t="s">
        <v>13143</v>
      </c>
    </row>
    <row r="291" spans="2:13" ht="37.5" customHeight="1" x14ac:dyDescent="0.35">
      <c r="B291" s="11">
        <v>18</v>
      </c>
      <c r="C291" s="5" t="s">
        <v>13242</v>
      </c>
      <c r="D291" s="11">
        <v>21</v>
      </c>
      <c r="E291" s="5" t="s">
        <v>13306</v>
      </c>
      <c r="F291" s="5" t="s">
        <v>13307</v>
      </c>
      <c r="G291" s="5" t="s">
        <v>4311</v>
      </c>
      <c r="H291" s="5" t="s">
        <v>39</v>
      </c>
      <c r="I291" s="5" t="s">
        <v>13304</v>
      </c>
      <c r="J291" s="5" t="s">
        <v>258</v>
      </c>
      <c r="K291" s="5" t="s">
        <v>13305</v>
      </c>
      <c r="L291" s="11">
        <v>1</v>
      </c>
      <c r="M291" s="5" t="s">
        <v>13143</v>
      </c>
    </row>
    <row r="292" spans="2:13" ht="37.5" customHeight="1" x14ac:dyDescent="0.35">
      <c r="B292" s="12">
        <v>18</v>
      </c>
      <c r="C292" s="7" t="s">
        <v>13242</v>
      </c>
      <c r="D292" s="12">
        <v>22</v>
      </c>
      <c r="E292" s="7" t="s">
        <v>13308</v>
      </c>
      <c r="F292" s="7" t="s">
        <v>13309</v>
      </c>
      <c r="G292" s="7" t="s">
        <v>1855</v>
      </c>
      <c r="H292" s="7" t="s">
        <v>39</v>
      </c>
      <c r="I292" s="7" t="s">
        <v>13304</v>
      </c>
      <c r="J292" s="7" t="s">
        <v>258</v>
      </c>
      <c r="K292" s="7" t="s">
        <v>13305</v>
      </c>
      <c r="L292" s="12">
        <v>1</v>
      </c>
      <c r="M292" s="7" t="s">
        <v>13143</v>
      </c>
    </row>
    <row r="293" spans="2:13" ht="21.75" customHeight="1" x14ac:dyDescent="0.35">
      <c r="B293" s="11">
        <v>18</v>
      </c>
      <c r="C293" s="5" t="s">
        <v>13242</v>
      </c>
      <c r="D293" s="11">
        <v>23</v>
      </c>
      <c r="E293" s="5" t="s">
        <v>13310</v>
      </c>
      <c r="F293" s="5" t="s">
        <v>13311</v>
      </c>
      <c r="G293" s="5" t="s">
        <v>1680</v>
      </c>
      <c r="H293" s="5" t="s">
        <v>41</v>
      </c>
      <c r="I293" s="5" t="s">
        <v>13312</v>
      </c>
      <c r="J293" s="5" t="s">
        <v>258</v>
      </c>
      <c r="K293" s="5" t="s">
        <v>13313</v>
      </c>
      <c r="L293" s="11">
        <v>1</v>
      </c>
      <c r="M293" s="5" t="s">
        <v>13143</v>
      </c>
    </row>
    <row r="294" spans="2:13" ht="37.5" customHeight="1" x14ac:dyDescent="0.35">
      <c r="B294" s="12">
        <v>18</v>
      </c>
      <c r="C294" s="7" t="s">
        <v>13242</v>
      </c>
      <c r="D294" s="12">
        <v>24</v>
      </c>
      <c r="E294" s="7" t="s">
        <v>13314</v>
      </c>
      <c r="F294" s="7" t="s">
        <v>13315</v>
      </c>
      <c r="G294" s="7" t="s">
        <v>358</v>
      </c>
      <c r="H294" s="7" t="s">
        <v>39</v>
      </c>
      <c r="I294" s="7" t="s">
        <v>13316</v>
      </c>
      <c r="J294" s="7" t="s">
        <v>258</v>
      </c>
      <c r="K294" s="7" t="s">
        <v>13317</v>
      </c>
      <c r="L294" s="12">
        <v>1</v>
      </c>
      <c r="M294" s="7" t="s">
        <v>13143</v>
      </c>
    </row>
    <row r="295" spans="2:13" ht="37.5" customHeight="1" x14ac:dyDescent="0.35">
      <c r="B295" s="11">
        <v>18</v>
      </c>
      <c r="C295" s="5" t="s">
        <v>13242</v>
      </c>
      <c r="D295" s="11">
        <v>25</v>
      </c>
      <c r="E295" s="5" t="s">
        <v>13318</v>
      </c>
      <c r="F295" s="5" t="s">
        <v>13319</v>
      </c>
      <c r="G295" s="5" t="s">
        <v>701</v>
      </c>
      <c r="H295" s="5" t="s">
        <v>39</v>
      </c>
      <c r="I295" s="5" t="s">
        <v>13316</v>
      </c>
      <c r="J295" s="5" t="s">
        <v>258</v>
      </c>
      <c r="K295" s="5" t="s">
        <v>13317</v>
      </c>
      <c r="L295" s="11">
        <v>1</v>
      </c>
      <c r="M295" s="5" t="s">
        <v>13143</v>
      </c>
    </row>
    <row r="296" spans="2:13" ht="37.5" customHeight="1" x14ac:dyDescent="0.35">
      <c r="B296" s="12">
        <v>18</v>
      </c>
      <c r="C296" s="7" t="s">
        <v>13242</v>
      </c>
      <c r="D296" s="12">
        <v>26</v>
      </c>
      <c r="E296" s="7" t="s">
        <v>13320</v>
      </c>
      <c r="F296" s="7" t="s">
        <v>13321</v>
      </c>
      <c r="G296" s="7" t="s">
        <v>244</v>
      </c>
      <c r="H296" s="7" t="s">
        <v>13322</v>
      </c>
      <c r="I296" s="7" t="s">
        <v>13323</v>
      </c>
      <c r="J296" s="7" t="s">
        <v>228</v>
      </c>
      <c r="K296" s="7" t="s">
        <v>13324</v>
      </c>
      <c r="L296" s="12">
        <v>1</v>
      </c>
      <c r="M296" s="7" t="s">
        <v>13143</v>
      </c>
    </row>
    <row r="297" spans="2:13" ht="37.5" customHeight="1" x14ac:dyDescent="0.35">
      <c r="B297" s="11">
        <v>18</v>
      </c>
      <c r="C297" s="5" t="s">
        <v>13242</v>
      </c>
      <c r="D297" s="11">
        <v>27</v>
      </c>
      <c r="E297" s="5" t="s">
        <v>13325</v>
      </c>
      <c r="F297" s="5" t="s">
        <v>13326</v>
      </c>
      <c r="G297" s="5" t="s">
        <v>1008</v>
      </c>
      <c r="H297" s="5" t="s">
        <v>1046</v>
      </c>
      <c r="I297" s="5" t="s">
        <v>13327</v>
      </c>
      <c r="J297" s="5" t="s">
        <v>13328</v>
      </c>
      <c r="K297" s="5" t="s">
        <v>13329</v>
      </c>
      <c r="L297" s="11">
        <v>1</v>
      </c>
      <c r="M297" s="5" t="s">
        <v>13143</v>
      </c>
    </row>
    <row r="298" spans="2:13" ht="37.5" customHeight="1" x14ac:dyDescent="0.35">
      <c r="B298" s="12">
        <v>18</v>
      </c>
      <c r="C298" s="7" t="s">
        <v>13242</v>
      </c>
      <c r="D298" s="12">
        <v>28</v>
      </c>
      <c r="E298" s="7" t="s">
        <v>13330</v>
      </c>
      <c r="F298" s="7" t="s">
        <v>13331</v>
      </c>
      <c r="G298" s="7" t="s">
        <v>10819</v>
      </c>
      <c r="H298" s="7" t="s">
        <v>39</v>
      </c>
      <c r="I298" s="7" t="s">
        <v>13316</v>
      </c>
      <c r="J298" s="7" t="s">
        <v>258</v>
      </c>
      <c r="K298" s="7" t="s">
        <v>13317</v>
      </c>
      <c r="L298" s="12">
        <v>1</v>
      </c>
      <c r="M298" s="7" t="s">
        <v>13143</v>
      </c>
    </row>
    <row r="299" spans="2:13" ht="37.5" customHeight="1" x14ac:dyDescent="0.35">
      <c r="B299" s="11">
        <v>18</v>
      </c>
      <c r="C299" s="5" t="s">
        <v>13242</v>
      </c>
      <c r="D299" s="11">
        <v>29</v>
      </c>
      <c r="E299" s="5" t="s">
        <v>13332</v>
      </c>
      <c r="F299" s="5" t="s">
        <v>13333</v>
      </c>
      <c r="G299" s="5" t="s">
        <v>1793</v>
      </c>
      <c r="H299" s="5" t="s">
        <v>41</v>
      </c>
      <c r="I299" s="5" t="s">
        <v>13334</v>
      </c>
      <c r="J299" s="5" t="s">
        <v>258</v>
      </c>
      <c r="K299" s="5" t="s">
        <v>13335</v>
      </c>
      <c r="L299" s="11">
        <v>1</v>
      </c>
      <c r="M299" s="5" t="s">
        <v>13143</v>
      </c>
    </row>
    <row r="300" spans="2:13" ht="52.5" customHeight="1" x14ac:dyDescent="0.35">
      <c r="B300" s="12">
        <v>18</v>
      </c>
      <c r="C300" s="7" t="s">
        <v>13242</v>
      </c>
      <c r="D300" s="12">
        <v>30</v>
      </c>
      <c r="E300" s="7" t="s">
        <v>13336</v>
      </c>
      <c r="F300" s="7" t="s">
        <v>13337</v>
      </c>
      <c r="G300" s="7" t="s">
        <v>3946</v>
      </c>
      <c r="H300" s="7" t="s">
        <v>1046</v>
      </c>
      <c r="I300" s="7" t="s">
        <v>13338</v>
      </c>
      <c r="J300" s="7" t="s">
        <v>258</v>
      </c>
      <c r="K300" s="7" t="s">
        <v>13339</v>
      </c>
      <c r="L300" s="12">
        <v>1</v>
      </c>
      <c r="M300" s="7" t="s">
        <v>13143</v>
      </c>
    </row>
    <row r="301" spans="2:13" ht="37.5" customHeight="1" x14ac:dyDescent="0.35">
      <c r="B301" s="11">
        <v>18</v>
      </c>
      <c r="C301" s="5" t="s">
        <v>13242</v>
      </c>
      <c r="D301" s="11">
        <v>31</v>
      </c>
      <c r="E301" s="5" t="s">
        <v>13340</v>
      </c>
      <c r="F301" s="5" t="s">
        <v>13341</v>
      </c>
      <c r="G301" s="5" t="s">
        <v>185</v>
      </c>
      <c r="H301" s="5" t="s">
        <v>39</v>
      </c>
      <c r="I301" s="5" t="s">
        <v>13342</v>
      </c>
      <c r="J301" s="5" t="s">
        <v>258</v>
      </c>
      <c r="K301" s="5" t="s">
        <v>13343</v>
      </c>
      <c r="L301" s="11">
        <v>1</v>
      </c>
      <c r="M301" s="5" t="s">
        <v>13143</v>
      </c>
    </row>
    <row r="302" spans="2:13" ht="52.5" customHeight="1" x14ac:dyDescent="0.35">
      <c r="B302" s="12">
        <v>18</v>
      </c>
      <c r="C302" s="7" t="s">
        <v>13242</v>
      </c>
      <c r="D302" s="12">
        <v>32</v>
      </c>
      <c r="E302" s="7" t="s">
        <v>13344</v>
      </c>
      <c r="F302" s="7" t="s">
        <v>13345</v>
      </c>
      <c r="G302" s="7" t="s">
        <v>176</v>
      </c>
      <c r="H302" s="7" t="s">
        <v>36</v>
      </c>
      <c r="I302" s="7" t="s">
        <v>13346</v>
      </c>
      <c r="J302" s="7" t="s">
        <v>194</v>
      </c>
      <c r="K302" s="7" t="s">
        <v>13347</v>
      </c>
      <c r="L302" s="12">
        <v>1</v>
      </c>
      <c r="M302" s="7" t="s">
        <v>13143</v>
      </c>
    </row>
    <row r="303" spans="2:13" ht="37.5" customHeight="1" x14ac:dyDescent="0.35">
      <c r="B303" s="11">
        <v>19</v>
      </c>
      <c r="C303" s="5" t="s">
        <v>13348</v>
      </c>
      <c r="D303" s="11">
        <v>1</v>
      </c>
      <c r="E303" s="5" t="s">
        <v>13349</v>
      </c>
      <c r="F303" s="5" t="s">
        <v>13350</v>
      </c>
      <c r="G303" s="5" t="s">
        <v>800</v>
      </c>
      <c r="H303" s="5" t="s">
        <v>301</v>
      </c>
      <c r="I303" s="5" t="s">
        <v>13351</v>
      </c>
      <c r="J303" s="5" t="s">
        <v>13352</v>
      </c>
      <c r="K303" s="5" t="s">
        <v>13353</v>
      </c>
      <c r="L303" s="11">
        <v>2</v>
      </c>
      <c r="M303" s="5" t="s">
        <v>13143</v>
      </c>
    </row>
    <row r="304" spans="2:13" ht="52.5" customHeight="1" x14ac:dyDescent="0.35">
      <c r="B304" s="12">
        <v>19</v>
      </c>
      <c r="C304" s="7" t="s">
        <v>13348</v>
      </c>
      <c r="D304" s="12">
        <v>2</v>
      </c>
      <c r="E304" s="7" t="s">
        <v>13354</v>
      </c>
      <c r="F304" s="7" t="s">
        <v>13355</v>
      </c>
      <c r="G304" s="7" t="s">
        <v>27</v>
      </c>
      <c r="H304" s="7" t="s">
        <v>1561</v>
      </c>
      <c r="I304" s="7" t="s">
        <v>13356</v>
      </c>
      <c r="J304" s="7" t="s">
        <v>8548</v>
      </c>
      <c r="K304" s="7" t="s">
        <v>13357</v>
      </c>
      <c r="L304" s="12">
        <v>1</v>
      </c>
      <c r="M304" s="7" t="s">
        <v>13143</v>
      </c>
    </row>
    <row r="305" spans="2:13" ht="37.5" customHeight="1" x14ac:dyDescent="0.35">
      <c r="B305" s="11">
        <v>19</v>
      </c>
      <c r="C305" s="5" t="s">
        <v>13348</v>
      </c>
      <c r="D305" s="11">
        <v>3</v>
      </c>
      <c r="E305" s="5" t="s">
        <v>13358</v>
      </c>
      <c r="F305" s="5" t="s">
        <v>13359</v>
      </c>
      <c r="G305" s="5" t="s">
        <v>421</v>
      </c>
      <c r="H305" s="5" t="s">
        <v>39</v>
      </c>
      <c r="I305" s="5" t="s">
        <v>13360</v>
      </c>
      <c r="J305" s="5" t="s">
        <v>331</v>
      </c>
      <c r="K305" s="5" t="s">
        <v>13361</v>
      </c>
      <c r="L305" s="11">
        <v>1</v>
      </c>
      <c r="M305" s="5" t="s">
        <v>13143</v>
      </c>
    </row>
    <row r="306" spans="2:13" ht="37.5" customHeight="1" x14ac:dyDescent="0.35">
      <c r="B306" s="12">
        <v>19</v>
      </c>
      <c r="C306" s="7" t="s">
        <v>13348</v>
      </c>
      <c r="D306" s="12">
        <v>4</v>
      </c>
      <c r="E306" s="7" t="s">
        <v>13362</v>
      </c>
      <c r="F306" s="7" t="s">
        <v>13363</v>
      </c>
      <c r="G306" s="7" t="s">
        <v>212</v>
      </c>
      <c r="H306" s="7" t="s">
        <v>39</v>
      </c>
      <c r="I306" s="7" t="s">
        <v>13360</v>
      </c>
      <c r="J306" s="7" t="s">
        <v>331</v>
      </c>
      <c r="K306" s="7" t="s">
        <v>13361</v>
      </c>
      <c r="L306" s="12">
        <v>1</v>
      </c>
      <c r="M306" s="7" t="s">
        <v>13143</v>
      </c>
    </row>
    <row r="307" spans="2:13" ht="37.5" customHeight="1" x14ac:dyDescent="0.35">
      <c r="B307" s="11">
        <v>19</v>
      </c>
      <c r="C307" s="5" t="s">
        <v>13348</v>
      </c>
      <c r="D307" s="11">
        <v>5</v>
      </c>
      <c r="E307" s="5" t="s">
        <v>13364</v>
      </c>
      <c r="F307" s="5" t="s">
        <v>13365</v>
      </c>
      <c r="G307" s="5" t="s">
        <v>582</v>
      </c>
      <c r="H307" s="5" t="s">
        <v>36</v>
      </c>
      <c r="I307" s="5" t="s">
        <v>13366</v>
      </c>
      <c r="J307" s="5" t="s">
        <v>331</v>
      </c>
      <c r="K307" s="5" t="s">
        <v>13367</v>
      </c>
      <c r="L307" s="11">
        <v>1</v>
      </c>
      <c r="M307" s="5" t="s">
        <v>13143</v>
      </c>
    </row>
    <row r="308" spans="2:13" ht="67.5" customHeight="1" x14ac:dyDescent="0.35">
      <c r="B308" s="12">
        <v>20</v>
      </c>
      <c r="C308" s="7" t="s">
        <v>13368</v>
      </c>
      <c r="D308" s="12">
        <v>1</v>
      </c>
      <c r="E308" s="7" t="s">
        <v>13369</v>
      </c>
      <c r="F308" s="7" t="s">
        <v>13370</v>
      </c>
      <c r="G308" s="7" t="s">
        <v>32</v>
      </c>
      <c r="H308" s="7" t="s">
        <v>4662</v>
      </c>
      <c r="I308" s="7" t="s">
        <v>13371</v>
      </c>
      <c r="J308" s="7" t="s">
        <v>13372</v>
      </c>
      <c r="K308" s="7" t="s">
        <v>13373</v>
      </c>
      <c r="L308" s="12">
        <v>2</v>
      </c>
      <c r="M308" s="7" t="s">
        <v>12497</v>
      </c>
    </row>
    <row r="309" spans="2:13" ht="67.5" customHeight="1" x14ac:dyDescent="0.35">
      <c r="B309" s="11">
        <v>21</v>
      </c>
      <c r="C309" s="5" t="s">
        <v>13374</v>
      </c>
      <c r="D309" s="11">
        <v>1</v>
      </c>
      <c r="E309" s="5" t="s">
        <v>13375</v>
      </c>
      <c r="F309" s="5" t="s">
        <v>13376</v>
      </c>
      <c r="G309" s="5" t="s">
        <v>30</v>
      </c>
      <c r="H309" s="5" t="s">
        <v>4662</v>
      </c>
      <c r="I309" s="5" t="s">
        <v>13377</v>
      </c>
      <c r="J309" s="5" t="s">
        <v>13378</v>
      </c>
      <c r="K309" s="5" t="s">
        <v>13379</v>
      </c>
      <c r="L309" s="11">
        <v>2</v>
      </c>
      <c r="M309" s="5" t="s">
        <v>13143</v>
      </c>
    </row>
    <row r="310" spans="2:13" ht="67.5" customHeight="1" x14ac:dyDescent="0.35">
      <c r="B310" s="12">
        <v>22</v>
      </c>
      <c r="C310" s="7" t="s">
        <v>13380</v>
      </c>
      <c r="D310" s="12">
        <v>1</v>
      </c>
      <c r="E310" s="7" t="s">
        <v>13381</v>
      </c>
      <c r="F310" s="7" t="s">
        <v>13382</v>
      </c>
      <c r="G310" s="7" t="s">
        <v>32</v>
      </c>
      <c r="H310" s="7" t="s">
        <v>13232</v>
      </c>
      <c r="I310" s="7" t="s">
        <v>13383</v>
      </c>
      <c r="J310" s="7" t="s">
        <v>13384</v>
      </c>
      <c r="K310" s="7" t="s">
        <v>13385</v>
      </c>
      <c r="L310" s="12">
        <v>2</v>
      </c>
      <c r="M310" s="7" t="s">
        <v>13143</v>
      </c>
    </row>
    <row r="311" spans="2:13" ht="37.5" customHeight="1" x14ac:dyDescent="0.35">
      <c r="B311" s="11">
        <v>22</v>
      </c>
      <c r="C311" s="5" t="s">
        <v>13380</v>
      </c>
      <c r="D311" s="11">
        <v>2</v>
      </c>
      <c r="E311" s="5" t="s">
        <v>13386</v>
      </c>
      <c r="F311" s="5" t="s">
        <v>13387</v>
      </c>
      <c r="G311" s="5" t="s">
        <v>761</v>
      </c>
      <c r="H311" s="5" t="s">
        <v>37</v>
      </c>
      <c r="I311" s="5" t="s">
        <v>13178</v>
      </c>
      <c r="J311" s="5" t="s">
        <v>11467</v>
      </c>
      <c r="K311" s="5" t="s">
        <v>13388</v>
      </c>
      <c r="L311" s="11">
        <v>1</v>
      </c>
      <c r="M311" s="5" t="s">
        <v>13143</v>
      </c>
    </row>
    <row r="312" spans="2:13" ht="37.5" customHeight="1" x14ac:dyDescent="0.35">
      <c r="B312" s="12">
        <v>23</v>
      </c>
      <c r="C312" s="7" t="s">
        <v>13389</v>
      </c>
      <c r="D312" s="12">
        <v>1</v>
      </c>
      <c r="E312" s="7" t="s">
        <v>13390</v>
      </c>
      <c r="F312" s="7" t="s">
        <v>13391</v>
      </c>
      <c r="G312" s="7" t="s">
        <v>1294</v>
      </c>
      <c r="H312" s="7" t="s">
        <v>37</v>
      </c>
      <c r="I312" s="7" t="s">
        <v>12840</v>
      </c>
      <c r="J312" s="7" t="s">
        <v>13392</v>
      </c>
      <c r="K312" s="7" t="s">
        <v>13393</v>
      </c>
      <c r="L312" s="12">
        <v>1</v>
      </c>
      <c r="M312" s="7" t="s">
        <v>13394</v>
      </c>
    </row>
    <row r="313" spans="2:13" ht="37.5" customHeight="1" x14ac:dyDescent="0.35">
      <c r="B313" s="11">
        <v>23</v>
      </c>
      <c r="C313" s="5" t="s">
        <v>13389</v>
      </c>
      <c r="D313" s="11">
        <v>2</v>
      </c>
      <c r="E313" s="5" t="s">
        <v>13395</v>
      </c>
      <c r="F313" s="5" t="s">
        <v>13396</v>
      </c>
      <c r="G313" s="5" t="s">
        <v>504</v>
      </c>
      <c r="H313" s="5" t="s">
        <v>37</v>
      </c>
      <c r="I313" s="5" t="s">
        <v>12840</v>
      </c>
      <c r="J313" s="5" t="s">
        <v>13392</v>
      </c>
      <c r="K313" s="5" t="s">
        <v>13393</v>
      </c>
      <c r="L313" s="11">
        <v>1</v>
      </c>
      <c r="M313" s="5" t="s">
        <v>13394</v>
      </c>
    </row>
    <row r="314" spans="2:13" ht="21.75" customHeight="1" x14ac:dyDescent="0.35">
      <c r="B314" s="12">
        <v>23</v>
      </c>
      <c r="C314" s="7" t="s">
        <v>13389</v>
      </c>
      <c r="D314" s="12">
        <v>3</v>
      </c>
      <c r="E314" s="7" t="s">
        <v>13397</v>
      </c>
      <c r="F314" s="7" t="s">
        <v>13398</v>
      </c>
      <c r="G314" s="7" t="s">
        <v>365</v>
      </c>
      <c r="H314" s="7" t="s">
        <v>37</v>
      </c>
      <c r="I314" s="7" t="s">
        <v>12840</v>
      </c>
      <c r="J314" s="7" t="s">
        <v>13392</v>
      </c>
      <c r="K314" s="7" t="s">
        <v>13393</v>
      </c>
      <c r="L314" s="12">
        <v>1</v>
      </c>
      <c r="M314" s="7" t="s">
        <v>13394</v>
      </c>
    </row>
    <row r="315" spans="2:13" ht="37.5" customHeight="1" x14ac:dyDescent="0.35">
      <c r="B315" s="11">
        <v>23</v>
      </c>
      <c r="C315" s="5" t="s">
        <v>13389</v>
      </c>
      <c r="D315" s="11">
        <v>4</v>
      </c>
      <c r="E315" s="5" t="s">
        <v>13399</v>
      </c>
      <c r="F315" s="5" t="s">
        <v>13400</v>
      </c>
      <c r="G315" s="5" t="s">
        <v>566</v>
      </c>
      <c r="H315" s="5" t="s">
        <v>37</v>
      </c>
      <c r="I315" s="5" t="s">
        <v>12840</v>
      </c>
      <c r="J315" s="5" t="s">
        <v>13392</v>
      </c>
      <c r="K315" s="5" t="s">
        <v>13393</v>
      </c>
      <c r="L315" s="11">
        <v>1</v>
      </c>
      <c r="M315" s="5" t="s">
        <v>13394</v>
      </c>
    </row>
    <row r="316" spans="2:13" ht="37.5" customHeight="1" x14ac:dyDescent="0.35">
      <c r="B316" s="12">
        <v>23</v>
      </c>
      <c r="C316" s="7" t="s">
        <v>13389</v>
      </c>
      <c r="D316" s="12">
        <v>5</v>
      </c>
      <c r="E316" s="7" t="s">
        <v>13401</v>
      </c>
      <c r="F316" s="7" t="s">
        <v>13402</v>
      </c>
      <c r="G316" s="7" t="s">
        <v>30</v>
      </c>
      <c r="H316" s="7" t="s">
        <v>13403</v>
      </c>
      <c r="I316" s="7" t="s">
        <v>12840</v>
      </c>
      <c r="J316" s="7" t="s">
        <v>13392</v>
      </c>
      <c r="K316" s="7" t="s">
        <v>13404</v>
      </c>
      <c r="L316" s="12">
        <v>1</v>
      </c>
      <c r="M316" s="7" t="s">
        <v>13394</v>
      </c>
    </row>
    <row r="317" spans="2:13" ht="21.75" customHeight="1" x14ac:dyDescent="0.35">
      <c r="B317" s="11">
        <v>23</v>
      </c>
      <c r="C317" s="5" t="s">
        <v>13389</v>
      </c>
      <c r="D317" s="11">
        <v>6</v>
      </c>
      <c r="E317" s="5" t="s">
        <v>13405</v>
      </c>
      <c r="F317" s="5" t="s">
        <v>13406</v>
      </c>
      <c r="G317" s="5" t="s">
        <v>29</v>
      </c>
      <c r="H317" s="5" t="s">
        <v>37</v>
      </c>
      <c r="I317" s="5" t="s">
        <v>12840</v>
      </c>
      <c r="J317" s="5" t="s">
        <v>13392</v>
      </c>
      <c r="K317" s="5" t="s">
        <v>13393</v>
      </c>
      <c r="L317" s="11">
        <v>1</v>
      </c>
      <c r="M317" s="5" t="s">
        <v>13394</v>
      </c>
    </row>
    <row r="318" spans="2:13" ht="37.5" customHeight="1" x14ac:dyDescent="0.35">
      <c r="B318" s="12">
        <v>23</v>
      </c>
      <c r="C318" s="7" t="s">
        <v>13389</v>
      </c>
      <c r="D318" s="12">
        <v>7</v>
      </c>
      <c r="E318" s="7" t="s">
        <v>13407</v>
      </c>
      <c r="F318" s="7" t="s">
        <v>13408</v>
      </c>
      <c r="G318" s="7" t="s">
        <v>168</v>
      </c>
      <c r="H318" s="7" t="s">
        <v>37</v>
      </c>
      <c r="I318" s="7" t="s">
        <v>12840</v>
      </c>
      <c r="J318" s="7" t="s">
        <v>13392</v>
      </c>
      <c r="K318" s="7" t="s">
        <v>13393</v>
      </c>
      <c r="L318" s="12">
        <v>1</v>
      </c>
      <c r="M318" s="7" t="s">
        <v>13394</v>
      </c>
    </row>
    <row r="319" spans="2:13" ht="37.5" customHeight="1" x14ac:dyDescent="0.35">
      <c r="B319" s="11">
        <v>23</v>
      </c>
      <c r="C319" s="5" t="s">
        <v>13389</v>
      </c>
      <c r="D319" s="11">
        <v>8</v>
      </c>
      <c r="E319" s="5" t="s">
        <v>13409</v>
      </c>
      <c r="F319" s="5" t="s">
        <v>13410</v>
      </c>
      <c r="G319" s="5" t="s">
        <v>1435</v>
      </c>
      <c r="H319" s="5" t="s">
        <v>37</v>
      </c>
      <c r="I319" s="5" t="s">
        <v>12840</v>
      </c>
      <c r="J319" s="5" t="s">
        <v>13392</v>
      </c>
      <c r="K319" s="5" t="s">
        <v>13393</v>
      </c>
      <c r="L319" s="11">
        <v>1</v>
      </c>
      <c r="M319" s="5" t="s">
        <v>13394</v>
      </c>
    </row>
    <row r="320" spans="2:13" ht="37.5" customHeight="1" x14ac:dyDescent="0.35">
      <c r="B320" s="12">
        <v>23</v>
      </c>
      <c r="C320" s="7" t="s">
        <v>13389</v>
      </c>
      <c r="D320" s="12">
        <v>9</v>
      </c>
      <c r="E320" s="7" t="s">
        <v>13411</v>
      </c>
      <c r="F320" s="7" t="s">
        <v>13412</v>
      </c>
      <c r="G320" s="7" t="s">
        <v>176</v>
      </c>
      <c r="H320" s="7" t="s">
        <v>37</v>
      </c>
      <c r="I320" s="7" t="s">
        <v>12840</v>
      </c>
      <c r="J320" s="7" t="s">
        <v>13392</v>
      </c>
      <c r="K320" s="7" t="s">
        <v>13393</v>
      </c>
      <c r="L320" s="12">
        <v>1</v>
      </c>
      <c r="M320" s="7" t="s">
        <v>13394</v>
      </c>
    </row>
    <row r="321" spans="2:13" ht="37.5" customHeight="1" x14ac:dyDescent="0.35">
      <c r="B321" s="11">
        <v>23</v>
      </c>
      <c r="C321" s="5" t="s">
        <v>13389</v>
      </c>
      <c r="D321" s="11">
        <v>10</v>
      </c>
      <c r="E321" s="5" t="s">
        <v>13413</v>
      </c>
      <c r="F321" s="5" t="s">
        <v>13414</v>
      </c>
      <c r="G321" s="5" t="s">
        <v>24</v>
      </c>
      <c r="H321" s="5" t="s">
        <v>37</v>
      </c>
      <c r="I321" s="5" t="s">
        <v>12840</v>
      </c>
      <c r="J321" s="5" t="s">
        <v>13392</v>
      </c>
      <c r="K321" s="5" t="s">
        <v>13393</v>
      </c>
      <c r="L321" s="11">
        <v>1</v>
      </c>
      <c r="M321" s="5" t="s">
        <v>13394</v>
      </c>
    </row>
    <row r="322" spans="2:13" ht="21.75" customHeight="1" x14ac:dyDescent="0.35">
      <c r="B322" s="12">
        <v>23</v>
      </c>
      <c r="C322" s="7" t="s">
        <v>13389</v>
      </c>
      <c r="D322" s="12">
        <v>11</v>
      </c>
      <c r="E322" s="7" t="s">
        <v>13415</v>
      </c>
      <c r="F322" s="7" t="s">
        <v>13416</v>
      </c>
      <c r="G322" s="7" t="s">
        <v>188</v>
      </c>
      <c r="H322" s="7" t="s">
        <v>37</v>
      </c>
      <c r="I322" s="7" t="s">
        <v>12840</v>
      </c>
      <c r="J322" s="7" t="s">
        <v>13392</v>
      </c>
      <c r="K322" s="7" t="s">
        <v>13393</v>
      </c>
      <c r="L322" s="12">
        <v>1</v>
      </c>
      <c r="M322" s="7" t="s">
        <v>13394</v>
      </c>
    </row>
    <row r="323" spans="2:13" ht="37.5" customHeight="1" x14ac:dyDescent="0.35">
      <c r="B323" s="11">
        <v>23</v>
      </c>
      <c r="C323" s="5" t="s">
        <v>13389</v>
      </c>
      <c r="D323" s="11">
        <v>12</v>
      </c>
      <c r="E323" s="5" t="s">
        <v>13417</v>
      </c>
      <c r="F323" s="5" t="s">
        <v>13418</v>
      </c>
      <c r="G323" s="5" t="s">
        <v>358</v>
      </c>
      <c r="H323" s="5" t="s">
        <v>37</v>
      </c>
      <c r="I323" s="5" t="s">
        <v>12840</v>
      </c>
      <c r="J323" s="5" t="s">
        <v>13392</v>
      </c>
      <c r="K323" s="5" t="s">
        <v>13393</v>
      </c>
      <c r="L323" s="11">
        <v>1</v>
      </c>
      <c r="M323" s="5" t="s">
        <v>13394</v>
      </c>
    </row>
    <row r="324" spans="2:13" ht="21.75" customHeight="1" x14ac:dyDescent="0.35">
      <c r="B324" s="12">
        <v>23</v>
      </c>
      <c r="C324" s="7" t="s">
        <v>13389</v>
      </c>
      <c r="D324" s="12">
        <v>13</v>
      </c>
      <c r="E324" s="7" t="s">
        <v>13419</v>
      </c>
      <c r="F324" s="7" t="s">
        <v>13420</v>
      </c>
      <c r="G324" s="7" t="s">
        <v>549</v>
      </c>
      <c r="H324" s="7" t="s">
        <v>37</v>
      </c>
      <c r="I324" s="7" t="s">
        <v>12840</v>
      </c>
      <c r="J324" s="7" t="s">
        <v>13392</v>
      </c>
      <c r="K324" s="7" t="s">
        <v>13393</v>
      </c>
      <c r="L324" s="12">
        <v>1</v>
      </c>
      <c r="M324" s="7" t="s">
        <v>13394</v>
      </c>
    </row>
    <row r="325" spans="2:13" ht="37.5" customHeight="1" x14ac:dyDescent="0.35">
      <c r="B325" s="11">
        <v>23</v>
      </c>
      <c r="C325" s="5" t="s">
        <v>13389</v>
      </c>
      <c r="D325" s="11">
        <v>14</v>
      </c>
      <c r="E325" s="5" t="s">
        <v>13421</v>
      </c>
      <c r="F325" s="5" t="s">
        <v>13422</v>
      </c>
      <c r="G325" s="5" t="s">
        <v>560</v>
      </c>
      <c r="H325" s="5" t="s">
        <v>37</v>
      </c>
      <c r="I325" s="5" t="s">
        <v>12840</v>
      </c>
      <c r="J325" s="5" t="s">
        <v>13392</v>
      </c>
      <c r="K325" s="5" t="s">
        <v>13393</v>
      </c>
      <c r="L325" s="11">
        <v>1</v>
      </c>
      <c r="M325" s="5" t="s">
        <v>13394</v>
      </c>
    </row>
    <row r="326" spans="2:13" ht="37.5" customHeight="1" x14ac:dyDescent="0.35">
      <c r="B326" s="12">
        <v>23</v>
      </c>
      <c r="C326" s="7" t="s">
        <v>13389</v>
      </c>
      <c r="D326" s="12">
        <v>15</v>
      </c>
      <c r="E326" s="7" t="s">
        <v>13423</v>
      </c>
      <c r="F326" s="7" t="s">
        <v>13424</v>
      </c>
      <c r="G326" s="7" t="s">
        <v>25</v>
      </c>
      <c r="H326" s="7" t="s">
        <v>37</v>
      </c>
      <c r="I326" s="7" t="s">
        <v>12840</v>
      </c>
      <c r="J326" s="7" t="s">
        <v>13392</v>
      </c>
      <c r="K326" s="7" t="s">
        <v>13393</v>
      </c>
      <c r="L326" s="12">
        <v>1</v>
      </c>
      <c r="M326" s="7" t="s">
        <v>13394</v>
      </c>
    </row>
    <row r="327" spans="2:13" ht="52.5" customHeight="1" x14ac:dyDescent="0.35">
      <c r="B327" s="11">
        <v>23</v>
      </c>
      <c r="C327" s="5" t="s">
        <v>13389</v>
      </c>
      <c r="D327" s="11">
        <v>16</v>
      </c>
      <c r="E327" s="5" t="s">
        <v>13425</v>
      </c>
      <c r="F327" s="5" t="s">
        <v>13426</v>
      </c>
      <c r="G327" s="5" t="s">
        <v>2919</v>
      </c>
      <c r="H327" s="5" t="s">
        <v>5802</v>
      </c>
      <c r="I327" s="5" t="s">
        <v>13427</v>
      </c>
      <c r="J327" s="5" t="s">
        <v>13428</v>
      </c>
      <c r="K327" s="5" t="s">
        <v>13429</v>
      </c>
      <c r="L327" s="11">
        <v>2</v>
      </c>
      <c r="M327" s="5" t="s">
        <v>13394</v>
      </c>
    </row>
    <row r="328" spans="2:13" ht="37.5" customHeight="1" x14ac:dyDescent="0.35">
      <c r="B328" s="12">
        <v>23</v>
      </c>
      <c r="C328" s="7" t="s">
        <v>13389</v>
      </c>
      <c r="D328" s="12">
        <v>17</v>
      </c>
      <c r="E328" s="7" t="s">
        <v>13430</v>
      </c>
      <c r="F328" s="7" t="s">
        <v>13431</v>
      </c>
      <c r="G328" s="7" t="s">
        <v>3643</v>
      </c>
      <c r="H328" s="7" t="s">
        <v>37</v>
      </c>
      <c r="I328" s="7" t="s">
        <v>12840</v>
      </c>
      <c r="J328" s="7" t="s">
        <v>13392</v>
      </c>
      <c r="K328" s="7" t="s">
        <v>13393</v>
      </c>
      <c r="L328" s="12">
        <v>1</v>
      </c>
      <c r="M328" s="7" t="s">
        <v>13394</v>
      </c>
    </row>
    <row r="329" spans="2:13" ht="37.5" customHeight="1" x14ac:dyDescent="0.35">
      <c r="B329" s="11">
        <v>23</v>
      </c>
      <c r="C329" s="5" t="s">
        <v>13389</v>
      </c>
      <c r="D329" s="11">
        <v>18</v>
      </c>
      <c r="E329" s="5" t="s">
        <v>13432</v>
      </c>
      <c r="F329" s="5" t="s">
        <v>13433</v>
      </c>
      <c r="G329" s="5" t="s">
        <v>395</v>
      </c>
      <c r="H329" s="5" t="s">
        <v>37</v>
      </c>
      <c r="I329" s="5" t="s">
        <v>12840</v>
      </c>
      <c r="J329" s="5" t="s">
        <v>13392</v>
      </c>
      <c r="K329" s="5" t="s">
        <v>13393</v>
      </c>
      <c r="L329" s="11">
        <v>1</v>
      </c>
      <c r="M329" s="5" t="s">
        <v>13394</v>
      </c>
    </row>
    <row r="330" spans="2:13" ht="37.5" customHeight="1" x14ac:dyDescent="0.35">
      <c r="B330" s="12">
        <v>23</v>
      </c>
      <c r="C330" s="7" t="s">
        <v>13389</v>
      </c>
      <c r="D330" s="12">
        <v>19</v>
      </c>
      <c r="E330" s="7" t="s">
        <v>13434</v>
      </c>
      <c r="F330" s="7" t="s">
        <v>13435</v>
      </c>
      <c r="G330" s="7" t="s">
        <v>206</v>
      </c>
      <c r="H330" s="7" t="s">
        <v>37</v>
      </c>
      <c r="I330" s="7" t="s">
        <v>12840</v>
      </c>
      <c r="J330" s="7" t="s">
        <v>13392</v>
      </c>
      <c r="K330" s="7" t="s">
        <v>13393</v>
      </c>
      <c r="L330" s="12">
        <v>1</v>
      </c>
      <c r="M330" s="7" t="s">
        <v>13394</v>
      </c>
    </row>
    <row r="331" spans="2:13" ht="37.5" customHeight="1" x14ac:dyDescent="0.35">
      <c r="B331" s="11">
        <v>23</v>
      </c>
      <c r="C331" s="5" t="s">
        <v>13389</v>
      </c>
      <c r="D331" s="11">
        <v>20</v>
      </c>
      <c r="E331" s="5" t="s">
        <v>13436</v>
      </c>
      <c r="F331" s="5" t="s">
        <v>13437</v>
      </c>
      <c r="G331" s="5" t="s">
        <v>25</v>
      </c>
      <c r="H331" s="5" t="s">
        <v>37</v>
      </c>
      <c r="I331" s="5" t="s">
        <v>13057</v>
      </c>
      <c r="J331" s="5" t="s">
        <v>13392</v>
      </c>
      <c r="K331" s="5" t="s">
        <v>13438</v>
      </c>
      <c r="L331" s="11">
        <v>1</v>
      </c>
      <c r="M331" s="5" t="s">
        <v>13394</v>
      </c>
    </row>
    <row r="332" spans="2:13" ht="37.5" customHeight="1" x14ac:dyDescent="0.35">
      <c r="B332" s="12">
        <v>23</v>
      </c>
      <c r="C332" s="7" t="s">
        <v>13389</v>
      </c>
      <c r="D332" s="12">
        <v>21</v>
      </c>
      <c r="E332" s="7" t="s">
        <v>13439</v>
      </c>
      <c r="F332" s="7" t="s">
        <v>13440</v>
      </c>
      <c r="G332" s="7" t="s">
        <v>25</v>
      </c>
      <c r="H332" s="7" t="s">
        <v>37</v>
      </c>
      <c r="I332" s="7" t="s">
        <v>13057</v>
      </c>
      <c r="J332" s="7" t="s">
        <v>8704</v>
      </c>
      <c r="K332" s="7" t="s">
        <v>13441</v>
      </c>
      <c r="L332" s="12">
        <v>1</v>
      </c>
      <c r="M332" s="7" t="s">
        <v>13394</v>
      </c>
    </row>
    <row r="333" spans="2:13" ht="37.5" customHeight="1" x14ac:dyDescent="0.35">
      <c r="B333" s="11">
        <v>23</v>
      </c>
      <c r="C333" s="5" t="s">
        <v>13389</v>
      </c>
      <c r="D333" s="11">
        <v>22</v>
      </c>
      <c r="E333" s="5" t="s">
        <v>13442</v>
      </c>
      <c r="F333" s="5" t="s">
        <v>13443</v>
      </c>
      <c r="G333" s="5" t="s">
        <v>33</v>
      </c>
      <c r="H333" s="5" t="s">
        <v>37</v>
      </c>
      <c r="I333" s="5" t="s">
        <v>13444</v>
      </c>
      <c r="J333" s="5" t="s">
        <v>13445</v>
      </c>
      <c r="K333" s="5" t="s">
        <v>13446</v>
      </c>
      <c r="L333" s="11">
        <v>1</v>
      </c>
      <c r="M333" s="5" t="s">
        <v>13394</v>
      </c>
    </row>
    <row r="334" spans="2:13" ht="37.5" customHeight="1" x14ac:dyDescent="0.35">
      <c r="B334" s="12">
        <v>23</v>
      </c>
      <c r="C334" s="7" t="s">
        <v>13389</v>
      </c>
      <c r="D334" s="12">
        <v>23</v>
      </c>
      <c r="E334" s="7" t="s">
        <v>13447</v>
      </c>
      <c r="F334" s="7" t="s">
        <v>13448</v>
      </c>
      <c r="G334" s="7" t="s">
        <v>2405</v>
      </c>
      <c r="H334" s="7" t="s">
        <v>37</v>
      </c>
      <c r="I334" s="7" t="s">
        <v>13444</v>
      </c>
      <c r="J334" s="7" t="s">
        <v>13445</v>
      </c>
      <c r="K334" s="7" t="s">
        <v>13446</v>
      </c>
      <c r="L334" s="12">
        <v>1</v>
      </c>
      <c r="M334" s="7" t="s">
        <v>13394</v>
      </c>
    </row>
    <row r="335" spans="2:13" ht="37.5" customHeight="1" x14ac:dyDescent="0.35">
      <c r="B335" s="11">
        <v>23</v>
      </c>
      <c r="C335" s="5" t="s">
        <v>13389</v>
      </c>
      <c r="D335" s="11">
        <v>24</v>
      </c>
      <c r="E335" s="5" t="s">
        <v>13449</v>
      </c>
      <c r="F335" s="5" t="s">
        <v>13450</v>
      </c>
      <c r="G335" s="5" t="s">
        <v>282</v>
      </c>
      <c r="H335" s="5" t="s">
        <v>37</v>
      </c>
      <c r="I335" s="5" t="s">
        <v>13444</v>
      </c>
      <c r="J335" s="5" t="s">
        <v>13445</v>
      </c>
      <c r="K335" s="5" t="s">
        <v>13446</v>
      </c>
      <c r="L335" s="11">
        <v>1</v>
      </c>
      <c r="M335" s="5" t="s">
        <v>13394</v>
      </c>
    </row>
    <row r="336" spans="2:13" ht="37.5" customHeight="1" x14ac:dyDescent="0.35">
      <c r="B336" s="12">
        <v>23</v>
      </c>
      <c r="C336" s="7" t="s">
        <v>13389</v>
      </c>
      <c r="D336" s="12">
        <v>25</v>
      </c>
      <c r="E336" s="7" t="s">
        <v>13451</v>
      </c>
      <c r="F336" s="7" t="s">
        <v>13452</v>
      </c>
      <c r="G336" s="7" t="s">
        <v>695</v>
      </c>
      <c r="H336" s="7" t="s">
        <v>37</v>
      </c>
      <c r="I336" s="7" t="s">
        <v>13444</v>
      </c>
      <c r="J336" s="7" t="s">
        <v>13445</v>
      </c>
      <c r="K336" s="7" t="s">
        <v>13446</v>
      </c>
      <c r="L336" s="12">
        <v>1</v>
      </c>
      <c r="M336" s="7" t="s">
        <v>13394</v>
      </c>
    </row>
    <row r="337" spans="2:13" ht="37.5" customHeight="1" x14ac:dyDescent="0.35">
      <c r="B337" s="11">
        <v>23</v>
      </c>
      <c r="C337" s="5" t="s">
        <v>13389</v>
      </c>
      <c r="D337" s="11">
        <v>26</v>
      </c>
      <c r="E337" s="5" t="s">
        <v>13453</v>
      </c>
      <c r="F337" s="5" t="s">
        <v>13454</v>
      </c>
      <c r="G337" s="5" t="s">
        <v>552</v>
      </c>
      <c r="H337" s="5" t="s">
        <v>37</v>
      </c>
      <c r="I337" s="5" t="s">
        <v>13444</v>
      </c>
      <c r="J337" s="5" t="s">
        <v>13445</v>
      </c>
      <c r="K337" s="5" t="s">
        <v>13446</v>
      </c>
      <c r="L337" s="11">
        <v>1</v>
      </c>
      <c r="M337" s="5" t="s">
        <v>13394</v>
      </c>
    </row>
    <row r="338" spans="2:13" ht="37.5" customHeight="1" x14ac:dyDescent="0.35">
      <c r="B338" s="12">
        <v>23</v>
      </c>
      <c r="C338" s="7" t="s">
        <v>13389</v>
      </c>
      <c r="D338" s="12">
        <v>27</v>
      </c>
      <c r="E338" s="7" t="s">
        <v>13455</v>
      </c>
      <c r="F338" s="7" t="s">
        <v>13456</v>
      </c>
      <c r="G338" s="7" t="s">
        <v>457</v>
      </c>
      <c r="H338" s="7" t="s">
        <v>37</v>
      </c>
      <c r="I338" s="7" t="s">
        <v>13444</v>
      </c>
      <c r="J338" s="7" t="s">
        <v>13445</v>
      </c>
      <c r="K338" s="7" t="s">
        <v>13446</v>
      </c>
      <c r="L338" s="12">
        <v>1</v>
      </c>
      <c r="M338" s="7" t="s">
        <v>13394</v>
      </c>
    </row>
    <row r="339" spans="2:13" ht="37.5" customHeight="1" x14ac:dyDescent="0.35">
      <c r="B339" s="11">
        <v>23</v>
      </c>
      <c r="C339" s="5" t="s">
        <v>13389</v>
      </c>
      <c r="D339" s="11">
        <v>28</v>
      </c>
      <c r="E339" s="5" t="s">
        <v>13457</v>
      </c>
      <c r="F339" s="5" t="s">
        <v>13458</v>
      </c>
      <c r="G339" s="5" t="s">
        <v>28</v>
      </c>
      <c r="H339" s="5" t="s">
        <v>37</v>
      </c>
      <c r="I339" s="5" t="s">
        <v>12388</v>
      </c>
      <c r="J339" s="5" t="s">
        <v>13445</v>
      </c>
      <c r="K339" s="5" t="s">
        <v>13459</v>
      </c>
      <c r="L339" s="11">
        <v>1</v>
      </c>
      <c r="M339" s="5" t="s">
        <v>13394</v>
      </c>
    </row>
    <row r="340" spans="2:13" ht="37.5" customHeight="1" x14ac:dyDescent="0.35">
      <c r="B340" s="12">
        <v>23</v>
      </c>
      <c r="C340" s="7" t="s">
        <v>13389</v>
      </c>
      <c r="D340" s="12">
        <v>29</v>
      </c>
      <c r="E340" s="7" t="s">
        <v>13460</v>
      </c>
      <c r="F340" s="7" t="s">
        <v>13461</v>
      </c>
      <c r="G340" s="7" t="s">
        <v>573</v>
      </c>
      <c r="H340" s="7" t="s">
        <v>37</v>
      </c>
      <c r="I340" s="7" t="s">
        <v>12388</v>
      </c>
      <c r="J340" s="7" t="s">
        <v>13445</v>
      </c>
      <c r="K340" s="7" t="s">
        <v>13459</v>
      </c>
      <c r="L340" s="12">
        <v>1</v>
      </c>
      <c r="M340" s="7" t="s">
        <v>13394</v>
      </c>
    </row>
    <row r="341" spans="2:13" ht="52.5" customHeight="1" x14ac:dyDescent="0.35">
      <c r="B341" s="11">
        <v>23</v>
      </c>
      <c r="C341" s="5" t="s">
        <v>13389</v>
      </c>
      <c r="D341" s="11">
        <v>30</v>
      </c>
      <c r="E341" s="5" t="s">
        <v>13462</v>
      </c>
      <c r="F341" s="5" t="s">
        <v>13463</v>
      </c>
      <c r="G341" s="5" t="s">
        <v>31</v>
      </c>
      <c r="H341" s="5" t="s">
        <v>37</v>
      </c>
      <c r="I341" s="5" t="s">
        <v>13464</v>
      </c>
      <c r="J341" s="5" t="s">
        <v>13445</v>
      </c>
      <c r="K341" s="5" t="s">
        <v>13465</v>
      </c>
      <c r="L341" s="11">
        <v>1</v>
      </c>
      <c r="M341" s="5" t="s">
        <v>13394</v>
      </c>
    </row>
    <row r="342" spans="2:13" ht="52.5" customHeight="1" x14ac:dyDescent="0.35">
      <c r="B342" s="12">
        <v>23</v>
      </c>
      <c r="C342" s="7" t="s">
        <v>13389</v>
      </c>
      <c r="D342" s="12">
        <v>31</v>
      </c>
      <c r="E342" s="7" t="s">
        <v>13466</v>
      </c>
      <c r="F342" s="7" t="s">
        <v>13467</v>
      </c>
      <c r="G342" s="7" t="s">
        <v>831</v>
      </c>
      <c r="H342" s="7" t="s">
        <v>37</v>
      </c>
      <c r="I342" s="7" t="s">
        <v>13464</v>
      </c>
      <c r="J342" s="7" t="s">
        <v>13445</v>
      </c>
      <c r="K342" s="7" t="s">
        <v>13465</v>
      </c>
      <c r="L342" s="12">
        <v>1</v>
      </c>
      <c r="M342" s="7" t="s">
        <v>13394</v>
      </c>
    </row>
    <row r="343" spans="2:13" ht="52.5" customHeight="1" x14ac:dyDescent="0.35">
      <c r="B343" s="11">
        <v>23</v>
      </c>
      <c r="C343" s="5" t="s">
        <v>13389</v>
      </c>
      <c r="D343" s="11">
        <v>32</v>
      </c>
      <c r="E343" s="5" t="s">
        <v>13468</v>
      </c>
      <c r="F343" s="5" t="s">
        <v>13469</v>
      </c>
      <c r="G343" s="5" t="s">
        <v>27</v>
      </c>
      <c r="H343" s="5" t="s">
        <v>37</v>
      </c>
      <c r="I343" s="5" t="s">
        <v>13464</v>
      </c>
      <c r="J343" s="5" t="s">
        <v>8704</v>
      </c>
      <c r="K343" s="5" t="s">
        <v>13470</v>
      </c>
      <c r="L343" s="11">
        <v>1</v>
      </c>
      <c r="M343" s="5" t="s">
        <v>13394</v>
      </c>
    </row>
    <row r="344" spans="2:13" ht="21.75" customHeight="1" x14ac:dyDescent="0.35">
      <c r="B344" s="12">
        <v>23</v>
      </c>
      <c r="C344" s="7" t="s">
        <v>13389</v>
      </c>
      <c r="D344" s="12">
        <v>33</v>
      </c>
      <c r="E344" s="7" t="s">
        <v>13471</v>
      </c>
      <c r="F344" s="7" t="s">
        <v>13472</v>
      </c>
      <c r="G344" s="7" t="s">
        <v>868</v>
      </c>
      <c r="H344" s="7" t="s">
        <v>37</v>
      </c>
      <c r="I344" s="7" t="s">
        <v>13473</v>
      </c>
      <c r="J344" s="7" t="s">
        <v>13392</v>
      </c>
      <c r="K344" s="7" t="s">
        <v>13474</v>
      </c>
      <c r="L344" s="12">
        <v>1</v>
      </c>
      <c r="M344" s="7" t="s">
        <v>13394</v>
      </c>
    </row>
    <row r="345" spans="2:13" ht="37.5" customHeight="1" x14ac:dyDescent="0.35">
      <c r="B345" s="11">
        <v>23</v>
      </c>
      <c r="C345" s="5" t="s">
        <v>13389</v>
      </c>
      <c r="D345" s="11">
        <v>34</v>
      </c>
      <c r="E345" s="5" t="s">
        <v>13475</v>
      </c>
      <c r="F345" s="5" t="s">
        <v>13476</v>
      </c>
      <c r="G345" s="5" t="s">
        <v>800</v>
      </c>
      <c r="H345" s="5" t="s">
        <v>37</v>
      </c>
      <c r="I345" s="5" t="s">
        <v>12401</v>
      </c>
      <c r="J345" s="5" t="s">
        <v>13392</v>
      </c>
      <c r="K345" s="5" t="s">
        <v>13477</v>
      </c>
      <c r="L345" s="11">
        <v>1</v>
      </c>
      <c r="M345" s="5" t="s">
        <v>13394</v>
      </c>
    </row>
    <row r="346" spans="2:13" ht="37.5" customHeight="1" x14ac:dyDescent="0.35">
      <c r="B346" s="12">
        <v>23</v>
      </c>
      <c r="C346" s="7" t="s">
        <v>13389</v>
      </c>
      <c r="D346" s="12">
        <v>35</v>
      </c>
      <c r="E346" s="7" t="s">
        <v>13478</v>
      </c>
      <c r="F346" s="7" t="s">
        <v>13479</v>
      </c>
      <c r="G346" s="7" t="s">
        <v>891</v>
      </c>
      <c r="H346" s="7" t="s">
        <v>37</v>
      </c>
      <c r="I346" s="7" t="s">
        <v>12401</v>
      </c>
      <c r="J346" s="7" t="s">
        <v>13445</v>
      </c>
      <c r="K346" s="7" t="s">
        <v>13480</v>
      </c>
      <c r="L346" s="12">
        <v>1</v>
      </c>
      <c r="M346" s="7" t="s">
        <v>13394</v>
      </c>
    </row>
    <row r="347" spans="2:13" ht="37.5" customHeight="1" x14ac:dyDescent="0.35">
      <c r="B347" s="11">
        <v>23</v>
      </c>
      <c r="C347" s="5" t="s">
        <v>13389</v>
      </c>
      <c r="D347" s="11">
        <v>36</v>
      </c>
      <c r="E347" s="5" t="s">
        <v>13481</v>
      </c>
      <c r="F347" s="5" t="s">
        <v>13482</v>
      </c>
      <c r="G347" s="5" t="s">
        <v>927</v>
      </c>
      <c r="H347" s="5" t="s">
        <v>37</v>
      </c>
      <c r="I347" s="5" t="s">
        <v>12401</v>
      </c>
      <c r="J347" s="5" t="s">
        <v>13445</v>
      </c>
      <c r="K347" s="5" t="s">
        <v>13480</v>
      </c>
      <c r="L347" s="11">
        <v>1</v>
      </c>
      <c r="M347" s="5" t="s">
        <v>13394</v>
      </c>
    </row>
    <row r="348" spans="2:13" ht="37.5" customHeight="1" x14ac:dyDescent="0.35">
      <c r="B348" s="12">
        <v>23</v>
      </c>
      <c r="C348" s="7" t="s">
        <v>13389</v>
      </c>
      <c r="D348" s="12">
        <v>37</v>
      </c>
      <c r="E348" s="7" t="s">
        <v>13483</v>
      </c>
      <c r="F348" s="7" t="s">
        <v>13484</v>
      </c>
      <c r="G348" s="7" t="s">
        <v>2254</v>
      </c>
      <c r="H348" s="7" t="s">
        <v>37</v>
      </c>
      <c r="I348" s="7" t="s">
        <v>13485</v>
      </c>
      <c r="J348" s="7" t="s">
        <v>13445</v>
      </c>
      <c r="K348" s="7" t="s">
        <v>13486</v>
      </c>
      <c r="L348" s="12">
        <v>1</v>
      </c>
      <c r="M348" s="7" t="s">
        <v>13394</v>
      </c>
    </row>
    <row r="349" spans="2:13" ht="37.5" customHeight="1" x14ac:dyDescent="0.35">
      <c r="B349" s="11">
        <v>23</v>
      </c>
      <c r="C349" s="5" t="s">
        <v>13389</v>
      </c>
      <c r="D349" s="11">
        <v>38</v>
      </c>
      <c r="E349" s="5" t="s">
        <v>13487</v>
      </c>
      <c r="F349" s="5" t="s">
        <v>13488</v>
      </c>
      <c r="G349" s="5" t="s">
        <v>279</v>
      </c>
      <c r="H349" s="5" t="s">
        <v>37</v>
      </c>
      <c r="I349" s="5" t="s">
        <v>13485</v>
      </c>
      <c r="J349" s="5" t="s">
        <v>13445</v>
      </c>
      <c r="K349" s="5" t="s">
        <v>13486</v>
      </c>
      <c r="L349" s="11">
        <v>1</v>
      </c>
      <c r="M349" s="5" t="s">
        <v>13394</v>
      </c>
    </row>
    <row r="350" spans="2:13" ht="37.5" customHeight="1" x14ac:dyDescent="0.35">
      <c r="B350" s="12">
        <v>23</v>
      </c>
      <c r="C350" s="7" t="s">
        <v>13389</v>
      </c>
      <c r="D350" s="12">
        <v>39</v>
      </c>
      <c r="E350" s="7" t="s">
        <v>13489</v>
      </c>
      <c r="F350" s="7" t="s">
        <v>13490</v>
      </c>
      <c r="G350" s="7" t="s">
        <v>428</v>
      </c>
      <c r="H350" s="7" t="s">
        <v>37</v>
      </c>
      <c r="I350" s="7" t="s">
        <v>13485</v>
      </c>
      <c r="J350" s="7" t="s">
        <v>13445</v>
      </c>
      <c r="K350" s="7" t="s">
        <v>13486</v>
      </c>
      <c r="L350" s="12">
        <v>1</v>
      </c>
      <c r="M350" s="7" t="s">
        <v>13394</v>
      </c>
    </row>
    <row r="351" spans="2:13" ht="37.5" customHeight="1" x14ac:dyDescent="0.35">
      <c r="B351" s="11">
        <v>23</v>
      </c>
      <c r="C351" s="5" t="s">
        <v>13389</v>
      </c>
      <c r="D351" s="11">
        <v>40</v>
      </c>
      <c r="E351" s="5" t="s">
        <v>13491</v>
      </c>
      <c r="F351" s="5" t="s">
        <v>13492</v>
      </c>
      <c r="G351" s="5" t="s">
        <v>1226</v>
      </c>
      <c r="H351" s="5" t="s">
        <v>37</v>
      </c>
      <c r="I351" s="5" t="s">
        <v>13485</v>
      </c>
      <c r="J351" s="5" t="s">
        <v>13445</v>
      </c>
      <c r="K351" s="5" t="s">
        <v>13486</v>
      </c>
      <c r="L351" s="11">
        <v>1</v>
      </c>
      <c r="M351" s="5" t="s">
        <v>13394</v>
      </c>
    </row>
    <row r="352" spans="2:13" ht="37.5" customHeight="1" x14ac:dyDescent="0.35">
      <c r="B352" s="12">
        <v>23</v>
      </c>
      <c r="C352" s="7" t="s">
        <v>13389</v>
      </c>
      <c r="D352" s="12">
        <v>41</v>
      </c>
      <c r="E352" s="7" t="s">
        <v>13493</v>
      </c>
      <c r="F352" s="7" t="s">
        <v>13494</v>
      </c>
      <c r="G352" s="7" t="s">
        <v>701</v>
      </c>
      <c r="H352" s="7" t="s">
        <v>37</v>
      </c>
      <c r="I352" s="7" t="s">
        <v>13485</v>
      </c>
      <c r="J352" s="7" t="s">
        <v>13445</v>
      </c>
      <c r="K352" s="7" t="s">
        <v>13486</v>
      </c>
      <c r="L352" s="12">
        <v>1</v>
      </c>
      <c r="M352" s="7" t="s">
        <v>13394</v>
      </c>
    </row>
    <row r="353" spans="2:13" ht="37.5" customHeight="1" x14ac:dyDescent="0.35">
      <c r="B353" s="11">
        <v>23</v>
      </c>
      <c r="C353" s="5" t="s">
        <v>13389</v>
      </c>
      <c r="D353" s="11">
        <v>42</v>
      </c>
      <c r="E353" s="5" t="s">
        <v>13495</v>
      </c>
      <c r="F353" s="5" t="s">
        <v>13496</v>
      </c>
      <c r="G353" s="5" t="s">
        <v>970</v>
      </c>
      <c r="H353" s="5" t="s">
        <v>37</v>
      </c>
      <c r="I353" s="5" t="s">
        <v>13485</v>
      </c>
      <c r="J353" s="5" t="s">
        <v>13445</v>
      </c>
      <c r="K353" s="5" t="s">
        <v>13486</v>
      </c>
      <c r="L353" s="11">
        <v>1</v>
      </c>
      <c r="M353" s="5" t="s">
        <v>13394</v>
      </c>
    </row>
    <row r="354" spans="2:13" ht="37.5" customHeight="1" x14ac:dyDescent="0.35">
      <c r="B354" s="12">
        <v>23</v>
      </c>
      <c r="C354" s="7" t="s">
        <v>13389</v>
      </c>
      <c r="D354" s="12">
        <v>43</v>
      </c>
      <c r="E354" s="7" t="s">
        <v>13497</v>
      </c>
      <c r="F354" s="7" t="s">
        <v>13498</v>
      </c>
      <c r="G354" s="7" t="s">
        <v>1252</v>
      </c>
      <c r="H354" s="7" t="s">
        <v>37</v>
      </c>
      <c r="I354" s="7" t="s">
        <v>13485</v>
      </c>
      <c r="J354" s="7" t="s">
        <v>13445</v>
      </c>
      <c r="K354" s="7" t="s">
        <v>13486</v>
      </c>
      <c r="L354" s="12">
        <v>1</v>
      </c>
      <c r="M354" s="7" t="s">
        <v>13394</v>
      </c>
    </row>
    <row r="355" spans="2:13" ht="37.5" customHeight="1" x14ac:dyDescent="0.35">
      <c r="B355" s="11">
        <v>23</v>
      </c>
      <c r="C355" s="5" t="s">
        <v>13389</v>
      </c>
      <c r="D355" s="11">
        <v>44</v>
      </c>
      <c r="E355" s="5" t="s">
        <v>13499</v>
      </c>
      <c r="F355" s="5" t="s">
        <v>13500</v>
      </c>
      <c r="G355" s="5" t="s">
        <v>1784</v>
      </c>
      <c r="H355" s="5" t="s">
        <v>37</v>
      </c>
      <c r="I355" s="5" t="s">
        <v>13485</v>
      </c>
      <c r="J355" s="5" t="s">
        <v>13445</v>
      </c>
      <c r="K355" s="5" t="s">
        <v>13486</v>
      </c>
      <c r="L355" s="11">
        <v>1</v>
      </c>
      <c r="M355" s="5" t="s">
        <v>13394</v>
      </c>
    </row>
    <row r="356" spans="2:13" ht="37.5" customHeight="1" x14ac:dyDescent="0.35">
      <c r="B356" s="12">
        <v>23</v>
      </c>
      <c r="C356" s="7" t="s">
        <v>13389</v>
      </c>
      <c r="D356" s="12">
        <v>45</v>
      </c>
      <c r="E356" s="7" t="s">
        <v>13501</v>
      </c>
      <c r="F356" s="7" t="s">
        <v>13502</v>
      </c>
      <c r="G356" s="7" t="s">
        <v>24</v>
      </c>
      <c r="H356" s="7" t="s">
        <v>37</v>
      </c>
      <c r="I356" s="7" t="s">
        <v>13485</v>
      </c>
      <c r="J356" s="7" t="s">
        <v>13445</v>
      </c>
      <c r="K356" s="7" t="s">
        <v>13486</v>
      </c>
      <c r="L356" s="12">
        <v>1</v>
      </c>
      <c r="M356" s="7" t="s">
        <v>13394</v>
      </c>
    </row>
    <row r="357" spans="2:13" ht="37.5" customHeight="1" x14ac:dyDescent="0.35">
      <c r="B357" s="11">
        <v>23</v>
      </c>
      <c r="C357" s="5" t="s">
        <v>13389</v>
      </c>
      <c r="D357" s="11">
        <v>46</v>
      </c>
      <c r="E357" s="5" t="s">
        <v>13503</v>
      </c>
      <c r="F357" s="5" t="s">
        <v>13504</v>
      </c>
      <c r="G357" s="5" t="s">
        <v>778</v>
      </c>
      <c r="H357" s="5" t="s">
        <v>37</v>
      </c>
      <c r="I357" s="5" t="s">
        <v>13485</v>
      </c>
      <c r="J357" s="5" t="s">
        <v>13445</v>
      </c>
      <c r="K357" s="5" t="s">
        <v>13486</v>
      </c>
      <c r="L357" s="11">
        <v>1</v>
      </c>
      <c r="M357" s="5" t="s">
        <v>13394</v>
      </c>
    </row>
    <row r="358" spans="2:13" ht="37.5" customHeight="1" x14ac:dyDescent="0.35">
      <c r="B358" s="12">
        <v>23</v>
      </c>
      <c r="C358" s="7" t="s">
        <v>13389</v>
      </c>
      <c r="D358" s="12">
        <v>47</v>
      </c>
      <c r="E358" s="7" t="s">
        <v>13505</v>
      </c>
      <c r="F358" s="7" t="s">
        <v>13506</v>
      </c>
      <c r="G358" s="7" t="s">
        <v>713</v>
      </c>
      <c r="H358" s="7" t="s">
        <v>37</v>
      </c>
      <c r="I358" s="7" t="s">
        <v>13485</v>
      </c>
      <c r="J358" s="7" t="s">
        <v>13445</v>
      </c>
      <c r="K358" s="7" t="s">
        <v>13486</v>
      </c>
      <c r="L358" s="12">
        <v>1</v>
      </c>
      <c r="M358" s="7" t="s">
        <v>13394</v>
      </c>
    </row>
    <row r="359" spans="2:13" ht="52.5" customHeight="1" x14ac:dyDescent="0.35">
      <c r="B359" s="11">
        <v>23</v>
      </c>
      <c r="C359" s="5" t="s">
        <v>13389</v>
      </c>
      <c r="D359" s="11">
        <v>48</v>
      </c>
      <c r="E359" s="5" t="s">
        <v>13507</v>
      </c>
      <c r="F359" s="5" t="s">
        <v>13508</v>
      </c>
      <c r="G359" s="5" t="s">
        <v>4719</v>
      </c>
      <c r="H359" s="5" t="s">
        <v>2399</v>
      </c>
      <c r="I359" s="5" t="s">
        <v>13509</v>
      </c>
      <c r="J359" s="5" t="s">
        <v>13510</v>
      </c>
      <c r="K359" s="5" t="s">
        <v>13511</v>
      </c>
      <c r="L359" s="11">
        <v>2</v>
      </c>
      <c r="M359" s="5" t="s">
        <v>13394</v>
      </c>
    </row>
    <row r="360" spans="2:13" ht="37.5" customHeight="1" x14ac:dyDescent="0.35">
      <c r="B360" s="12">
        <v>23</v>
      </c>
      <c r="C360" s="7" t="s">
        <v>13389</v>
      </c>
      <c r="D360" s="12">
        <v>49</v>
      </c>
      <c r="E360" s="7" t="s">
        <v>13512</v>
      </c>
      <c r="F360" s="7" t="s">
        <v>13513</v>
      </c>
      <c r="G360" s="7" t="s">
        <v>2837</v>
      </c>
      <c r="H360" s="7" t="s">
        <v>37</v>
      </c>
      <c r="I360" s="7" t="s">
        <v>13485</v>
      </c>
      <c r="J360" s="7" t="s">
        <v>13445</v>
      </c>
      <c r="K360" s="7" t="s">
        <v>13486</v>
      </c>
      <c r="L360" s="12">
        <v>1</v>
      </c>
      <c r="M360" s="7" t="s">
        <v>13394</v>
      </c>
    </row>
    <row r="361" spans="2:13" ht="37.5" customHeight="1" x14ac:dyDescent="0.35">
      <c r="B361" s="11">
        <v>23</v>
      </c>
      <c r="C361" s="5" t="s">
        <v>13389</v>
      </c>
      <c r="D361" s="11">
        <v>50</v>
      </c>
      <c r="E361" s="5" t="s">
        <v>13514</v>
      </c>
      <c r="F361" s="5" t="s">
        <v>13515</v>
      </c>
      <c r="G361" s="5" t="s">
        <v>249</v>
      </c>
      <c r="H361" s="5" t="s">
        <v>37</v>
      </c>
      <c r="I361" s="5" t="s">
        <v>13485</v>
      </c>
      <c r="J361" s="5" t="s">
        <v>13445</v>
      </c>
      <c r="K361" s="5" t="s">
        <v>13486</v>
      </c>
      <c r="L361" s="11">
        <v>1</v>
      </c>
      <c r="M361" s="5" t="s">
        <v>13394</v>
      </c>
    </row>
    <row r="362" spans="2:13" ht="37.5" customHeight="1" x14ac:dyDescent="0.35">
      <c r="B362" s="12">
        <v>23</v>
      </c>
      <c r="C362" s="7" t="s">
        <v>13389</v>
      </c>
      <c r="D362" s="12">
        <v>51</v>
      </c>
      <c r="E362" s="7" t="s">
        <v>13516</v>
      </c>
      <c r="F362" s="7" t="s">
        <v>13517</v>
      </c>
      <c r="G362" s="7" t="s">
        <v>1161</v>
      </c>
      <c r="H362" s="7" t="s">
        <v>37</v>
      </c>
      <c r="I362" s="7" t="s">
        <v>13485</v>
      </c>
      <c r="J362" s="7" t="s">
        <v>13445</v>
      </c>
      <c r="K362" s="7" t="s">
        <v>13486</v>
      </c>
      <c r="L362" s="12">
        <v>1</v>
      </c>
      <c r="M362" s="7" t="s">
        <v>13394</v>
      </c>
    </row>
    <row r="363" spans="2:13" ht="37.5" customHeight="1" x14ac:dyDescent="0.35">
      <c r="B363" s="11">
        <v>23</v>
      </c>
      <c r="C363" s="5" t="s">
        <v>13389</v>
      </c>
      <c r="D363" s="11">
        <v>52</v>
      </c>
      <c r="E363" s="5" t="s">
        <v>13518</v>
      </c>
      <c r="F363" s="5" t="s">
        <v>13519</v>
      </c>
      <c r="G363" s="5" t="s">
        <v>993</v>
      </c>
      <c r="H363" s="5" t="s">
        <v>37</v>
      </c>
      <c r="I363" s="5" t="s">
        <v>13485</v>
      </c>
      <c r="J363" s="5" t="s">
        <v>13445</v>
      </c>
      <c r="K363" s="5" t="s">
        <v>13486</v>
      </c>
      <c r="L363" s="11">
        <v>1</v>
      </c>
      <c r="M363" s="5" t="s">
        <v>13394</v>
      </c>
    </row>
    <row r="364" spans="2:13" ht="37.5" customHeight="1" x14ac:dyDescent="0.35">
      <c r="B364" s="12">
        <v>23</v>
      </c>
      <c r="C364" s="7" t="s">
        <v>13389</v>
      </c>
      <c r="D364" s="12">
        <v>53</v>
      </c>
      <c r="E364" s="7" t="s">
        <v>13520</v>
      </c>
      <c r="F364" s="7" t="s">
        <v>13521</v>
      </c>
      <c r="G364" s="7" t="s">
        <v>856</v>
      </c>
      <c r="H364" s="7" t="s">
        <v>37</v>
      </c>
      <c r="I364" s="7" t="s">
        <v>13485</v>
      </c>
      <c r="J364" s="7" t="s">
        <v>13445</v>
      </c>
      <c r="K364" s="7" t="s">
        <v>13486</v>
      </c>
      <c r="L364" s="12">
        <v>1</v>
      </c>
      <c r="M364" s="7" t="s">
        <v>13394</v>
      </c>
    </row>
    <row r="365" spans="2:13" ht="37.5" customHeight="1" x14ac:dyDescent="0.35">
      <c r="B365" s="11">
        <v>23</v>
      </c>
      <c r="C365" s="5" t="s">
        <v>13389</v>
      </c>
      <c r="D365" s="11">
        <v>54</v>
      </c>
      <c r="E365" s="5" t="s">
        <v>13522</v>
      </c>
      <c r="F365" s="5" t="s">
        <v>13523</v>
      </c>
      <c r="G365" s="5" t="s">
        <v>4311</v>
      </c>
      <c r="H365" s="5" t="s">
        <v>37</v>
      </c>
      <c r="I365" s="5" t="s">
        <v>13485</v>
      </c>
      <c r="J365" s="5" t="s">
        <v>13445</v>
      </c>
      <c r="K365" s="5" t="s">
        <v>13486</v>
      </c>
      <c r="L365" s="11">
        <v>1</v>
      </c>
      <c r="M365" s="5" t="s">
        <v>13394</v>
      </c>
    </row>
    <row r="366" spans="2:13" ht="37.5" customHeight="1" x14ac:dyDescent="0.35">
      <c r="B366" s="12">
        <v>23</v>
      </c>
      <c r="C366" s="7" t="s">
        <v>13389</v>
      </c>
      <c r="D366" s="12">
        <v>55</v>
      </c>
      <c r="E366" s="7" t="s">
        <v>13524</v>
      </c>
      <c r="F366" s="7" t="s">
        <v>13525</v>
      </c>
      <c r="G366" s="7" t="s">
        <v>788</v>
      </c>
      <c r="H366" s="7" t="s">
        <v>37</v>
      </c>
      <c r="I366" s="7" t="s">
        <v>13485</v>
      </c>
      <c r="J366" s="7" t="s">
        <v>13445</v>
      </c>
      <c r="K366" s="7" t="s">
        <v>13486</v>
      </c>
      <c r="L366" s="12">
        <v>1</v>
      </c>
      <c r="M366" s="7" t="s">
        <v>13394</v>
      </c>
    </row>
    <row r="367" spans="2:13" ht="37.5" customHeight="1" x14ac:dyDescent="0.35">
      <c r="B367" s="11">
        <v>23</v>
      </c>
      <c r="C367" s="5" t="s">
        <v>13389</v>
      </c>
      <c r="D367" s="11">
        <v>56</v>
      </c>
      <c r="E367" s="5" t="s">
        <v>13526</v>
      </c>
      <c r="F367" s="5" t="s">
        <v>13527</v>
      </c>
      <c r="G367" s="5" t="s">
        <v>1196</v>
      </c>
      <c r="H367" s="5" t="s">
        <v>37</v>
      </c>
      <c r="I367" s="5" t="s">
        <v>13485</v>
      </c>
      <c r="J367" s="5" t="s">
        <v>13445</v>
      </c>
      <c r="K367" s="5" t="s">
        <v>13486</v>
      </c>
      <c r="L367" s="11">
        <v>1</v>
      </c>
      <c r="M367" s="5" t="s">
        <v>13394</v>
      </c>
    </row>
    <row r="368" spans="2:13" ht="37.5" customHeight="1" x14ac:dyDescent="0.35">
      <c r="B368" s="12">
        <v>23</v>
      </c>
      <c r="C368" s="7" t="s">
        <v>13389</v>
      </c>
      <c r="D368" s="12">
        <v>57</v>
      </c>
      <c r="E368" s="7" t="s">
        <v>13528</v>
      </c>
      <c r="F368" s="7" t="s">
        <v>13529</v>
      </c>
      <c r="G368" s="7" t="s">
        <v>1214</v>
      </c>
      <c r="H368" s="7" t="s">
        <v>37</v>
      </c>
      <c r="I368" s="7" t="s">
        <v>13485</v>
      </c>
      <c r="J368" s="7" t="s">
        <v>13445</v>
      </c>
      <c r="K368" s="7" t="s">
        <v>13486</v>
      </c>
      <c r="L368" s="12">
        <v>1</v>
      </c>
      <c r="M368" s="7" t="s">
        <v>13394</v>
      </c>
    </row>
    <row r="369" spans="2:13" ht="37.5" customHeight="1" x14ac:dyDescent="0.35">
      <c r="B369" s="11">
        <v>23</v>
      </c>
      <c r="C369" s="5" t="s">
        <v>13389</v>
      </c>
      <c r="D369" s="11">
        <v>58</v>
      </c>
      <c r="E369" s="5" t="s">
        <v>13530</v>
      </c>
      <c r="F369" s="5" t="s">
        <v>13531</v>
      </c>
      <c r="G369" s="5" t="s">
        <v>13532</v>
      </c>
      <c r="H369" s="5" t="s">
        <v>37</v>
      </c>
      <c r="I369" s="5" t="s">
        <v>13485</v>
      </c>
      <c r="J369" s="5" t="s">
        <v>13445</v>
      </c>
      <c r="K369" s="5" t="s">
        <v>13486</v>
      </c>
      <c r="L369" s="11">
        <v>1</v>
      </c>
      <c r="M369" s="5" t="s">
        <v>13394</v>
      </c>
    </row>
    <row r="370" spans="2:13" ht="37.5" customHeight="1" x14ac:dyDescent="0.35">
      <c r="B370" s="12">
        <v>23</v>
      </c>
      <c r="C370" s="7" t="s">
        <v>13389</v>
      </c>
      <c r="D370" s="12">
        <v>59</v>
      </c>
      <c r="E370" s="7" t="s">
        <v>13533</v>
      </c>
      <c r="F370" s="7" t="s">
        <v>13534</v>
      </c>
      <c r="G370" s="7" t="s">
        <v>358</v>
      </c>
      <c r="H370" s="7" t="s">
        <v>37</v>
      </c>
      <c r="I370" s="7" t="s">
        <v>13485</v>
      </c>
      <c r="J370" s="7" t="s">
        <v>2857</v>
      </c>
      <c r="K370" s="7" t="s">
        <v>13535</v>
      </c>
      <c r="L370" s="12">
        <v>1</v>
      </c>
      <c r="M370" s="7" t="s">
        <v>13394</v>
      </c>
    </row>
    <row r="371" spans="2:13" ht="37.5" customHeight="1" x14ac:dyDescent="0.35">
      <c r="B371" s="11">
        <v>23</v>
      </c>
      <c r="C371" s="5" t="s">
        <v>13389</v>
      </c>
      <c r="D371" s="11">
        <v>60</v>
      </c>
      <c r="E371" s="5" t="s">
        <v>13536</v>
      </c>
      <c r="F371" s="5" t="s">
        <v>13534</v>
      </c>
      <c r="G371" s="5" t="s">
        <v>3283</v>
      </c>
      <c r="H371" s="5" t="s">
        <v>37</v>
      </c>
      <c r="I371" s="5" t="s">
        <v>13485</v>
      </c>
      <c r="J371" s="5" t="s">
        <v>2857</v>
      </c>
      <c r="K371" s="5" t="s">
        <v>13535</v>
      </c>
      <c r="L371" s="11">
        <v>1</v>
      </c>
      <c r="M371" s="5" t="s">
        <v>13394</v>
      </c>
    </row>
    <row r="372" spans="2:13" ht="52.5" customHeight="1" x14ac:dyDescent="0.35">
      <c r="B372" s="12">
        <v>23</v>
      </c>
      <c r="C372" s="7" t="s">
        <v>13389</v>
      </c>
      <c r="D372" s="12">
        <v>61</v>
      </c>
      <c r="E372" s="7" t="s">
        <v>13537</v>
      </c>
      <c r="F372" s="7" t="s">
        <v>13538</v>
      </c>
      <c r="G372" s="7" t="s">
        <v>497</v>
      </c>
      <c r="H372" s="7" t="s">
        <v>37</v>
      </c>
      <c r="I372" s="7" t="s">
        <v>13539</v>
      </c>
      <c r="J372" s="7" t="s">
        <v>8704</v>
      </c>
      <c r="K372" s="7" t="s">
        <v>13540</v>
      </c>
      <c r="L372" s="12">
        <v>1</v>
      </c>
      <c r="M372" s="7" t="s">
        <v>13394</v>
      </c>
    </row>
    <row r="373" spans="2:13" ht="37.5" customHeight="1" x14ac:dyDescent="0.35">
      <c r="B373" s="11">
        <v>23</v>
      </c>
      <c r="C373" s="5" t="s">
        <v>13389</v>
      </c>
      <c r="D373" s="11">
        <v>62</v>
      </c>
      <c r="E373" s="5" t="s">
        <v>13541</v>
      </c>
      <c r="F373" s="5" t="s">
        <v>13542</v>
      </c>
      <c r="G373" s="5" t="s">
        <v>244</v>
      </c>
      <c r="H373" s="5" t="s">
        <v>37</v>
      </c>
      <c r="I373" s="5" t="s">
        <v>13485</v>
      </c>
      <c r="J373" s="5" t="s">
        <v>13445</v>
      </c>
      <c r="K373" s="5" t="s">
        <v>13486</v>
      </c>
      <c r="L373" s="11">
        <v>1</v>
      </c>
      <c r="M373" s="5" t="s">
        <v>13394</v>
      </c>
    </row>
    <row r="374" spans="2:13" ht="37.5" customHeight="1" x14ac:dyDescent="0.35">
      <c r="B374" s="12">
        <v>23</v>
      </c>
      <c r="C374" s="7" t="s">
        <v>13389</v>
      </c>
      <c r="D374" s="12">
        <v>63</v>
      </c>
      <c r="E374" s="7" t="s">
        <v>13543</v>
      </c>
      <c r="F374" s="7" t="s">
        <v>13544</v>
      </c>
      <c r="G374" s="7" t="s">
        <v>32</v>
      </c>
      <c r="H374" s="7" t="s">
        <v>1426</v>
      </c>
      <c r="I374" s="7" t="s">
        <v>13545</v>
      </c>
      <c r="J374" s="7" t="s">
        <v>13546</v>
      </c>
      <c r="K374" s="7" t="s">
        <v>13547</v>
      </c>
      <c r="L374" s="12">
        <v>1</v>
      </c>
      <c r="M374" s="7" t="s">
        <v>13394</v>
      </c>
    </row>
    <row r="375" spans="2:13" ht="37.5" customHeight="1" x14ac:dyDescent="0.35">
      <c r="B375" s="11">
        <v>23</v>
      </c>
      <c r="C375" s="5" t="s">
        <v>13389</v>
      </c>
      <c r="D375" s="11">
        <v>64</v>
      </c>
      <c r="E375" s="5" t="s">
        <v>13548</v>
      </c>
      <c r="F375" s="5" t="s">
        <v>13549</v>
      </c>
      <c r="G375" s="5" t="s">
        <v>3283</v>
      </c>
      <c r="H375" s="5" t="s">
        <v>37</v>
      </c>
      <c r="I375" s="5" t="s">
        <v>13485</v>
      </c>
      <c r="J375" s="5" t="s">
        <v>13445</v>
      </c>
      <c r="K375" s="5" t="s">
        <v>13486</v>
      </c>
      <c r="L375" s="11">
        <v>1</v>
      </c>
      <c r="M375" s="5" t="s">
        <v>13394</v>
      </c>
    </row>
    <row r="376" spans="2:13" ht="37.5" customHeight="1" x14ac:dyDescent="0.35">
      <c r="B376" s="12">
        <v>23</v>
      </c>
      <c r="C376" s="7" t="s">
        <v>13389</v>
      </c>
      <c r="D376" s="12">
        <v>65</v>
      </c>
      <c r="E376" s="7" t="s">
        <v>13550</v>
      </c>
      <c r="F376" s="7" t="s">
        <v>13551</v>
      </c>
      <c r="G376" s="7" t="s">
        <v>285</v>
      </c>
      <c r="H376" s="7" t="s">
        <v>37</v>
      </c>
      <c r="I376" s="7" t="s">
        <v>13485</v>
      </c>
      <c r="J376" s="7" t="s">
        <v>12351</v>
      </c>
      <c r="K376" s="7" t="s">
        <v>13552</v>
      </c>
      <c r="L376" s="12">
        <v>1</v>
      </c>
      <c r="M376" s="7" t="s">
        <v>13394</v>
      </c>
    </row>
    <row r="377" spans="2:13" ht="37.5" customHeight="1" x14ac:dyDescent="0.35">
      <c r="B377" s="11">
        <v>23</v>
      </c>
      <c r="C377" s="5" t="s">
        <v>13389</v>
      </c>
      <c r="D377" s="11">
        <v>66</v>
      </c>
      <c r="E377" s="5" t="s">
        <v>13553</v>
      </c>
      <c r="F377" s="5" t="s">
        <v>13554</v>
      </c>
      <c r="G377" s="5" t="s">
        <v>1803</v>
      </c>
      <c r="H377" s="5" t="s">
        <v>37</v>
      </c>
      <c r="I377" s="5" t="s">
        <v>13485</v>
      </c>
      <c r="J377" s="5" t="s">
        <v>12351</v>
      </c>
      <c r="K377" s="5" t="s">
        <v>13552</v>
      </c>
      <c r="L377" s="11">
        <v>1</v>
      </c>
      <c r="M377" s="5" t="s">
        <v>13394</v>
      </c>
    </row>
    <row r="378" spans="2:13" ht="37.5" customHeight="1" x14ac:dyDescent="0.35">
      <c r="B378" s="12">
        <v>23</v>
      </c>
      <c r="C378" s="7" t="s">
        <v>13389</v>
      </c>
      <c r="D378" s="12">
        <v>67</v>
      </c>
      <c r="E378" s="7" t="s">
        <v>13555</v>
      </c>
      <c r="F378" s="7" t="s">
        <v>13556</v>
      </c>
      <c r="G378" s="7" t="s">
        <v>1961</v>
      </c>
      <c r="H378" s="7" t="s">
        <v>37</v>
      </c>
      <c r="I378" s="7" t="s">
        <v>13485</v>
      </c>
      <c r="J378" s="7" t="s">
        <v>12351</v>
      </c>
      <c r="K378" s="7" t="s">
        <v>13552</v>
      </c>
      <c r="L378" s="12">
        <v>1</v>
      </c>
      <c r="M378" s="7" t="s">
        <v>13394</v>
      </c>
    </row>
    <row r="379" spans="2:13" ht="37.5" customHeight="1" x14ac:dyDescent="0.35">
      <c r="B379" s="11">
        <v>23</v>
      </c>
      <c r="C379" s="5" t="s">
        <v>13389</v>
      </c>
      <c r="D379" s="11">
        <v>68</v>
      </c>
      <c r="E379" s="5" t="s">
        <v>13557</v>
      </c>
      <c r="F379" s="5" t="s">
        <v>13558</v>
      </c>
      <c r="G379" s="5" t="s">
        <v>862</v>
      </c>
      <c r="H379" s="5" t="s">
        <v>37</v>
      </c>
      <c r="I379" s="5" t="s">
        <v>13485</v>
      </c>
      <c r="J379" s="5" t="s">
        <v>12351</v>
      </c>
      <c r="K379" s="5" t="s">
        <v>13552</v>
      </c>
      <c r="L379" s="11">
        <v>1</v>
      </c>
      <c r="M379" s="5" t="s">
        <v>13394</v>
      </c>
    </row>
    <row r="380" spans="2:13" ht="37.5" customHeight="1" x14ac:dyDescent="0.35">
      <c r="B380" s="12">
        <v>23</v>
      </c>
      <c r="C380" s="7" t="s">
        <v>13389</v>
      </c>
      <c r="D380" s="12">
        <v>69</v>
      </c>
      <c r="E380" s="7" t="s">
        <v>13559</v>
      </c>
      <c r="F380" s="7" t="s">
        <v>13560</v>
      </c>
      <c r="G380" s="7" t="s">
        <v>900</v>
      </c>
      <c r="H380" s="7" t="s">
        <v>37</v>
      </c>
      <c r="I380" s="7" t="s">
        <v>13485</v>
      </c>
      <c r="J380" s="7" t="s">
        <v>12351</v>
      </c>
      <c r="K380" s="7" t="s">
        <v>13552</v>
      </c>
      <c r="L380" s="12">
        <v>1</v>
      </c>
      <c r="M380" s="7" t="s">
        <v>13394</v>
      </c>
    </row>
    <row r="381" spans="2:13" ht="37.5" customHeight="1" x14ac:dyDescent="0.35">
      <c r="B381" s="11">
        <v>23</v>
      </c>
      <c r="C381" s="5" t="s">
        <v>13389</v>
      </c>
      <c r="D381" s="11">
        <v>70</v>
      </c>
      <c r="E381" s="5" t="s">
        <v>13561</v>
      </c>
      <c r="F381" s="5" t="s">
        <v>13562</v>
      </c>
      <c r="G381" s="5" t="s">
        <v>13563</v>
      </c>
      <c r="H381" s="5" t="s">
        <v>37</v>
      </c>
      <c r="I381" s="5" t="s">
        <v>13485</v>
      </c>
      <c r="J381" s="5" t="s">
        <v>12351</v>
      </c>
      <c r="K381" s="5" t="s">
        <v>13552</v>
      </c>
      <c r="L381" s="11">
        <v>1</v>
      </c>
      <c r="M381" s="5" t="s">
        <v>13394</v>
      </c>
    </row>
    <row r="382" spans="2:13" ht="37.5" customHeight="1" x14ac:dyDescent="0.35">
      <c r="B382" s="12">
        <v>23</v>
      </c>
      <c r="C382" s="7" t="s">
        <v>13389</v>
      </c>
      <c r="D382" s="12">
        <v>71</v>
      </c>
      <c r="E382" s="7" t="s">
        <v>13564</v>
      </c>
      <c r="F382" s="7" t="s">
        <v>13565</v>
      </c>
      <c r="G382" s="7" t="s">
        <v>26</v>
      </c>
      <c r="H382" s="7" t="s">
        <v>37</v>
      </c>
      <c r="I382" s="7" t="s">
        <v>13485</v>
      </c>
      <c r="J382" s="7" t="s">
        <v>12351</v>
      </c>
      <c r="K382" s="7" t="s">
        <v>13552</v>
      </c>
      <c r="L382" s="12">
        <v>1</v>
      </c>
      <c r="M382" s="7" t="s">
        <v>13394</v>
      </c>
    </row>
    <row r="383" spans="2:13" ht="37.5" customHeight="1" x14ac:dyDescent="0.35">
      <c r="B383" s="11">
        <v>23</v>
      </c>
      <c r="C383" s="5" t="s">
        <v>13389</v>
      </c>
      <c r="D383" s="11">
        <v>72</v>
      </c>
      <c r="E383" s="5" t="s">
        <v>13566</v>
      </c>
      <c r="F383" s="5" t="s">
        <v>13567</v>
      </c>
      <c r="G383" s="5" t="s">
        <v>625</v>
      </c>
      <c r="H383" s="5" t="s">
        <v>37</v>
      </c>
      <c r="I383" s="5" t="s">
        <v>13485</v>
      </c>
      <c r="J383" s="5" t="s">
        <v>13445</v>
      </c>
      <c r="K383" s="5" t="s">
        <v>13486</v>
      </c>
      <c r="L383" s="11">
        <v>1</v>
      </c>
      <c r="M383" s="5" t="s">
        <v>13394</v>
      </c>
    </row>
    <row r="384" spans="2:13" ht="37.5" customHeight="1" x14ac:dyDescent="0.35">
      <c r="B384" s="12">
        <v>24</v>
      </c>
      <c r="C384" s="7" t="s">
        <v>13568</v>
      </c>
      <c r="D384" s="12">
        <v>1</v>
      </c>
      <c r="E384" s="7" t="s">
        <v>13569</v>
      </c>
      <c r="F384" s="7" t="s">
        <v>13570</v>
      </c>
      <c r="G384" s="7" t="s">
        <v>168</v>
      </c>
      <c r="H384" s="7" t="s">
        <v>37</v>
      </c>
      <c r="I384" s="7" t="s">
        <v>12840</v>
      </c>
      <c r="J384" s="7" t="s">
        <v>13445</v>
      </c>
      <c r="K384" s="7" t="s">
        <v>13571</v>
      </c>
      <c r="L384" s="12">
        <v>1</v>
      </c>
      <c r="M384" s="7" t="s">
        <v>13394</v>
      </c>
    </row>
    <row r="385" spans="2:13" ht="37.5" customHeight="1" x14ac:dyDescent="0.35">
      <c r="B385" s="11">
        <v>24</v>
      </c>
      <c r="C385" s="5" t="s">
        <v>13568</v>
      </c>
      <c r="D385" s="11">
        <v>2</v>
      </c>
      <c r="E385" s="5" t="s">
        <v>13572</v>
      </c>
      <c r="F385" s="5" t="s">
        <v>13573</v>
      </c>
      <c r="G385" s="5" t="s">
        <v>648</v>
      </c>
      <c r="H385" s="5" t="s">
        <v>37</v>
      </c>
      <c r="I385" s="5" t="s">
        <v>13574</v>
      </c>
      <c r="J385" s="5" t="s">
        <v>13445</v>
      </c>
      <c r="K385" s="5" t="s">
        <v>13575</v>
      </c>
      <c r="L385" s="11">
        <v>1</v>
      </c>
      <c r="M385" s="5" t="s">
        <v>13394</v>
      </c>
    </row>
    <row r="386" spans="2:13" ht="37.5" customHeight="1" x14ac:dyDescent="0.35">
      <c r="B386" s="12">
        <v>25</v>
      </c>
      <c r="C386" s="7" t="s">
        <v>13576</v>
      </c>
      <c r="D386" s="12">
        <v>1</v>
      </c>
      <c r="E386" s="7" t="s">
        <v>13577</v>
      </c>
      <c r="F386" s="7" t="s">
        <v>13578</v>
      </c>
      <c r="G386" s="7" t="s">
        <v>2341</v>
      </c>
      <c r="H386" s="7" t="s">
        <v>37</v>
      </c>
      <c r="I386" s="7" t="s">
        <v>13579</v>
      </c>
      <c r="J386" s="7" t="s">
        <v>11467</v>
      </c>
      <c r="K386" s="7" t="s">
        <v>13580</v>
      </c>
      <c r="L386" s="12">
        <v>1</v>
      </c>
      <c r="M386" s="7" t="s">
        <v>13394</v>
      </c>
    </row>
    <row r="387" spans="2:13" ht="37.5" customHeight="1" x14ac:dyDescent="0.35">
      <c r="B387" s="11">
        <v>25</v>
      </c>
      <c r="C387" s="5" t="s">
        <v>13576</v>
      </c>
      <c r="D387" s="11">
        <v>2</v>
      </c>
      <c r="E387" s="5" t="s">
        <v>13581</v>
      </c>
      <c r="F387" s="5" t="s">
        <v>13582</v>
      </c>
      <c r="G387" s="5" t="s">
        <v>761</v>
      </c>
      <c r="H387" s="5" t="s">
        <v>37</v>
      </c>
      <c r="I387" s="5" t="s">
        <v>13485</v>
      </c>
      <c r="J387" s="5" t="s">
        <v>11467</v>
      </c>
      <c r="K387" s="5" t="s">
        <v>13583</v>
      </c>
      <c r="L387" s="11">
        <v>1</v>
      </c>
      <c r="M387" s="5" t="s">
        <v>13394</v>
      </c>
    </row>
    <row r="388" spans="2:13" ht="37.5" customHeight="1" x14ac:dyDescent="0.35">
      <c r="B388" s="12">
        <v>25</v>
      </c>
      <c r="C388" s="7" t="s">
        <v>13576</v>
      </c>
      <c r="D388" s="12">
        <v>3</v>
      </c>
      <c r="E388" s="7" t="s">
        <v>13584</v>
      </c>
      <c r="F388" s="7" t="s">
        <v>13585</v>
      </c>
      <c r="G388" s="7" t="s">
        <v>1127</v>
      </c>
      <c r="H388" s="7" t="s">
        <v>37</v>
      </c>
      <c r="I388" s="7" t="s">
        <v>13485</v>
      </c>
      <c r="J388" s="7" t="s">
        <v>11467</v>
      </c>
      <c r="K388" s="7" t="s">
        <v>13583</v>
      </c>
      <c r="L388" s="12">
        <v>1</v>
      </c>
      <c r="M388" s="7" t="s">
        <v>13394</v>
      </c>
    </row>
    <row r="389" spans="2:13" ht="37.5" customHeight="1" x14ac:dyDescent="0.35">
      <c r="B389" s="11">
        <v>25</v>
      </c>
      <c r="C389" s="5" t="s">
        <v>13576</v>
      </c>
      <c r="D389" s="11">
        <v>4</v>
      </c>
      <c r="E389" s="5" t="s">
        <v>13586</v>
      </c>
      <c r="F389" s="5" t="s">
        <v>13587</v>
      </c>
      <c r="G389" s="5" t="s">
        <v>1045</v>
      </c>
      <c r="H389" s="5" t="s">
        <v>37</v>
      </c>
      <c r="I389" s="5" t="s">
        <v>13485</v>
      </c>
      <c r="J389" s="5" t="s">
        <v>11467</v>
      </c>
      <c r="K389" s="5" t="s">
        <v>13583</v>
      </c>
      <c r="L389" s="11">
        <v>1</v>
      </c>
      <c r="M389" s="5" t="s">
        <v>13394</v>
      </c>
    </row>
    <row r="390" spans="2:13" ht="37.5" customHeight="1" x14ac:dyDescent="0.35">
      <c r="B390" s="12">
        <v>25</v>
      </c>
      <c r="C390" s="7" t="s">
        <v>13576</v>
      </c>
      <c r="D390" s="12">
        <v>5</v>
      </c>
      <c r="E390" s="7" t="s">
        <v>13588</v>
      </c>
      <c r="F390" s="7" t="s">
        <v>13589</v>
      </c>
      <c r="G390" s="7" t="s">
        <v>2254</v>
      </c>
      <c r="H390" s="7" t="s">
        <v>37</v>
      </c>
      <c r="I390" s="7" t="s">
        <v>13485</v>
      </c>
      <c r="J390" s="7" t="s">
        <v>11467</v>
      </c>
      <c r="K390" s="7" t="s">
        <v>13583</v>
      </c>
      <c r="L390" s="12">
        <v>1</v>
      </c>
      <c r="M390" s="7" t="s">
        <v>13394</v>
      </c>
    </row>
    <row r="391" spans="2:13" ht="37.5" customHeight="1" x14ac:dyDescent="0.35">
      <c r="B391" s="11">
        <v>25</v>
      </c>
      <c r="C391" s="5" t="s">
        <v>13576</v>
      </c>
      <c r="D391" s="11">
        <v>6</v>
      </c>
      <c r="E391" s="5" t="s">
        <v>13590</v>
      </c>
      <c r="F391" s="5" t="s">
        <v>13591</v>
      </c>
      <c r="G391" s="5" t="s">
        <v>552</v>
      </c>
      <c r="H391" s="5" t="s">
        <v>37</v>
      </c>
      <c r="I391" s="5" t="s">
        <v>13485</v>
      </c>
      <c r="J391" s="5" t="s">
        <v>11467</v>
      </c>
      <c r="K391" s="5" t="s">
        <v>13583</v>
      </c>
      <c r="L391" s="11">
        <v>1</v>
      </c>
      <c r="M391" s="5" t="s">
        <v>13394</v>
      </c>
    </row>
    <row r="392" spans="2:13" ht="37.5" customHeight="1" x14ac:dyDescent="0.35">
      <c r="B392" s="12">
        <v>25</v>
      </c>
      <c r="C392" s="7" t="s">
        <v>13576</v>
      </c>
      <c r="D392" s="12">
        <v>7</v>
      </c>
      <c r="E392" s="7" t="s">
        <v>13592</v>
      </c>
      <c r="F392" s="7" t="s">
        <v>13593</v>
      </c>
      <c r="G392" s="7" t="s">
        <v>1172</v>
      </c>
      <c r="H392" s="7" t="s">
        <v>37</v>
      </c>
      <c r="I392" s="7" t="s">
        <v>13485</v>
      </c>
      <c r="J392" s="7" t="s">
        <v>11467</v>
      </c>
      <c r="K392" s="7" t="s">
        <v>13583</v>
      </c>
      <c r="L392" s="12">
        <v>1</v>
      </c>
      <c r="M392" s="7" t="s">
        <v>13394</v>
      </c>
    </row>
    <row r="393" spans="2:13" ht="37.5" customHeight="1" x14ac:dyDescent="0.35">
      <c r="B393" s="11">
        <v>25</v>
      </c>
      <c r="C393" s="5" t="s">
        <v>13576</v>
      </c>
      <c r="D393" s="11">
        <v>8</v>
      </c>
      <c r="E393" s="5" t="s">
        <v>13594</v>
      </c>
      <c r="F393" s="5" t="s">
        <v>13595</v>
      </c>
      <c r="G393" s="5" t="s">
        <v>282</v>
      </c>
      <c r="H393" s="5" t="s">
        <v>37</v>
      </c>
      <c r="I393" s="5" t="s">
        <v>13485</v>
      </c>
      <c r="J393" s="5" t="s">
        <v>11467</v>
      </c>
      <c r="K393" s="5" t="s">
        <v>13583</v>
      </c>
      <c r="L393" s="11">
        <v>1</v>
      </c>
      <c r="M393" s="5" t="s">
        <v>13394</v>
      </c>
    </row>
    <row r="394" spans="2:13" ht="37.5" customHeight="1" x14ac:dyDescent="0.35">
      <c r="B394" s="12">
        <v>25</v>
      </c>
      <c r="C394" s="7" t="s">
        <v>13576</v>
      </c>
      <c r="D394" s="12">
        <v>9</v>
      </c>
      <c r="E394" s="7" t="s">
        <v>13596</v>
      </c>
      <c r="F394" s="7" t="s">
        <v>13597</v>
      </c>
      <c r="G394" s="7" t="s">
        <v>33</v>
      </c>
      <c r="H394" s="7" t="s">
        <v>37</v>
      </c>
      <c r="I394" s="7" t="s">
        <v>13485</v>
      </c>
      <c r="J394" s="7" t="s">
        <v>11467</v>
      </c>
      <c r="K394" s="7" t="s">
        <v>13583</v>
      </c>
      <c r="L394" s="12">
        <v>1</v>
      </c>
      <c r="M394" s="7" t="s">
        <v>13394</v>
      </c>
    </row>
    <row r="395" spans="2:13" ht="37.5" customHeight="1" x14ac:dyDescent="0.35">
      <c r="B395" s="11">
        <v>25</v>
      </c>
      <c r="C395" s="5" t="s">
        <v>13576</v>
      </c>
      <c r="D395" s="11">
        <v>10</v>
      </c>
      <c r="E395" s="5" t="s">
        <v>13598</v>
      </c>
      <c r="F395" s="5" t="s">
        <v>13599</v>
      </c>
      <c r="G395" s="5" t="s">
        <v>698</v>
      </c>
      <c r="H395" s="5" t="s">
        <v>37</v>
      </c>
      <c r="I395" s="5" t="s">
        <v>13485</v>
      </c>
      <c r="J395" s="5" t="s">
        <v>11467</v>
      </c>
      <c r="K395" s="5" t="s">
        <v>13583</v>
      </c>
      <c r="L395" s="11">
        <v>1</v>
      </c>
      <c r="M395" s="5" t="s">
        <v>13394</v>
      </c>
    </row>
    <row r="396" spans="2:13" ht="37.5" customHeight="1" x14ac:dyDescent="0.35">
      <c r="B396" s="12">
        <v>25</v>
      </c>
      <c r="C396" s="7" t="s">
        <v>13576</v>
      </c>
      <c r="D396" s="12">
        <v>11</v>
      </c>
      <c r="E396" s="7" t="s">
        <v>13600</v>
      </c>
      <c r="F396" s="7" t="s">
        <v>13601</v>
      </c>
      <c r="G396" s="7" t="s">
        <v>212</v>
      </c>
      <c r="H396" s="7" t="s">
        <v>37</v>
      </c>
      <c r="I396" s="7" t="s">
        <v>13485</v>
      </c>
      <c r="J396" s="7" t="s">
        <v>11467</v>
      </c>
      <c r="K396" s="7" t="s">
        <v>13583</v>
      </c>
      <c r="L396" s="12">
        <v>1</v>
      </c>
      <c r="M396" s="7" t="s">
        <v>13394</v>
      </c>
    </row>
    <row r="397" spans="2:13" ht="67.5" customHeight="1" x14ac:dyDescent="0.35">
      <c r="B397" s="11">
        <v>25</v>
      </c>
      <c r="C397" s="5" t="s">
        <v>13576</v>
      </c>
      <c r="D397" s="11">
        <v>12</v>
      </c>
      <c r="E397" s="5" t="s">
        <v>13602</v>
      </c>
      <c r="F397" s="5" t="s">
        <v>13603</v>
      </c>
      <c r="G397" s="5" t="s">
        <v>32</v>
      </c>
      <c r="H397" s="5" t="s">
        <v>1426</v>
      </c>
      <c r="I397" s="5" t="s">
        <v>13604</v>
      </c>
      <c r="J397" s="5" t="s">
        <v>13605</v>
      </c>
      <c r="K397" s="5" t="s">
        <v>13606</v>
      </c>
      <c r="L397" s="11">
        <v>1</v>
      </c>
      <c r="M397" s="5" t="s">
        <v>13394</v>
      </c>
    </row>
    <row r="398" spans="2:13" ht="37.5" customHeight="1" x14ac:dyDescent="0.35">
      <c r="B398" s="12">
        <v>25</v>
      </c>
      <c r="C398" s="7" t="s">
        <v>13576</v>
      </c>
      <c r="D398" s="12">
        <v>13</v>
      </c>
      <c r="E398" s="7" t="s">
        <v>13607</v>
      </c>
      <c r="F398" s="7" t="s">
        <v>13608</v>
      </c>
      <c r="G398" s="7" t="s">
        <v>1667</v>
      </c>
      <c r="H398" s="7" t="s">
        <v>1426</v>
      </c>
      <c r="I398" s="7" t="s">
        <v>13609</v>
      </c>
      <c r="J398" s="7" t="s">
        <v>13605</v>
      </c>
      <c r="K398" s="7" t="s">
        <v>13610</v>
      </c>
      <c r="L398" s="12">
        <v>1</v>
      </c>
      <c r="M398" s="7" t="s">
        <v>13394</v>
      </c>
    </row>
    <row r="399" spans="2:13" ht="37.5" customHeight="1" x14ac:dyDescent="0.35">
      <c r="B399" s="11">
        <v>25</v>
      </c>
      <c r="C399" s="5" t="s">
        <v>13576</v>
      </c>
      <c r="D399" s="11">
        <v>14</v>
      </c>
      <c r="E399" s="5" t="s">
        <v>13611</v>
      </c>
      <c r="F399" s="5" t="s">
        <v>13612</v>
      </c>
      <c r="G399" s="5" t="s">
        <v>900</v>
      </c>
      <c r="H399" s="5" t="s">
        <v>37</v>
      </c>
      <c r="I399" s="5" t="s">
        <v>13485</v>
      </c>
      <c r="J399" s="5" t="s">
        <v>11467</v>
      </c>
      <c r="K399" s="5" t="s">
        <v>13583</v>
      </c>
      <c r="L399" s="11">
        <v>1</v>
      </c>
      <c r="M399" s="5" t="s">
        <v>13394</v>
      </c>
    </row>
    <row r="400" spans="2:13" ht="37.5" customHeight="1" x14ac:dyDescent="0.35">
      <c r="B400" s="12">
        <v>26</v>
      </c>
      <c r="C400" s="7" t="s">
        <v>13613</v>
      </c>
      <c r="D400" s="12">
        <v>1</v>
      </c>
      <c r="E400" s="7" t="s">
        <v>13614</v>
      </c>
      <c r="F400" s="7" t="s">
        <v>13615</v>
      </c>
      <c r="G400" s="7" t="s">
        <v>168</v>
      </c>
      <c r="H400" s="7" t="s">
        <v>36</v>
      </c>
      <c r="I400" s="7" t="s">
        <v>13616</v>
      </c>
      <c r="J400" s="7" t="s">
        <v>177</v>
      </c>
      <c r="K400" s="7" t="s">
        <v>13617</v>
      </c>
      <c r="L400" s="12">
        <v>1</v>
      </c>
      <c r="M400" s="7" t="s">
        <v>12353</v>
      </c>
    </row>
    <row r="401" spans="2:13" ht="52.5" customHeight="1" x14ac:dyDescent="0.35">
      <c r="B401" s="11">
        <v>26</v>
      </c>
      <c r="C401" s="5" t="s">
        <v>13613</v>
      </c>
      <c r="D401" s="11">
        <v>2</v>
      </c>
      <c r="E401" s="5" t="s">
        <v>13618</v>
      </c>
      <c r="F401" s="5" t="s">
        <v>13619</v>
      </c>
      <c r="G401" s="5" t="s">
        <v>25</v>
      </c>
      <c r="H401" s="5" t="s">
        <v>306</v>
      </c>
      <c r="I401" s="5" t="s">
        <v>13620</v>
      </c>
      <c r="J401" s="5" t="s">
        <v>13621</v>
      </c>
      <c r="K401" s="5" t="s">
        <v>13622</v>
      </c>
      <c r="L401" s="11">
        <v>2</v>
      </c>
      <c r="M401" s="5" t="s">
        <v>12353</v>
      </c>
    </row>
    <row r="402" spans="2:13" ht="67.5" customHeight="1" x14ac:dyDescent="0.35">
      <c r="B402" s="12">
        <v>27</v>
      </c>
      <c r="C402" s="7" t="s">
        <v>13623</v>
      </c>
      <c r="D402" s="12">
        <v>1</v>
      </c>
      <c r="E402" s="7" t="s">
        <v>13624</v>
      </c>
      <c r="F402" s="7" t="s">
        <v>13625</v>
      </c>
      <c r="G402" s="7" t="s">
        <v>1435</v>
      </c>
      <c r="H402" s="7" t="s">
        <v>37</v>
      </c>
      <c r="I402" s="7" t="s">
        <v>13626</v>
      </c>
      <c r="J402" s="7" t="s">
        <v>3284</v>
      </c>
      <c r="K402" s="7" t="s">
        <v>13627</v>
      </c>
      <c r="L402" s="12">
        <v>1</v>
      </c>
      <c r="M402" s="7" t="s">
        <v>13394</v>
      </c>
    </row>
    <row r="403" spans="2:13" ht="67.5" customHeight="1" x14ac:dyDescent="0.35">
      <c r="B403" s="11">
        <v>28</v>
      </c>
      <c r="C403" s="5" t="s">
        <v>13628</v>
      </c>
      <c r="D403" s="11">
        <v>1</v>
      </c>
      <c r="E403" s="5" t="s">
        <v>13629</v>
      </c>
      <c r="F403" s="5" t="s">
        <v>13630</v>
      </c>
      <c r="G403" s="5" t="s">
        <v>29</v>
      </c>
      <c r="H403" s="5" t="s">
        <v>4752</v>
      </c>
      <c r="I403" s="5" t="s">
        <v>13631</v>
      </c>
      <c r="J403" s="5" t="s">
        <v>1107</v>
      </c>
      <c r="K403" s="5" t="s">
        <v>13632</v>
      </c>
      <c r="L403" s="11">
        <v>2</v>
      </c>
      <c r="M403" s="5" t="s">
        <v>13143</v>
      </c>
    </row>
    <row r="404" spans="2:13" ht="37.5" customHeight="1" x14ac:dyDescent="0.35">
      <c r="B404" s="12">
        <v>28</v>
      </c>
      <c r="C404" s="7" t="s">
        <v>13628</v>
      </c>
      <c r="D404" s="12">
        <v>2</v>
      </c>
      <c r="E404" s="7" t="s">
        <v>13633</v>
      </c>
      <c r="F404" s="7" t="s">
        <v>13634</v>
      </c>
      <c r="G404" s="7" t="s">
        <v>595</v>
      </c>
      <c r="H404" s="7" t="s">
        <v>36</v>
      </c>
      <c r="I404" s="7" t="s">
        <v>13635</v>
      </c>
      <c r="J404" s="7" t="s">
        <v>1107</v>
      </c>
      <c r="K404" s="7" t="s">
        <v>13636</v>
      </c>
      <c r="L404" s="12">
        <v>1</v>
      </c>
      <c r="M404" s="7" t="s">
        <v>13143</v>
      </c>
    </row>
    <row r="405" spans="2:13" ht="127.5" customHeight="1" x14ac:dyDescent="0.35">
      <c r="B405" s="11">
        <v>29</v>
      </c>
      <c r="C405" s="5" t="s">
        <v>13637</v>
      </c>
      <c r="D405" s="11">
        <v>1</v>
      </c>
      <c r="E405" s="5" t="s">
        <v>13638</v>
      </c>
      <c r="F405" s="5" t="s">
        <v>13639</v>
      </c>
      <c r="G405" s="5" t="s">
        <v>29</v>
      </c>
      <c r="H405" s="5" t="s">
        <v>13640</v>
      </c>
      <c r="I405" s="5" t="s">
        <v>13641</v>
      </c>
      <c r="J405" s="5" t="s">
        <v>13642</v>
      </c>
      <c r="K405" s="5" t="s">
        <v>13643</v>
      </c>
      <c r="L405" s="11">
        <v>3</v>
      </c>
      <c r="M405" s="5" t="s">
        <v>13644</v>
      </c>
    </row>
    <row r="406" spans="2:13" ht="67.5" customHeight="1" x14ac:dyDescent="0.35">
      <c r="B406" s="12">
        <v>29</v>
      </c>
      <c r="C406" s="7" t="s">
        <v>13637</v>
      </c>
      <c r="D406" s="12">
        <v>2</v>
      </c>
      <c r="E406" s="7" t="s">
        <v>13645</v>
      </c>
      <c r="F406" s="7" t="s">
        <v>13646</v>
      </c>
      <c r="G406" s="7" t="s">
        <v>472</v>
      </c>
      <c r="H406" s="7" t="s">
        <v>13647</v>
      </c>
      <c r="I406" s="7" t="s">
        <v>13648</v>
      </c>
      <c r="J406" s="7" t="s">
        <v>13649</v>
      </c>
      <c r="K406" s="7" t="s">
        <v>13650</v>
      </c>
      <c r="L406" s="12">
        <v>2</v>
      </c>
      <c r="M406" s="7" t="s">
        <v>13644</v>
      </c>
    </row>
    <row r="407" spans="2:13" ht="67.5" customHeight="1" x14ac:dyDescent="0.35">
      <c r="B407" s="11">
        <v>29</v>
      </c>
      <c r="C407" s="5" t="s">
        <v>13637</v>
      </c>
      <c r="D407" s="11">
        <v>3</v>
      </c>
      <c r="E407" s="5" t="s">
        <v>13651</v>
      </c>
      <c r="F407" s="5" t="s">
        <v>13652</v>
      </c>
      <c r="G407" s="5" t="s">
        <v>2919</v>
      </c>
      <c r="H407" s="5" t="s">
        <v>38</v>
      </c>
      <c r="I407" s="5" t="s">
        <v>13653</v>
      </c>
      <c r="J407" s="5" t="s">
        <v>13654</v>
      </c>
      <c r="K407" s="5" t="s">
        <v>13655</v>
      </c>
      <c r="L407" s="11">
        <v>1</v>
      </c>
      <c r="M407" s="5" t="s">
        <v>13644</v>
      </c>
    </row>
    <row r="408" spans="2:13" ht="67.5" customHeight="1" x14ac:dyDescent="0.35">
      <c r="B408" s="12">
        <v>29</v>
      </c>
      <c r="C408" s="7" t="s">
        <v>13637</v>
      </c>
      <c r="D408" s="12">
        <v>4</v>
      </c>
      <c r="E408" s="7" t="s">
        <v>13656</v>
      </c>
      <c r="F408" s="7" t="s">
        <v>13657</v>
      </c>
      <c r="G408" s="7" t="s">
        <v>736</v>
      </c>
      <c r="H408" s="7" t="s">
        <v>38</v>
      </c>
      <c r="I408" s="7" t="s">
        <v>13653</v>
      </c>
      <c r="J408" s="7" t="s">
        <v>13658</v>
      </c>
      <c r="K408" s="7" t="s">
        <v>13659</v>
      </c>
      <c r="L408" s="12">
        <v>1</v>
      </c>
      <c r="M408" s="7" t="s">
        <v>13644</v>
      </c>
    </row>
    <row r="409" spans="2:13" ht="52.5" customHeight="1" x14ac:dyDescent="0.35">
      <c r="B409" s="11">
        <v>29</v>
      </c>
      <c r="C409" s="5" t="s">
        <v>13637</v>
      </c>
      <c r="D409" s="11">
        <v>5</v>
      </c>
      <c r="E409" s="5" t="s">
        <v>13660</v>
      </c>
      <c r="F409" s="5" t="s">
        <v>13661</v>
      </c>
      <c r="G409" s="5" t="s">
        <v>733</v>
      </c>
      <c r="H409" s="5" t="s">
        <v>37</v>
      </c>
      <c r="I409" s="5" t="s">
        <v>13662</v>
      </c>
      <c r="J409" s="5" t="s">
        <v>1192</v>
      </c>
      <c r="K409" s="5" t="s">
        <v>13663</v>
      </c>
      <c r="L409" s="11">
        <v>1</v>
      </c>
      <c r="M409" s="5" t="s">
        <v>13644</v>
      </c>
    </row>
    <row r="410" spans="2:13" ht="97.5" customHeight="1" x14ac:dyDescent="0.35">
      <c r="B410" s="12">
        <v>29</v>
      </c>
      <c r="C410" s="7" t="s">
        <v>13637</v>
      </c>
      <c r="D410" s="12">
        <v>6</v>
      </c>
      <c r="E410" s="7" t="s">
        <v>13664</v>
      </c>
      <c r="F410" s="7" t="s">
        <v>13665</v>
      </c>
      <c r="G410" s="7" t="s">
        <v>27</v>
      </c>
      <c r="H410" s="7" t="s">
        <v>13666</v>
      </c>
      <c r="I410" s="7" t="s">
        <v>13667</v>
      </c>
      <c r="J410" s="7" t="s">
        <v>13668</v>
      </c>
      <c r="K410" s="7" t="s">
        <v>13669</v>
      </c>
      <c r="L410" s="12">
        <v>2</v>
      </c>
      <c r="M410" s="7" t="s">
        <v>13644</v>
      </c>
    </row>
    <row r="411" spans="2:13" ht="52.5" customHeight="1" x14ac:dyDescent="0.35">
      <c r="B411" s="11">
        <v>29</v>
      </c>
      <c r="C411" s="5" t="s">
        <v>13637</v>
      </c>
      <c r="D411" s="11">
        <v>7</v>
      </c>
      <c r="E411" s="5" t="s">
        <v>13670</v>
      </c>
      <c r="F411" s="5" t="s">
        <v>13671</v>
      </c>
      <c r="G411" s="5" t="s">
        <v>1667</v>
      </c>
      <c r="H411" s="5" t="s">
        <v>38</v>
      </c>
      <c r="I411" s="5" t="s">
        <v>13672</v>
      </c>
      <c r="J411" s="5" t="s">
        <v>1063</v>
      </c>
      <c r="K411" s="5" t="s">
        <v>13673</v>
      </c>
      <c r="L411" s="11">
        <v>1</v>
      </c>
      <c r="M411" s="5" t="s">
        <v>13644</v>
      </c>
    </row>
    <row r="412" spans="2:13" ht="52.5" customHeight="1" x14ac:dyDescent="0.35">
      <c r="B412" s="12">
        <v>29</v>
      </c>
      <c r="C412" s="7" t="s">
        <v>13637</v>
      </c>
      <c r="D412" s="12">
        <v>8</v>
      </c>
      <c r="E412" s="7" t="s">
        <v>13674</v>
      </c>
      <c r="F412" s="7" t="s">
        <v>13675</v>
      </c>
      <c r="G412" s="7" t="s">
        <v>939</v>
      </c>
      <c r="H412" s="7" t="s">
        <v>1561</v>
      </c>
      <c r="I412" s="7" t="s">
        <v>13676</v>
      </c>
      <c r="J412" s="7" t="s">
        <v>1192</v>
      </c>
      <c r="K412" s="7" t="s">
        <v>13677</v>
      </c>
      <c r="L412" s="12">
        <v>1</v>
      </c>
      <c r="M412" s="7" t="s">
        <v>13644</v>
      </c>
    </row>
    <row r="413" spans="2:13" ht="52.5" customHeight="1" x14ac:dyDescent="0.35">
      <c r="B413" s="11">
        <v>29</v>
      </c>
      <c r="C413" s="5" t="s">
        <v>13637</v>
      </c>
      <c r="D413" s="11">
        <v>9</v>
      </c>
      <c r="E413" s="5" t="s">
        <v>13678</v>
      </c>
      <c r="F413" s="5" t="s">
        <v>13679</v>
      </c>
      <c r="G413" s="5" t="s">
        <v>188</v>
      </c>
      <c r="H413" s="5" t="s">
        <v>13680</v>
      </c>
      <c r="I413" s="5" t="s">
        <v>13681</v>
      </c>
      <c r="J413" s="5" t="s">
        <v>1192</v>
      </c>
      <c r="K413" s="5" t="s">
        <v>13682</v>
      </c>
      <c r="L413" s="11">
        <v>1</v>
      </c>
      <c r="M413" s="5" t="s">
        <v>13644</v>
      </c>
    </row>
    <row r="414" spans="2:13" ht="37.5" customHeight="1" x14ac:dyDescent="0.35">
      <c r="B414" s="12">
        <v>29</v>
      </c>
      <c r="C414" s="7" t="s">
        <v>13637</v>
      </c>
      <c r="D414" s="12">
        <v>10</v>
      </c>
      <c r="E414" s="7" t="s">
        <v>13683</v>
      </c>
      <c r="F414" s="7" t="s">
        <v>13684</v>
      </c>
      <c r="G414" s="7" t="s">
        <v>249</v>
      </c>
      <c r="H414" s="7" t="s">
        <v>37</v>
      </c>
      <c r="I414" s="7" t="s">
        <v>13485</v>
      </c>
      <c r="J414" s="7" t="s">
        <v>1192</v>
      </c>
      <c r="K414" s="7" t="s">
        <v>13685</v>
      </c>
      <c r="L414" s="12">
        <v>1</v>
      </c>
      <c r="M414" s="7" t="s">
        <v>13644</v>
      </c>
    </row>
    <row r="415" spans="2:13" ht="142.5" customHeight="1" x14ac:dyDescent="0.35">
      <c r="B415" s="11">
        <v>30</v>
      </c>
      <c r="C415" s="5" t="s">
        <v>13686</v>
      </c>
      <c r="D415" s="11">
        <v>1</v>
      </c>
      <c r="E415" s="5" t="s">
        <v>13687</v>
      </c>
      <c r="F415" s="5" t="s">
        <v>13688</v>
      </c>
      <c r="G415" s="5" t="s">
        <v>29</v>
      </c>
      <c r="H415" s="5" t="s">
        <v>13689</v>
      </c>
      <c r="I415" s="5" t="s">
        <v>13690</v>
      </c>
      <c r="J415" s="5" t="s">
        <v>1988</v>
      </c>
      <c r="K415" s="5" t="s">
        <v>13691</v>
      </c>
      <c r="L415" s="11">
        <v>3</v>
      </c>
      <c r="M415" s="5" t="s">
        <v>13692</v>
      </c>
    </row>
    <row r="416" spans="2:13" ht="52.5" customHeight="1" x14ac:dyDescent="0.35">
      <c r="B416" s="12">
        <v>31</v>
      </c>
      <c r="C416" s="7" t="s">
        <v>13693</v>
      </c>
      <c r="D416" s="12">
        <v>1</v>
      </c>
      <c r="E416" s="7" t="s">
        <v>13694</v>
      </c>
      <c r="F416" s="7" t="s">
        <v>13695</v>
      </c>
      <c r="G416" s="7" t="s">
        <v>800</v>
      </c>
      <c r="H416" s="7" t="s">
        <v>1561</v>
      </c>
      <c r="I416" s="7" t="s">
        <v>13696</v>
      </c>
      <c r="J416" s="7" t="s">
        <v>8704</v>
      </c>
      <c r="K416" s="7" t="s">
        <v>13697</v>
      </c>
      <c r="L416" s="12">
        <v>1</v>
      </c>
      <c r="M416" s="7" t="s">
        <v>13644</v>
      </c>
    </row>
    <row r="417" spans="2:13" ht="52.5" customHeight="1" x14ac:dyDescent="0.35">
      <c r="B417" s="11">
        <v>31</v>
      </c>
      <c r="C417" s="5" t="s">
        <v>13693</v>
      </c>
      <c r="D417" s="11">
        <v>2</v>
      </c>
      <c r="E417" s="5" t="s">
        <v>13698</v>
      </c>
      <c r="F417" s="5" t="s">
        <v>13699</v>
      </c>
      <c r="G417" s="5" t="s">
        <v>2768</v>
      </c>
      <c r="H417" s="5" t="s">
        <v>1561</v>
      </c>
      <c r="I417" s="5" t="s">
        <v>13700</v>
      </c>
      <c r="J417" s="5" t="s">
        <v>8704</v>
      </c>
      <c r="K417" s="5" t="s">
        <v>13701</v>
      </c>
      <c r="L417" s="11">
        <v>1</v>
      </c>
      <c r="M417" s="5" t="s">
        <v>13644</v>
      </c>
    </row>
    <row r="418" spans="2:13" ht="21.75" customHeight="1" x14ac:dyDescent="0.35">
      <c r="B418" s="12">
        <v>31</v>
      </c>
      <c r="C418" s="7" t="s">
        <v>13693</v>
      </c>
      <c r="D418" s="12">
        <v>3</v>
      </c>
      <c r="E418" s="7" t="s">
        <v>13702</v>
      </c>
      <c r="F418" s="7" t="s">
        <v>13703</v>
      </c>
      <c r="G418" s="7" t="s">
        <v>1680</v>
      </c>
      <c r="H418" s="7" t="s">
        <v>41</v>
      </c>
      <c r="I418" s="7" t="s">
        <v>13312</v>
      </c>
      <c r="J418" s="7" t="s">
        <v>7329</v>
      </c>
      <c r="K418" s="7" t="s">
        <v>13704</v>
      </c>
      <c r="L418" s="12">
        <v>1</v>
      </c>
      <c r="M418" s="7" t="s">
        <v>13644</v>
      </c>
    </row>
    <row r="419" spans="2:13" ht="37.5" customHeight="1" x14ac:dyDescent="0.35">
      <c r="B419" s="11">
        <v>31</v>
      </c>
      <c r="C419" s="5" t="s">
        <v>13693</v>
      </c>
      <c r="D419" s="11">
        <v>4</v>
      </c>
      <c r="E419" s="5" t="s">
        <v>13705</v>
      </c>
      <c r="F419" s="5" t="s">
        <v>13706</v>
      </c>
      <c r="G419" s="5" t="s">
        <v>13707</v>
      </c>
      <c r="H419" s="5" t="s">
        <v>13708</v>
      </c>
      <c r="I419" s="5" t="s">
        <v>13709</v>
      </c>
      <c r="J419" s="5" t="s">
        <v>7329</v>
      </c>
      <c r="K419" s="5" t="s">
        <v>13710</v>
      </c>
      <c r="L419" s="11">
        <v>1</v>
      </c>
      <c r="M419" s="5" t="s">
        <v>13644</v>
      </c>
    </row>
    <row r="420" spans="2:13" ht="67.5" customHeight="1" x14ac:dyDescent="0.35">
      <c r="B420" s="12">
        <v>32</v>
      </c>
      <c r="C420" s="7" t="s">
        <v>13711</v>
      </c>
      <c r="D420" s="12">
        <v>1</v>
      </c>
      <c r="E420" s="7" t="s">
        <v>13712</v>
      </c>
      <c r="F420" s="7" t="s">
        <v>13713</v>
      </c>
      <c r="G420" s="7" t="s">
        <v>421</v>
      </c>
      <c r="H420" s="7" t="s">
        <v>1561</v>
      </c>
      <c r="I420" s="7" t="s">
        <v>13714</v>
      </c>
      <c r="J420" s="7" t="s">
        <v>13715</v>
      </c>
      <c r="K420" s="7" t="s">
        <v>13716</v>
      </c>
      <c r="L420" s="12">
        <v>1</v>
      </c>
      <c r="M420" s="7" t="s">
        <v>13644</v>
      </c>
    </row>
    <row r="421" spans="2:13" ht="67.5" customHeight="1" x14ac:dyDescent="0.35">
      <c r="B421" s="11"/>
      <c r="C421" s="5" t="s">
        <v>13717</v>
      </c>
      <c r="D421" s="11">
        <v>2</v>
      </c>
      <c r="E421" s="5" t="s">
        <v>13718</v>
      </c>
      <c r="F421" s="5" t="s">
        <v>13719</v>
      </c>
      <c r="G421" s="5" t="s">
        <v>582</v>
      </c>
      <c r="H421" s="5" t="s">
        <v>1561</v>
      </c>
      <c r="I421" s="5" t="s">
        <v>13714</v>
      </c>
      <c r="J421" s="5" t="s">
        <v>2371</v>
      </c>
      <c r="K421" s="5" t="s">
        <v>13720</v>
      </c>
      <c r="L421" s="11">
        <v>1</v>
      </c>
      <c r="M421" s="5"/>
    </row>
    <row r="422" spans="2:13" ht="67.5" customHeight="1" x14ac:dyDescent="0.35">
      <c r="B422" s="12"/>
      <c r="C422" s="7" t="s">
        <v>13717</v>
      </c>
      <c r="D422" s="12">
        <v>3</v>
      </c>
      <c r="E422" s="7" t="s">
        <v>13721</v>
      </c>
      <c r="F422" s="7" t="s">
        <v>13722</v>
      </c>
      <c r="G422" s="7" t="s">
        <v>32</v>
      </c>
      <c r="H422" s="7" t="s">
        <v>1561</v>
      </c>
      <c r="I422" s="7" t="s">
        <v>13714</v>
      </c>
      <c r="J422" s="7" t="s">
        <v>2371</v>
      </c>
      <c r="K422" s="7" t="s">
        <v>13720</v>
      </c>
      <c r="L422" s="12">
        <v>1</v>
      </c>
      <c r="M422" s="7"/>
    </row>
    <row r="423" spans="2:13" ht="21.75" customHeight="1" x14ac:dyDescent="0.35">
      <c r="B423" s="11"/>
      <c r="C423" s="5" t="s">
        <v>13717</v>
      </c>
      <c r="D423" s="11">
        <v>4</v>
      </c>
      <c r="E423" s="5" t="s">
        <v>13723</v>
      </c>
      <c r="F423" s="5" t="s">
        <v>13724</v>
      </c>
      <c r="G423" s="5" t="s">
        <v>1680</v>
      </c>
      <c r="H423" s="5" t="s">
        <v>41</v>
      </c>
      <c r="I423" s="5" t="s">
        <v>13312</v>
      </c>
      <c r="J423" s="5" t="s">
        <v>3284</v>
      </c>
      <c r="K423" s="5" t="s">
        <v>13725</v>
      </c>
      <c r="L423" s="11">
        <v>1</v>
      </c>
      <c r="M423" s="5"/>
    </row>
    <row r="424" spans="2:13" ht="37.5" customHeight="1" x14ac:dyDescent="0.35">
      <c r="B424" s="12"/>
      <c r="C424" s="7" t="s">
        <v>13717</v>
      </c>
      <c r="D424" s="12">
        <v>5</v>
      </c>
      <c r="E424" s="7" t="s">
        <v>13726</v>
      </c>
      <c r="F424" s="7" t="s">
        <v>13727</v>
      </c>
      <c r="G424" s="7" t="s">
        <v>13728</v>
      </c>
      <c r="H424" s="7" t="s">
        <v>1561</v>
      </c>
      <c r="I424" s="7" t="s">
        <v>13709</v>
      </c>
      <c r="J424" s="7" t="s">
        <v>3284</v>
      </c>
      <c r="K424" s="7" t="s">
        <v>13729</v>
      </c>
      <c r="L424" s="12">
        <v>1</v>
      </c>
      <c r="M424" s="7"/>
    </row>
    <row r="425" spans="2:13" ht="37.5" customHeight="1" x14ac:dyDescent="0.35">
      <c r="B425" s="11"/>
      <c r="C425" s="5" t="s">
        <v>13717</v>
      </c>
      <c r="D425" s="11">
        <v>6</v>
      </c>
      <c r="E425" s="5" t="s">
        <v>13730</v>
      </c>
      <c r="F425" s="5" t="s">
        <v>13731</v>
      </c>
      <c r="G425" s="5" t="s">
        <v>28</v>
      </c>
      <c r="H425" s="5" t="s">
        <v>1561</v>
      </c>
      <c r="I425" s="5" t="s">
        <v>13732</v>
      </c>
      <c r="J425" s="5" t="s">
        <v>11467</v>
      </c>
      <c r="K425" s="5" t="s">
        <v>13733</v>
      </c>
      <c r="L425" s="11">
        <v>1</v>
      </c>
      <c r="M425" s="5"/>
    </row>
    <row r="426" spans="2:13" ht="37.5" customHeight="1" x14ac:dyDescent="0.35">
      <c r="B426" s="12"/>
      <c r="C426" s="7" t="s">
        <v>13734</v>
      </c>
      <c r="D426" s="12">
        <v>7</v>
      </c>
      <c r="E426" s="7" t="s">
        <v>13735</v>
      </c>
      <c r="F426" s="7" t="s">
        <v>13736</v>
      </c>
      <c r="G426" s="7" t="s">
        <v>25</v>
      </c>
      <c r="H426" s="7" t="s">
        <v>1561</v>
      </c>
      <c r="I426" s="7" t="s">
        <v>13737</v>
      </c>
      <c r="J426" s="7" t="s">
        <v>11467</v>
      </c>
      <c r="K426" s="7" t="s">
        <v>13738</v>
      </c>
      <c r="L426" s="12">
        <v>1</v>
      </c>
      <c r="M426" s="7"/>
    </row>
    <row r="427" spans="2:13" ht="37.5" customHeight="1" x14ac:dyDescent="0.35">
      <c r="B427" s="11"/>
      <c r="C427" s="5" t="s">
        <v>13734</v>
      </c>
      <c r="D427" s="11">
        <v>8</v>
      </c>
      <c r="E427" s="5" t="s">
        <v>13739</v>
      </c>
      <c r="F427" s="5" t="s">
        <v>13740</v>
      </c>
      <c r="G427" s="5" t="s">
        <v>1873</v>
      </c>
      <c r="H427" s="5" t="s">
        <v>1561</v>
      </c>
      <c r="I427" s="5" t="s">
        <v>13741</v>
      </c>
      <c r="J427" s="5" t="s">
        <v>11467</v>
      </c>
      <c r="K427" s="5" t="s">
        <v>13742</v>
      </c>
      <c r="L427" s="11">
        <v>1</v>
      </c>
      <c r="M427" s="5"/>
    </row>
    <row r="428" spans="2:13" ht="37.5" customHeight="1" x14ac:dyDescent="0.35">
      <c r="B428" s="12"/>
      <c r="C428" s="7" t="s">
        <v>13734</v>
      </c>
      <c r="D428" s="12">
        <v>9</v>
      </c>
      <c r="E428" s="7" t="s">
        <v>13743</v>
      </c>
      <c r="F428" s="7" t="s">
        <v>13744</v>
      </c>
      <c r="G428" s="7" t="s">
        <v>1884</v>
      </c>
      <c r="H428" s="7" t="s">
        <v>1561</v>
      </c>
      <c r="I428" s="7" t="s">
        <v>13745</v>
      </c>
      <c r="J428" s="7" t="s">
        <v>11467</v>
      </c>
      <c r="K428" s="7" t="s">
        <v>13746</v>
      </c>
      <c r="L428" s="12">
        <v>1</v>
      </c>
      <c r="M428" s="7"/>
    </row>
    <row r="429" spans="2:13" ht="37.5" customHeight="1" x14ac:dyDescent="0.35">
      <c r="B429" s="11"/>
      <c r="C429" s="5" t="s">
        <v>13734</v>
      </c>
      <c r="D429" s="11">
        <v>10</v>
      </c>
      <c r="E429" s="5" t="s">
        <v>13747</v>
      </c>
      <c r="F429" s="5" t="s">
        <v>13748</v>
      </c>
      <c r="G429" s="5" t="s">
        <v>232</v>
      </c>
      <c r="H429" s="5" t="s">
        <v>1561</v>
      </c>
      <c r="I429" s="5" t="s">
        <v>13749</v>
      </c>
      <c r="J429" s="5" t="s">
        <v>3284</v>
      </c>
      <c r="K429" s="5" t="s">
        <v>13750</v>
      </c>
      <c r="L429" s="11">
        <v>1</v>
      </c>
      <c r="M429" s="5"/>
    </row>
    <row r="430" spans="2:13" ht="37.5" customHeight="1" x14ac:dyDescent="0.35">
      <c r="B430" s="12"/>
      <c r="C430" s="7" t="s">
        <v>13751</v>
      </c>
      <c r="D430" s="12">
        <v>11</v>
      </c>
      <c r="E430" s="7" t="s">
        <v>13752</v>
      </c>
      <c r="F430" s="7" t="s">
        <v>13753</v>
      </c>
      <c r="G430" s="7" t="s">
        <v>439</v>
      </c>
      <c r="H430" s="7" t="s">
        <v>1561</v>
      </c>
      <c r="I430" s="7" t="s">
        <v>13754</v>
      </c>
      <c r="J430" s="7" t="s">
        <v>13755</v>
      </c>
      <c r="K430" s="7" t="s">
        <v>13756</v>
      </c>
      <c r="L430" s="12">
        <v>1</v>
      </c>
      <c r="M430" s="7"/>
    </row>
    <row r="431" spans="2:13" ht="67.5" customHeight="1" x14ac:dyDescent="0.35">
      <c r="B431" s="11"/>
      <c r="C431" s="5" t="s">
        <v>13751</v>
      </c>
      <c r="D431" s="11">
        <v>12</v>
      </c>
      <c r="E431" s="5" t="s">
        <v>13757</v>
      </c>
      <c r="F431" s="5" t="s">
        <v>13758</v>
      </c>
      <c r="G431" s="5" t="s">
        <v>27</v>
      </c>
      <c r="H431" s="5" t="s">
        <v>1561</v>
      </c>
      <c r="I431" s="5" t="s">
        <v>13759</v>
      </c>
      <c r="J431" s="5" t="s">
        <v>3284</v>
      </c>
      <c r="K431" s="5" t="s">
        <v>13760</v>
      </c>
      <c r="L431" s="11">
        <v>1</v>
      </c>
      <c r="M431" s="5"/>
    </row>
    <row r="432" spans="2:13" ht="37.5" customHeight="1" x14ac:dyDescent="0.35">
      <c r="B432" s="12"/>
      <c r="C432" s="7" t="s">
        <v>13751</v>
      </c>
      <c r="D432" s="12">
        <v>13</v>
      </c>
      <c r="E432" s="7" t="s">
        <v>13761</v>
      </c>
      <c r="F432" s="7" t="s">
        <v>13762</v>
      </c>
      <c r="G432" s="7" t="s">
        <v>536</v>
      </c>
      <c r="H432" s="7" t="s">
        <v>1561</v>
      </c>
      <c r="I432" s="7" t="s">
        <v>13763</v>
      </c>
      <c r="J432" s="7" t="s">
        <v>207</v>
      </c>
      <c r="K432" s="7" t="s">
        <v>13764</v>
      </c>
      <c r="L432" s="12">
        <v>1</v>
      </c>
      <c r="M432" s="7"/>
    </row>
    <row r="433" spans="2:13" ht="52.5" customHeight="1" x14ac:dyDescent="0.35">
      <c r="B433" s="11"/>
      <c r="C433" s="5" t="s">
        <v>13751</v>
      </c>
      <c r="D433" s="11">
        <v>14</v>
      </c>
      <c r="E433" s="5" t="s">
        <v>13765</v>
      </c>
      <c r="F433" s="5" t="s">
        <v>13766</v>
      </c>
      <c r="G433" s="5" t="s">
        <v>279</v>
      </c>
      <c r="H433" s="5" t="s">
        <v>1948</v>
      </c>
      <c r="I433" s="5" t="s">
        <v>13767</v>
      </c>
      <c r="J433" s="5" t="s">
        <v>331</v>
      </c>
      <c r="K433" s="5" t="s">
        <v>13768</v>
      </c>
      <c r="L433" s="11">
        <v>1</v>
      </c>
      <c r="M433" s="5"/>
    </row>
    <row r="434" spans="2:13" ht="37.5" customHeight="1" x14ac:dyDescent="0.35">
      <c r="B434" s="12">
        <v>33</v>
      </c>
      <c r="C434" s="7" t="s">
        <v>13769</v>
      </c>
      <c r="D434" s="12">
        <v>1</v>
      </c>
      <c r="E434" s="7" t="s">
        <v>13770</v>
      </c>
      <c r="F434" s="7" t="s">
        <v>13771</v>
      </c>
      <c r="G434" s="7" t="s">
        <v>1076</v>
      </c>
      <c r="H434" s="7" t="s">
        <v>1561</v>
      </c>
      <c r="I434" s="7" t="s">
        <v>13772</v>
      </c>
      <c r="J434" s="7" t="s">
        <v>1988</v>
      </c>
      <c r="K434" s="7" t="s">
        <v>13773</v>
      </c>
      <c r="L434" s="12">
        <v>1</v>
      </c>
      <c r="M434" s="7" t="s">
        <v>12497</v>
      </c>
    </row>
    <row r="435" spans="2:13" ht="37.5" customHeight="1" x14ac:dyDescent="0.35">
      <c r="B435" s="11">
        <v>33</v>
      </c>
      <c r="C435" s="5" t="s">
        <v>13769</v>
      </c>
      <c r="D435" s="11">
        <v>2</v>
      </c>
      <c r="E435" s="5" t="s">
        <v>13774</v>
      </c>
      <c r="F435" s="5" t="s">
        <v>13775</v>
      </c>
      <c r="G435" s="5" t="s">
        <v>212</v>
      </c>
      <c r="H435" s="5" t="s">
        <v>42</v>
      </c>
      <c r="I435" s="5" t="s">
        <v>12970</v>
      </c>
      <c r="J435" s="5" t="s">
        <v>194</v>
      </c>
      <c r="K435" s="5" t="s">
        <v>13776</v>
      </c>
      <c r="L435" s="11">
        <v>1</v>
      </c>
      <c r="M435" s="5" t="s">
        <v>12497</v>
      </c>
    </row>
    <row r="436" spans="2:13" ht="37.5" customHeight="1" x14ac:dyDescent="0.35">
      <c r="B436" s="12">
        <v>33</v>
      </c>
      <c r="C436" s="7" t="s">
        <v>13769</v>
      </c>
      <c r="D436" s="12">
        <v>3</v>
      </c>
      <c r="E436" s="7" t="s">
        <v>13777</v>
      </c>
      <c r="F436" s="7" t="s">
        <v>13778</v>
      </c>
      <c r="G436" s="7" t="s">
        <v>13779</v>
      </c>
      <c r="H436" s="7" t="s">
        <v>1561</v>
      </c>
      <c r="I436" s="7" t="s">
        <v>13754</v>
      </c>
      <c r="J436" s="7" t="s">
        <v>331</v>
      </c>
      <c r="K436" s="7" t="s">
        <v>13780</v>
      </c>
      <c r="L436" s="12">
        <v>1</v>
      </c>
      <c r="M436" s="7" t="s">
        <v>12497</v>
      </c>
    </row>
    <row r="437" spans="2:13" ht="37.5" customHeight="1" x14ac:dyDescent="0.35">
      <c r="B437" s="11">
        <v>34</v>
      </c>
      <c r="C437" s="5" t="s">
        <v>13781</v>
      </c>
      <c r="D437" s="11">
        <v>1</v>
      </c>
      <c r="E437" s="5" t="s">
        <v>13782</v>
      </c>
      <c r="F437" s="5" t="s">
        <v>13783</v>
      </c>
      <c r="G437" s="5" t="s">
        <v>24</v>
      </c>
      <c r="H437" s="5" t="s">
        <v>36</v>
      </c>
      <c r="I437" s="5" t="s">
        <v>12840</v>
      </c>
      <c r="J437" s="5" t="s">
        <v>5531</v>
      </c>
      <c r="K437" s="5" t="s">
        <v>13784</v>
      </c>
      <c r="L437" s="11">
        <v>1</v>
      </c>
      <c r="M437" s="5" t="s">
        <v>12497</v>
      </c>
    </row>
    <row r="438" spans="2:13" ht="37.5" customHeight="1" x14ac:dyDescent="0.35">
      <c r="B438" s="12">
        <v>35</v>
      </c>
      <c r="C438" s="7" t="s">
        <v>13785</v>
      </c>
      <c r="D438" s="12">
        <v>1</v>
      </c>
      <c r="E438" s="7" t="s">
        <v>13786</v>
      </c>
      <c r="F438" s="7" t="s">
        <v>13787</v>
      </c>
      <c r="G438" s="7" t="s">
        <v>428</v>
      </c>
      <c r="H438" s="7" t="s">
        <v>36</v>
      </c>
      <c r="I438" s="7" t="s">
        <v>13616</v>
      </c>
      <c r="J438" s="7" t="s">
        <v>11467</v>
      </c>
      <c r="K438" s="7" t="s">
        <v>13788</v>
      </c>
      <c r="L438" s="12">
        <v>1</v>
      </c>
      <c r="M438" s="7" t="s">
        <v>13121</v>
      </c>
    </row>
    <row r="439" spans="2:13" ht="37.5" customHeight="1" x14ac:dyDescent="0.35">
      <c r="B439" s="11">
        <v>35</v>
      </c>
      <c r="C439" s="5" t="s">
        <v>13785</v>
      </c>
      <c r="D439" s="11">
        <v>2</v>
      </c>
      <c r="E439" s="5" t="s">
        <v>13789</v>
      </c>
      <c r="F439" s="5" t="s">
        <v>13790</v>
      </c>
      <c r="G439" s="5" t="s">
        <v>1294</v>
      </c>
      <c r="H439" s="5" t="s">
        <v>36</v>
      </c>
      <c r="I439" s="5" t="s">
        <v>13616</v>
      </c>
      <c r="J439" s="5" t="s">
        <v>11467</v>
      </c>
      <c r="K439" s="5" t="s">
        <v>13788</v>
      </c>
      <c r="L439" s="11">
        <v>1</v>
      </c>
      <c r="M439" s="5" t="s">
        <v>13121</v>
      </c>
    </row>
    <row r="440" spans="2:13" ht="37.5" customHeight="1" x14ac:dyDescent="0.35">
      <c r="B440" s="12">
        <v>35</v>
      </c>
      <c r="C440" s="7" t="s">
        <v>13785</v>
      </c>
      <c r="D440" s="12">
        <v>3</v>
      </c>
      <c r="E440" s="7" t="s">
        <v>13791</v>
      </c>
      <c r="F440" s="7" t="s">
        <v>13792</v>
      </c>
      <c r="G440" s="7" t="s">
        <v>566</v>
      </c>
      <c r="H440" s="7" t="s">
        <v>36</v>
      </c>
      <c r="I440" s="7" t="s">
        <v>12840</v>
      </c>
      <c r="J440" s="7" t="s">
        <v>11467</v>
      </c>
      <c r="K440" s="7" t="s">
        <v>13793</v>
      </c>
      <c r="L440" s="12">
        <v>2</v>
      </c>
      <c r="M440" s="7" t="s">
        <v>13121</v>
      </c>
    </row>
    <row r="441" spans="2:13" ht="37.5" customHeight="1" x14ac:dyDescent="0.35">
      <c r="B441" s="11">
        <v>35</v>
      </c>
      <c r="C441" s="5" t="s">
        <v>13785</v>
      </c>
      <c r="D441" s="11">
        <v>4</v>
      </c>
      <c r="E441" s="5" t="s">
        <v>13794</v>
      </c>
      <c r="F441" s="5" t="s">
        <v>13795</v>
      </c>
      <c r="G441" s="5" t="s">
        <v>282</v>
      </c>
      <c r="H441" s="5"/>
      <c r="I441" s="5" t="s">
        <v>12840</v>
      </c>
      <c r="J441" s="5" t="s">
        <v>11467</v>
      </c>
      <c r="K441" s="5" t="s">
        <v>13796</v>
      </c>
      <c r="L441" s="11">
        <v>1</v>
      </c>
      <c r="M441" s="5" t="s">
        <v>13121</v>
      </c>
    </row>
    <row r="442" spans="2:13" ht="37.5" customHeight="1" x14ac:dyDescent="0.35">
      <c r="B442" s="12">
        <v>35</v>
      </c>
      <c r="C442" s="7" t="s">
        <v>13785</v>
      </c>
      <c r="D442" s="12">
        <v>5</v>
      </c>
      <c r="E442" s="7" t="s">
        <v>13797</v>
      </c>
      <c r="F442" s="7" t="s">
        <v>13798</v>
      </c>
      <c r="G442" s="7" t="s">
        <v>30</v>
      </c>
      <c r="H442" s="7" t="s">
        <v>6394</v>
      </c>
      <c r="I442" s="7" t="s">
        <v>12840</v>
      </c>
      <c r="J442" s="7" t="s">
        <v>5449</v>
      </c>
      <c r="K442" s="7" t="s">
        <v>13799</v>
      </c>
      <c r="L442" s="12">
        <v>2</v>
      </c>
      <c r="M442" s="7" t="s">
        <v>13121</v>
      </c>
    </row>
    <row r="443" spans="2:13" ht="37.5" customHeight="1" x14ac:dyDescent="0.35">
      <c r="B443" s="11">
        <v>35</v>
      </c>
      <c r="C443" s="5" t="s">
        <v>13785</v>
      </c>
      <c r="D443" s="11">
        <v>6</v>
      </c>
      <c r="E443" s="5" t="s">
        <v>13800</v>
      </c>
      <c r="F443" s="5" t="s">
        <v>13801</v>
      </c>
      <c r="G443" s="5" t="s">
        <v>1076</v>
      </c>
      <c r="H443" s="5" t="s">
        <v>36</v>
      </c>
      <c r="I443" s="5" t="s">
        <v>13802</v>
      </c>
      <c r="J443" s="5" t="s">
        <v>177</v>
      </c>
      <c r="K443" s="5" t="s">
        <v>13803</v>
      </c>
      <c r="L443" s="11">
        <v>1</v>
      </c>
      <c r="M443" s="5" t="s">
        <v>13121</v>
      </c>
    </row>
    <row r="444" spans="2:13" ht="52.5" customHeight="1" x14ac:dyDescent="0.35">
      <c r="B444" s="12">
        <v>35</v>
      </c>
      <c r="C444" s="7" t="s">
        <v>13785</v>
      </c>
      <c r="D444" s="12">
        <v>7</v>
      </c>
      <c r="E444" s="7" t="s">
        <v>13804</v>
      </c>
      <c r="F444" s="7" t="s">
        <v>13805</v>
      </c>
      <c r="G444" s="7" t="s">
        <v>25</v>
      </c>
      <c r="H444" s="7" t="s">
        <v>13806</v>
      </c>
      <c r="I444" s="7" t="s">
        <v>13807</v>
      </c>
      <c r="J444" s="7" t="s">
        <v>13808</v>
      </c>
      <c r="K444" s="7" t="s">
        <v>13809</v>
      </c>
      <c r="L444" s="12">
        <v>2</v>
      </c>
      <c r="M444" s="7" t="s">
        <v>13121</v>
      </c>
    </row>
    <row r="445" spans="2:13" ht="112.5" customHeight="1" x14ac:dyDescent="0.35">
      <c r="B445" s="11">
        <v>35</v>
      </c>
      <c r="C445" s="5" t="s">
        <v>13785</v>
      </c>
      <c r="D445" s="11">
        <v>8</v>
      </c>
      <c r="E445" s="5" t="s">
        <v>13810</v>
      </c>
      <c r="F445" s="5" t="s">
        <v>13811</v>
      </c>
      <c r="G445" s="5" t="s">
        <v>24</v>
      </c>
      <c r="H445" s="5" t="s">
        <v>13812</v>
      </c>
      <c r="I445" s="5" t="s">
        <v>13813</v>
      </c>
      <c r="J445" s="5" t="s">
        <v>13814</v>
      </c>
      <c r="K445" s="5" t="s">
        <v>13815</v>
      </c>
      <c r="L445" s="11">
        <v>3</v>
      </c>
      <c r="M445" s="5" t="s">
        <v>13121</v>
      </c>
    </row>
    <row r="446" spans="2:13" ht="67.5" customHeight="1" x14ac:dyDescent="0.35">
      <c r="B446" s="12">
        <v>35</v>
      </c>
      <c r="C446" s="7" t="s">
        <v>13785</v>
      </c>
      <c r="D446" s="12">
        <v>9</v>
      </c>
      <c r="E446" s="7" t="s">
        <v>13816</v>
      </c>
      <c r="F446" s="7" t="s">
        <v>13817</v>
      </c>
      <c r="G446" s="7" t="s">
        <v>973</v>
      </c>
      <c r="H446" s="7" t="s">
        <v>36</v>
      </c>
      <c r="I446" s="7" t="s">
        <v>13818</v>
      </c>
      <c r="J446" s="7" t="s">
        <v>177</v>
      </c>
      <c r="K446" s="7" t="s">
        <v>13819</v>
      </c>
      <c r="L446" s="12">
        <v>1</v>
      </c>
      <c r="M446" s="7" t="s">
        <v>13121</v>
      </c>
    </row>
    <row r="447" spans="2:13" ht="21.75" customHeight="1" x14ac:dyDescent="0.35">
      <c r="B447" s="11">
        <v>35</v>
      </c>
      <c r="C447" s="5" t="s">
        <v>13785</v>
      </c>
      <c r="D447" s="11">
        <v>10</v>
      </c>
      <c r="E447" s="5" t="s">
        <v>13820</v>
      </c>
      <c r="F447" s="5" t="s">
        <v>13821</v>
      </c>
      <c r="G447" s="5" t="s">
        <v>625</v>
      </c>
      <c r="H447" s="5" t="s">
        <v>1948</v>
      </c>
      <c r="I447" s="5" t="s">
        <v>13822</v>
      </c>
      <c r="J447" s="5" t="s">
        <v>177</v>
      </c>
      <c r="K447" s="5" t="s">
        <v>13823</v>
      </c>
      <c r="L447" s="11">
        <v>1</v>
      </c>
      <c r="M447" s="5" t="s">
        <v>13121</v>
      </c>
    </row>
    <row r="448" spans="2:13" ht="37.5" customHeight="1" x14ac:dyDescent="0.35">
      <c r="B448" s="12">
        <v>35</v>
      </c>
      <c r="C448" s="7" t="s">
        <v>13785</v>
      </c>
      <c r="D448" s="12">
        <v>11</v>
      </c>
      <c r="E448" s="7" t="s">
        <v>13824</v>
      </c>
      <c r="F448" s="7" t="s">
        <v>13825</v>
      </c>
      <c r="G448" s="7" t="s">
        <v>686</v>
      </c>
      <c r="H448" s="7" t="s">
        <v>36</v>
      </c>
      <c r="I448" s="7" t="s">
        <v>13826</v>
      </c>
      <c r="J448" s="7" t="s">
        <v>177</v>
      </c>
      <c r="K448" s="7" t="s">
        <v>13827</v>
      </c>
      <c r="L448" s="12">
        <v>1</v>
      </c>
      <c r="M448" s="7" t="s">
        <v>13121</v>
      </c>
    </row>
    <row r="449" spans="2:13" ht="37.5" customHeight="1" x14ac:dyDescent="0.35">
      <c r="B449" s="11">
        <v>35</v>
      </c>
      <c r="C449" s="5" t="s">
        <v>13785</v>
      </c>
      <c r="D449" s="11">
        <v>12</v>
      </c>
      <c r="E449" s="5" t="s">
        <v>13828</v>
      </c>
      <c r="F449" s="5" t="s">
        <v>13829</v>
      </c>
      <c r="G449" s="5" t="s">
        <v>279</v>
      </c>
      <c r="H449" s="5" t="s">
        <v>38</v>
      </c>
      <c r="I449" s="5" t="s">
        <v>13276</v>
      </c>
      <c r="J449" s="5" t="s">
        <v>177</v>
      </c>
      <c r="K449" s="5" t="s">
        <v>13830</v>
      </c>
      <c r="L449" s="11">
        <v>1</v>
      </c>
      <c r="M449" s="5" t="s">
        <v>13121</v>
      </c>
    </row>
    <row r="450" spans="2:13" ht="67.5" customHeight="1" x14ac:dyDescent="0.35">
      <c r="B450" s="12">
        <v>35</v>
      </c>
      <c r="C450" s="7" t="s">
        <v>13785</v>
      </c>
      <c r="D450" s="12">
        <v>13</v>
      </c>
      <c r="E450" s="7" t="s">
        <v>13831</v>
      </c>
      <c r="F450" s="7" t="s">
        <v>13832</v>
      </c>
      <c r="G450" s="7" t="s">
        <v>862</v>
      </c>
      <c r="H450" s="7" t="s">
        <v>306</v>
      </c>
      <c r="I450" s="7" t="s">
        <v>13833</v>
      </c>
      <c r="J450" s="7" t="s">
        <v>13834</v>
      </c>
      <c r="K450" s="7" t="s">
        <v>13835</v>
      </c>
      <c r="L450" s="12">
        <v>2</v>
      </c>
      <c r="M450" s="7" t="s">
        <v>13121</v>
      </c>
    </row>
    <row r="451" spans="2:13" ht="37.5" customHeight="1" x14ac:dyDescent="0.35">
      <c r="B451" s="11">
        <v>35</v>
      </c>
      <c r="C451" s="5" t="s">
        <v>13785</v>
      </c>
      <c r="D451" s="11">
        <v>14</v>
      </c>
      <c r="E451" s="5" t="s">
        <v>13836</v>
      </c>
      <c r="F451" s="5" t="s">
        <v>13837</v>
      </c>
      <c r="G451" s="5" t="s">
        <v>1953</v>
      </c>
      <c r="H451" s="5" t="s">
        <v>37</v>
      </c>
      <c r="I451" s="5" t="s">
        <v>13838</v>
      </c>
      <c r="J451" s="5" t="s">
        <v>13839</v>
      </c>
      <c r="K451" s="5" t="s">
        <v>13840</v>
      </c>
      <c r="L451" s="11">
        <v>1</v>
      </c>
      <c r="M451" s="5" t="s">
        <v>13121</v>
      </c>
    </row>
    <row r="452" spans="2:13" ht="37.5" customHeight="1" x14ac:dyDescent="0.35">
      <c r="B452" s="12">
        <v>35</v>
      </c>
      <c r="C452" s="7" t="s">
        <v>13785</v>
      </c>
      <c r="D452" s="12">
        <v>15</v>
      </c>
      <c r="E452" s="7" t="s">
        <v>13841</v>
      </c>
      <c r="F452" s="7" t="s">
        <v>13842</v>
      </c>
      <c r="G452" s="7" t="s">
        <v>1045</v>
      </c>
      <c r="H452" s="7" t="s">
        <v>37</v>
      </c>
      <c r="I452" s="7" t="s">
        <v>13838</v>
      </c>
      <c r="J452" s="7" t="s">
        <v>13839</v>
      </c>
      <c r="K452" s="7" t="s">
        <v>13840</v>
      </c>
      <c r="L452" s="12">
        <v>1</v>
      </c>
      <c r="M452" s="7" t="s">
        <v>13121</v>
      </c>
    </row>
    <row r="453" spans="2:13" ht="37.5" customHeight="1" x14ac:dyDescent="0.35">
      <c r="B453" s="11">
        <v>35</v>
      </c>
      <c r="C453" s="5" t="s">
        <v>13785</v>
      </c>
      <c r="D453" s="11">
        <v>16</v>
      </c>
      <c r="E453" s="5" t="s">
        <v>13843</v>
      </c>
      <c r="F453" s="5" t="s">
        <v>13844</v>
      </c>
      <c r="G453" s="5" t="s">
        <v>212</v>
      </c>
      <c r="H453" s="5" t="s">
        <v>37</v>
      </c>
      <c r="I453" s="5" t="s">
        <v>13838</v>
      </c>
      <c r="J453" s="5" t="s">
        <v>13839</v>
      </c>
      <c r="K453" s="5" t="s">
        <v>13840</v>
      </c>
      <c r="L453" s="11">
        <v>1</v>
      </c>
      <c r="M453" s="5" t="s">
        <v>13121</v>
      </c>
    </row>
    <row r="454" spans="2:13" ht="67.5" customHeight="1" x14ac:dyDescent="0.35">
      <c r="B454" s="12">
        <v>35</v>
      </c>
      <c r="C454" s="7" t="s">
        <v>13785</v>
      </c>
      <c r="D454" s="12">
        <v>17</v>
      </c>
      <c r="E454" s="7" t="s">
        <v>13845</v>
      </c>
      <c r="F454" s="7" t="s">
        <v>13846</v>
      </c>
      <c r="G454" s="7" t="s">
        <v>28</v>
      </c>
      <c r="H454" s="7" t="s">
        <v>6394</v>
      </c>
      <c r="I454" s="7" t="s">
        <v>13847</v>
      </c>
      <c r="J454" s="7" t="s">
        <v>5449</v>
      </c>
      <c r="K454" s="7" t="s">
        <v>13848</v>
      </c>
      <c r="L454" s="12">
        <v>2</v>
      </c>
      <c r="M454" s="7" t="s">
        <v>13121</v>
      </c>
    </row>
    <row r="455" spans="2:13" ht="52.5" customHeight="1" x14ac:dyDescent="0.35">
      <c r="B455" s="11">
        <v>35</v>
      </c>
      <c r="C455" s="5" t="s">
        <v>13785</v>
      </c>
      <c r="D455" s="11">
        <v>18</v>
      </c>
      <c r="E455" s="5" t="s">
        <v>13849</v>
      </c>
      <c r="F455" s="5" t="s">
        <v>13850</v>
      </c>
      <c r="G455" s="5" t="s">
        <v>1180</v>
      </c>
      <c r="H455" s="5" t="s">
        <v>36</v>
      </c>
      <c r="I455" s="5" t="s">
        <v>13851</v>
      </c>
      <c r="J455" s="5" t="s">
        <v>177</v>
      </c>
      <c r="K455" s="5" t="s">
        <v>13852</v>
      </c>
      <c r="L455" s="11">
        <v>1</v>
      </c>
      <c r="M455" s="5" t="s">
        <v>13121</v>
      </c>
    </row>
    <row r="456" spans="2:13" ht="52.5" customHeight="1" x14ac:dyDescent="0.35">
      <c r="B456" s="12">
        <v>35</v>
      </c>
      <c r="C456" s="7" t="s">
        <v>13785</v>
      </c>
      <c r="D456" s="12">
        <v>19</v>
      </c>
      <c r="E456" s="7" t="s">
        <v>13853</v>
      </c>
      <c r="F456" s="7" t="s">
        <v>13854</v>
      </c>
      <c r="G456" s="7" t="s">
        <v>285</v>
      </c>
      <c r="H456" s="7" t="s">
        <v>36</v>
      </c>
      <c r="I456" s="7" t="s">
        <v>13851</v>
      </c>
      <c r="J456" s="7" t="s">
        <v>3284</v>
      </c>
      <c r="K456" s="7" t="s">
        <v>13855</v>
      </c>
      <c r="L456" s="12">
        <v>1</v>
      </c>
      <c r="M456" s="7" t="s">
        <v>13121</v>
      </c>
    </row>
    <row r="457" spans="2:13" ht="37.5" customHeight="1" x14ac:dyDescent="0.35">
      <c r="B457" s="11">
        <v>35</v>
      </c>
      <c r="C457" s="5" t="s">
        <v>13785</v>
      </c>
      <c r="D457" s="11">
        <v>20</v>
      </c>
      <c r="E457" s="5" t="s">
        <v>13856</v>
      </c>
      <c r="F457" s="5" t="s">
        <v>13857</v>
      </c>
      <c r="G457" s="5" t="s">
        <v>31</v>
      </c>
      <c r="H457" s="5" t="s">
        <v>38</v>
      </c>
      <c r="I457" s="5" t="s">
        <v>13858</v>
      </c>
      <c r="J457" s="5" t="s">
        <v>331</v>
      </c>
      <c r="K457" s="5" t="s">
        <v>13859</v>
      </c>
      <c r="L457" s="11">
        <v>1</v>
      </c>
      <c r="M457" s="5" t="s">
        <v>13121</v>
      </c>
    </row>
    <row r="458" spans="2:13" ht="37.5" customHeight="1" x14ac:dyDescent="0.35">
      <c r="B458" s="12">
        <v>35</v>
      </c>
      <c r="C458" s="7" t="s">
        <v>13785</v>
      </c>
      <c r="D458" s="12">
        <v>21</v>
      </c>
      <c r="E458" s="7" t="s">
        <v>13860</v>
      </c>
      <c r="F458" s="7" t="s">
        <v>13861</v>
      </c>
      <c r="G458" s="7" t="s">
        <v>27</v>
      </c>
      <c r="H458" s="7" t="s">
        <v>1948</v>
      </c>
      <c r="I458" s="7" t="s">
        <v>13862</v>
      </c>
      <c r="J458" s="7" t="s">
        <v>331</v>
      </c>
      <c r="K458" s="7" t="s">
        <v>13863</v>
      </c>
      <c r="L458" s="12">
        <v>1</v>
      </c>
      <c r="M458" s="7" t="s">
        <v>13121</v>
      </c>
    </row>
    <row r="459" spans="2:13" ht="52.5" customHeight="1" x14ac:dyDescent="0.35">
      <c r="B459" s="11">
        <v>35</v>
      </c>
      <c r="C459" s="5" t="s">
        <v>13785</v>
      </c>
      <c r="D459" s="11">
        <v>22</v>
      </c>
      <c r="E459" s="5" t="s">
        <v>13864</v>
      </c>
      <c r="F459" s="5" t="s">
        <v>13865</v>
      </c>
      <c r="G459" s="5" t="s">
        <v>176</v>
      </c>
      <c r="H459" s="5" t="s">
        <v>36</v>
      </c>
      <c r="I459" s="5" t="s">
        <v>13851</v>
      </c>
      <c r="J459" s="5" t="s">
        <v>3284</v>
      </c>
      <c r="K459" s="5" t="s">
        <v>13855</v>
      </c>
      <c r="L459" s="11">
        <v>1</v>
      </c>
      <c r="M459" s="5" t="s">
        <v>13121</v>
      </c>
    </row>
    <row r="460" spans="2:13" ht="67.5" customHeight="1" x14ac:dyDescent="0.35">
      <c r="B460" s="12">
        <v>36</v>
      </c>
      <c r="C460" s="7" t="s">
        <v>13866</v>
      </c>
      <c r="D460" s="12">
        <v>1</v>
      </c>
      <c r="E460" s="7" t="s">
        <v>13867</v>
      </c>
      <c r="F460" s="7" t="s">
        <v>13868</v>
      </c>
      <c r="G460" s="7" t="s">
        <v>2919</v>
      </c>
      <c r="H460" s="7" t="s">
        <v>13666</v>
      </c>
      <c r="I460" s="7" t="s">
        <v>13869</v>
      </c>
      <c r="J460" s="7" t="s">
        <v>13870</v>
      </c>
      <c r="K460" s="7" t="s">
        <v>13871</v>
      </c>
      <c r="L460" s="12">
        <v>2</v>
      </c>
      <c r="M460" s="7" t="s">
        <v>13121</v>
      </c>
    </row>
    <row r="461" spans="2:13" ht="52.5" customHeight="1" x14ac:dyDescent="0.35">
      <c r="B461" s="11">
        <v>37</v>
      </c>
      <c r="C461" s="5" t="s">
        <v>13872</v>
      </c>
      <c r="D461" s="11">
        <v>1</v>
      </c>
      <c r="E461" s="5" t="s">
        <v>13873</v>
      </c>
      <c r="F461" s="5" t="s">
        <v>13874</v>
      </c>
      <c r="G461" s="5" t="s">
        <v>25</v>
      </c>
      <c r="H461" s="5" t="s">
        <v>36</v>
      </c>
      <c r="I461" s="5" t="s">
        <v>13875</v>
      </c>
      <c r="J461" s="5" t="s">
        <v>177</v>
      </c>
      <c r="K461" s="5" t="s">
        <v>13876</v>
      </c>
      <c r="L461" s="11">
        <v>1</v>
      </c>
      <c r="M461" s="5" t="s">
        <v>13121</v>
      </c>
    </row>
    <row r="462" spans="2:13" ht="21.75" customHeight="1" x14ac:dyDescent="0.35">
      <c r="B462" s="12">
        <v>37</v>
      </c>
      <c r="C462" s="7" t="s">
        <v>13872</v>
      </c>
      <c r="D462" s="12">
        <v>2</v>
      </c>
      <c r="E462" s="7" t="s">
        <v>13877</v>
      </c>
      <c r="F462" s="7" t="s">
        <v>13878</v>
      </c>
      <c r="G462" s="7" t="s">
        <v>1667</v>
      </c>
      <c r="H462" s="7" t="s">
        <v>43</v>
      </c>
      <c r="I462" s="7" t="s">
        <v>13276</v>
      </c>
      <c r="J462" s="7" t="s">
        <v>13879</v>
      </c>
      <c r="K462" s="7" t="s">
        <v>13880</v>
      </c>
      <c r="L462" s="12">
        <v>1</v>
      </c>
      <c r="M462" s="7" t="s">
        <v>13121</v>
      </c>
    </row>
    <row r="463" spans="2:13" ht="52.5" customHeight="1" x14ac:dyDescent="0.35">
      <c r="B463" s="11">
        <v>37</v>
      </c>
      <c r="C463" s="5" t="s">
        <v>13872</v>
      </c>
      <c r="D463" s="11">
        <v>3</v>
      </c>
      <c r="E463" s="5" t="s">
        <v>13881</v>
      </c>
      <c r="F463" s="5" t="s">
        <v>13882</v>
      </c>
      <c r="G463" s="5" t="s">
        <v>188</v>
      </c>
      <c r="H463" s="5" t="s">
        <v>38</v>
      </c>
      <c r="I463" s="5" t="s">
        <v>13883</v>
      </c>
      <c r="J463" s="5" t="s">
        <v>194</v>
      </c>
      <c r="K463" s="5" t="s">
        <v>13884</v>
      </c>
      <c r="L463" s="11">
        <v>1</v>
      </c>
      <c r="M463" s="5" t="s">
        <v>13121</v>
      </c>
    </row>
    <row r="464" spans="2:13" ht="37.5" customHeight="1" x14ac:dyDescent="0.35">
      <c r="B464" s="12">
        <v>37</v>
      </c>
      <c r="C464" s="7" t="s">
        <v>13872</v>
      </c>
      <c r="D464" s="12">
        <v>4</v>
      </c>
      <c r="E464" s="7" t="s">
        <v>13885</v>
      </c>
      <c r="F464" s="7" t="s">
        <v>13886</v>
      </c>
      <c r="G464" s="7" t="s">
        <v>560</v>
      </c>
      <c r="H464" s="7" t="s">
        <v>1426</v>
      </c>
      <c r="I464" s="7" t="s">
        <v>13887</v>
      </c>
      <c r="J464" s="7" t="s">
        <v>13888</v>
      </c>
      <c r="K464" s="7" t="s">
        <v>13889</v>
      </c>
      <c r="L464" s="12">
        <v>1</v>
      </c>
      <c r="M464" s="7" t="s">
        <v>13121</v>
      </c>
    </row>
    <row r="465" spans="2:13" ht="52.5" customHeight="1" x14ac:dyDescent="0.35">
      <c r="B465" s="11">
        <v>37</v>
      </c>
      <c r="C465" s="5" t="s">
        <v>13872</v>
      </c>
      <c r="D465" s="11">
        <v>5</v>
      </c>
      <c r="E465" s="5" t="s">
        <v>13890</v>
      </c>
      <c r="F465" s="5" t="s">
        <v>13891</v>
      </c>
      <c r="G465" s="5" t="s">
        <v>273</v>
      </c>
      <c r="H465" s="5" t="s">
        <v>38</v>
      </c>
      <c r="I465" s="5" t="s">
        <v>13883</v>
      </c>
      <c r="J465" s="5" t="s">
        <v>194</v>
      </c>
      <c r="K465" s="5" t="s">
        <v>13884</v>
      </c>
      <c r="L465" s="11">
        <v>1</v>
      </c>
      <c r="M465" s="5" t="s">
        <v>13121</v>
      </c>
    </row>
    <row r="466" spans="2:13" ht="52.5" customHeight="1" x14ac:dyDescent="0.35">
      <c r="B466" s="12">
        <v>37</v>
      </c>
      <c r="C466" s="7" t="s">
        <v>13872</v>
      </c>
      <c r="D466" s="12">
        <v>6</v>
      </c>
      <c r="E466" s="7" t="s">
        <v>13892</v>
      </c>
      <c r="F466" s="7" t="s">
        <v>13893</v>
      </c>
      <c r="G466" s="7" t="s">
        <v>1294</v>
      </c>
      <c r="H466" s="7" t="s">
        <v>36</v>
      </c>
      <c r="I466" s="7" t="s">
        <v>13894</v>
      </c>
      <c r="J466" s="7" t="s">
        <v>194</v>
      </c>
      <c r="K466" s="7" t="s">
        <v>13895</v>
      </c>
      <c r="L466" s="12">
        <v>1</v>
      </c>
      <c r="M466" s="7" t="s">
        <v>13121</v>
      </c>
    </row>
    <row r="467" spans="2:13" ht="97.5" customHeight="1" x14ac:dyDescent="0.35">
      <c r="B467" s="11">
        <v>38</v>
      </c>
      <c r="C467" s="5" t="s">
        <v>13896</v>
      </c>
      <c r="D467" s="11">
        <v>1</v>
      </c>
      <c r="E467" s="5" t="s">
        <v>13897</v>
      </c>
      <c r="F467" s="5" t="s">
        <v>13898</v>
      </c>
      <c r="G467" s="5" t="s">
        <v>421</v>
      </c>
      <c r="H467" s="5" t="s">
        <v>13899</v>
      </c>
      <c r="I467" s="5" t="s">
        <v>13900</v>
      </c>
      <c r="J467" s="5" t="s">
        <v>13901</v>
      </c>
      <c r="K467" s="5" t="s">
        <v>13902</v>
      </c>
      <c r="L467" s="11">
        <v>3</v>
      </c>
      <c r="M467" s="5" t="s">
        <v>13903</v>
      </c>
    </row>
    <row r="468" spans="2:13" ht="37.5" customHeight="1" x14ac:dyDescent="0.35">
      <c r="B468" s="12">
        <v>38</v>
      </c>
      <c r="C468" s="7" t="s">
        <v>13896</v>
      </c>
      <c r="D468" s="12">
        <v>2</v>
      </c>
      <c r="E468" s="7" t="s">
        <v>13904</v>
      </c>
      <c r="F468" s="7" t="s">
        <v>13905</v>
      </c>
      <c r="G468" s="7" t="s">
        <v>1294</v>
      </c>
      <c r="H468" s="7" t="s">
        <v>13906</v>
      </c>
      <c r="I468" s="7" t="s">
        <v>13907</v>
      </c>
      <c r="J468" s="7" t="s">
        <v>8193</v>
      </c>
      <c r="K468" s="7" t="s">
        <v>13908</v>
      </c>
      <c r="L468" s="12">
        <v>1</v>
      </c>
      <c r="M468" s="7" t="s">
        <v>13903</v>
      </c>
    </row>
    <row r="469" spans="2:13" ht="37.5" customHeight="1" x14ac:dyDescent="0.35">
      <c r="B469" s="11">
        <v>38</v>
      </c>
      <c r="C469" s="5" t="s">
        <v>13896</v>
      </c>
      <c r="D469" s="11">
        <v>3</v>
      </c>
      <c r="E469" s="5" t="s">
        <v>13909</v>
      </c>
      <c r="F469" s="5" t="s">
        <v>13910</v>
      </c>
      <c r="G469" s="5" t="s">
        <v>24</v>
      </c>
      <c r="H469" s="5" t="s">
        <v>37</v>
      </c>
      <c r="I469" s="5" t="s">
        <v>12357</v>
      </c>
      <c r="J469" s="5" t="s">
        <v>12358</v>
      </c>
      <c r="K469" s="5" t="s">
        <v>12359</v>
      </c>
      <c r="L469" s="11">
        <v>1</v>
      </c>
      <c r="M469" s="5" t="s">
        <v>13903</v>
      </c>
    </row>
    <row r="470" spans="2:13" ht="37.5" customHeight="1" x14ac:dyDescent="0.35">
      <c r="B470" s="12">
        <v>38</v>
      </c>
      <c r="C470" s="7" t="s">
        <v>13896</v>
      </c>
      <c r="D470" s="12">
        <v>4</v>
      </c>
      <c r="E470" s="7" t="s">
        <v>13911</v>
      </c>
      <c r="F470" s="7" t="s">
        <v>13912</v>
      </c>
      <c r="G470" s="7" t="s">
        <v>30</v>
      </c>
      <c r="H470" s="7" t="s">
        <v>37</v>
      </c>
      <c r="I470" s="7" t="s">
        <v>12357</v>
      </c>
      <c r="J470" s="7" t="s">
        <v>12358</v>
      </c>
      <c r="K470" s="7" t="s">
        <v>12359</v>
      </c>
      <c r="L470" s="12">
        <v>1</v>
      </c>
      <c r="M470" s="7" t="s">
        <v>13903</v>
      </c>
    </row>
    <row r="471" spans="2:13" ht="37.5" customHeight="1" x14ac:dyDescent="0.35">
      <c r="B471" s="11">
        <v>38</v>
      </c>
      <c r="C471" s="5" t="s">
        <v>13896</v>
      </c>
      <c r="D471" s="11">
        <v>5</v>
      </c>
      <c r="E471" s="5" t="s">
        <v>13913</v>
      </c>
      <c r="F471" s="5" t="s">
        <v>13914</v>
      </c>
      <c r="G471" s="5" t="s">
        <v>206</v>
      </c>
      <c r="H471" s="5" t="s">
        <v>37</v>
      </c>
      <c r="I471" s="5" t="s">
        <v>13057</v>
      </c>
      <c r="J471" s="5" t="s">
        <v>8704</v>
      </c>
      <c r="K471" s="5" t="s">
        <v>13441</v>
      </c>
      <c r="L471" s="11">
        <v>1</v>
      </c>
      <c r="M471" s="5" t="s">
        <v>13903</v>
      </c>
    </row>
    <row r="472" spans="2:13" ht="21.75" customHeight="1" x14ac:dyDescent="0.35">
      <c r="B472" s="12">
        <v>38</v>
      </c>
      <c r="C472" s="7" t="s">
        <v>13896</v>
      </c>
      <c r="D472" s="12">
        <v>6</v>
      </c>
      <c r="E472" s="7" t="s">
        <v>13915</v>
      </c>
      <c r="F472" s="7" t="s">
        <v>13916</v>
      </c>
      <c r="G472" s="7" t="s">
        <v>198</v>
      </c>
      <c r="H472" s="7" t="s">
        <v>37</v>
      </c>
      <c r="I472" s="7" t="s">
        <v>13574</v>
      </c>
      <c r="J472" s="7" t="s">
        <v>12358</v>
      </c>
      <c r="K472" s="7" t="s">
        <v>13917</v>
      </c>
      <c r="L472" s="12">
        <v>1</v>
      </c>
      <c r="M472" s="7" t="s">
        <v>13903</v>
      </c>
    </row>
    <row r="473" spans="2:13" ht="37.5" customHeight="1" x14ac:dyDescent="0.35">
      <c r="B473" s="11">
        <v>38</v>
      </c>
      <c r="C473" s="5" t="s">
        <v>13896</v>
      </c>
      <c r="D473" s="11">
        <v>7</v>
      </c>
      <c r="E473" s="5" t="s">
        <v>13918</v>
      </c>
      <c r="F473" s="5" t="s">
        <v>13919</v>
      </c>
      <c r="G473" s="5" t="s">
        <v>695</v>
      </c>
      <c r="H473" s="5" t="s">
        <v>37</v>
      </c>
      <c r="I473" s="5" t="s">
        <v>13574</v>
      </c>
      <c r="J473" s="5" t="s">
        <v>12358</v>
      </c>
      <c r="K473" s="5" t="s">
        <v>13917</v>
      </c>
      <c r="L473" s="11">
        <v>1</v>
      </c>
      <c r="M473" s="5" t="s">
        <v>13903</v>
      </c>
    </row>
    <row r="474" spans="2:13" ht="37.5" customHeight="1" x14ac:dyDescent="0.35">
      <c r="B474" s="12">
        <v>38</v>
      </c>
      <c r="C474" s="7" t="s">
        <v>13896</v>
      </c>
      <c r="D474" s="12">
        <v>8</v>
      </c>
      <c r="E474" s="7" t="s">
        <v>13920</v>
      </c>
      <c r="F474" s="7" t="s">
        <v>13921</v>
      </c>
      <c r="G474" s="7" t="s">
        <v>24</v>
      </c>
      <c r="H474" s="7" t="s">
        <v>37</v>
      </c>
      <c r="I474" s="7" t="s">
        <v>12380</v>
      </c>
      <c r="J474" s="7" t="s">
        <v>12358</v>
      </c>
      <c r="K474" s="7" t="s">
        <v>12381</v>
      </c>
      <c r="L474" s="12">
        <v>1</v>
      </c>
      <c r="M474" s="7" t="s">
        <v>13903</v>
      </c>
    </row>
    <row r="475" spans="2:13" ht="52.5" customHeight="1" x14ac:dyDescent="0.35">
      <c r="B475" s="11">
        <v>38</v>
      </c>
      <c r="C475" s="5" t="s">
        <v>13896</v>
      </c>
      <c r="D475" s="11">
        <v>9</v>
      </c>
      <c r="E475" s="5" t="s">
        <v>13922</v>
      </c>
      <c r="F475" s="5" t="s">
        <v>13923</v>
      </c>
      <c r="G475" s="5" t="s">
        <v>28</v>
      </c>
      <c r="H475" s="5" t="s">
        <v>37</v>
      </c>
      <c r="I475" s="5" t="s">
        <v>13464</v>
      </c>
      <c r="J475" s="5" t="s">
        <v>12358</v>
      </c>
      <c r="K475" s="5" t="s">
        <v>13924</v>
      </c>
      <c r="L475" s="11">
        <v>1</v>
      </c>
      <c r="M475" s="5" t="s">
        <v>13903</v>
      </c>
    </row>
    <row r="476" spans="2:13" ht="52.5" customHeight="1" x14ac:dyDescent="0.35">
      <c r="B476" s="12">
        <v>38</v>
      </c>
      <c r="C476" s="7" t="s">
        <v>13896</v>
      </c>
      <c r="D476" s="12">
        <v>10</v>
      </c>
      <c r="E476" s="7" t="s">
        <v>13925</v>
      </c>
      <c r="F476" s="7" t="s">
        <v>13926</v>
      </c>
      <c r="G476" s="7" t="s">
        <v>282</v>
      </c>
      <c r="H476" s="7" t="s">
        <v>37</v>
      </c>
      <c r="I476" s="7" t="s">
        <v>13464</v>
      </c>
      <c r="J476" s="7" t="s">
        <v>12358</v>
      </c>
      <c r="K476" s="7" t="s">
        <v>13924</v>
      </c>
      <c r="L476" s="12">
        <v>1</v>
      </c>
      <c r="M476" s="7" t="s">
        <v>13903</v>
      </c>
    </row>
    <row r="477" spans="2:13" ht="52.5" customHeight="1" x14ac:dyDescent="0.35">
      <c r="B477" s="11">
        <v>38</v>
      </c>
      <c r="C477" s="5" t="s">
        <v>13896</v>
      </c>
      <c r="D477" s="11">
        <v>11</v>
      </c>
      <c r="E477" s="5" t="s">
        <v>13927</v>
      </c>
      <c r="F477" s="5" t="s">
        <v>13928</v>
      </c>
      <c r="G477" s="5" t="s">
        <v>249</v>
      </c>
      <c r="H477" s="5" t="s">
        <v>37</v>
      </c>
      <c r="I477" s="5" t="s">
        <v>13464</v>
      </c>
      <c r="J477" s="5" t="s">
        <v>12358</v>
      </c>
      <c r="K477" s="5" t="s">
        <v>13924</v>
      </c>
      <c r="L477" s="11">
        <v>1</v>
      </c>
      <c r="M477" s="5" t="s">
        <v>13903</v>
      </c>
    </row>
    <row r="478" spans="2:13" ht="52.5" customHeight="1" x14ac:dyDescent="0.35">
      <c r="B478" s="12">
        <v>38</v>
      </c>
      <c r="C478" s="7" t="s">
        <v>13896</v>
      </c>
      <c r="D478" s="12">
        <v>12</v>
      </c>
      <c r="E478" s="7" t="s">
        <v>13929</v>
      </c>
      <c r="F478" s="7" t="s">
        <v>13930</v>
      </c>
      <c r="G478" s="7" t="s">
        <v>428</v>
      </c>
      <c r="H478" s="7" t="s">
        <v>37</v>
      </c>
      <c r="I478" s="7" t="s">
        <v>13464</v>
      </c>
      <c r="J478" s="7" t="s">
        <v>12358</v>
      </c>
      <c r="K478" s="7" t="s">
        <v>13924</v>
      </c>
      <c r="L478" s="12">
        <v>1</v>
      </c>
      <c r="M478" s="7" t="s">
        <v>13903</v>
      </c>
    </row>
    <row r="479" spans="2:13" ht="52.5" customHeight="1" x14ac:dyDescent="0.35">
      <c r="B479" s="11">
        <v>38</v>
      </c>
      <c r="C479" s="5" t="s">
        <v>13896</v>
      </c>
      <c r="D479" s="11">
        <v>13</v>
      </c>
      <c r="E479" s="5" t="s">
        <v>13931</v>
      </c>
      <c r="F479" s="5" t="s">
        <v>13932</v>
      </c>
      <c r="G479" s="5" t="s">
        <v>625</v>
      </c>
      <c r="H479" s="5" t="s">
        <v>37</v>
      </c>
      <c r="I479" s="5" t="s">
        <v>13464</v>
      </c>
      <c r="J479" s="5" t="s">
        <v>12358</v>
      </c>
      <c r="K479" s="5" t="s">
        <v>13924</v>
      </c>
      <c r="L479" s="11">
        <v>1</v>
      </c>
      <c r="M479" s="5" t="s">
        <v>13903</v>
      </c>
    </row>
    <row r="480" spans="2:13" ht="52.5" customHeight="1" x14ac:dyDescent="0.35">
      <c r="B480" s="12">
        <v>38</v>
      </c>
      <c r="C480" s="7" t="s">
        <v>13896</v>
      </c>
      <c r="D480" s="12">
        <v>14</v>
      </c>
      <c r="E480" s="7" t="s">
        <v>13933</v>
      </c>
      <c r="F480" s="7" t="s">
        <v>13934</v>
      </c>
      <c r="G480" s="7" t="s">
        <v>395</v>
      </c>
      <c r="H480" s="7" t="s">
        <v>37</v>
      </c>
      <c r="I480" s="7" t="s">
        <v>13464</v>
      </c>
      <c r="J480" s="7" t="s">
        <v>12358</v>
      </c>
      <c r="K480" s="7" t="s">
        <v>13924</v>
      </c>
      <c r="L480" s="12">
        <v>1</v>
      </c>
      <c r="M480" s="7" t="s">
        <v>13903</v>
      </c>
    </row>
    <row r="481" spans="2:13" ht="52.5" customHeight="1" x14ac:dyDescent="0.35">
      <c r="B481" s="11">
        <v>38</v>
      </c>
      <c r="C481" s="5" t="s">
        <v>13896</v>
      </c>
      <c r="D481" s="11">
        <v>15</v>
      </c>
      <c r="E481" s="5" t="s">
        <v>13935</v>
      </c>
      <c r="F481" s="5" t="s">
        <v>13936</v>
      </c>
      <c r="G481" s="5" t="s">
        <v>27</v>
      </c>
      <c r="H481" s="5" t="s">
        <v>37</v>
      </c>
      <c r="I481" s="5" t="s">
        <v>13464</v>
      </c>
      <c r="J481" s="5" t="s">
        <v>12358</v>
      </c>
      <c r="K481" s="5" t="s">
        <v>13924</v>
      </c>
      <c r="L481" s="11">
        <v>1</v>
      </c>
      <c r="M481" s="5" t="s">
        <v>13903</v>
      </c>
    </row>
    <row r="482" spans="2:13" ht="37.5" customHeight="1" x14ac:dyDescent="0.35">
      <c r="B482" s="12">
        <v>38</v>
      </c>
      <c r="C482" s="7" t="s">
        <v>13896</v>
      </c>
      <c r="D482" s="12">
        <v>16</v>
      </c>
      <c r="E482" s="7" t="s">
        <v>13937</v>
      </c>
      <c r="F482" s="7" t="s">
        <v>13938</v>
      </c>
      <c r="G482" s="7" t="s">
        <v>188</v>
      </c>
      <c r="H482" s="7" t="s">
        <v>37</v>
      </c>
      <c r="I482" s="7" t="s">
        <v>13939</v>
      </c>
      <c r="J482" s="7" t="s">
        <v>7127</v>
      </c>
      <c r="K482" s="7" t="s">
        <v>13940</v>
      </c>
      <c r="L482" s="12">
        <v>1</v>
      </c>
      <c r="M482" s="7" t="s">
        <v>13903</v>
      </c>
    </row>
    <row r="483" spans="2:13" ht="37.5" customHeight="1" x14ac:dyDescent="0.35">
      <c r="B483" s="11">
        <v>38</v>
      </c>
      <c r="C483" s="5" t="s">
        <v>13896</v>
      </c>
      <c r="D483" s="11">
        <v>17</v>
      </c>
      <c r="E483" s="5" t="s">
        <v>13941</v>
      </c>
      <c r="F483" s="5" t="s">
        <v>13942</v>
      </c>
      <c r="G483" s="5" t="s">
        <v>13943</v>
      </c>
      <c r="H483" s="5" t="s">
        <v>37</v>
      </c>
      <c r="I483" s="5" t="s">
        <v>13939</v>
      </c>
      <c r="J483" s="5" t="s">
        <v>8704</v>
      </c>
      <c r="K483" s="5" t="s">
        <v>13944</v>
      </c>
      <c r="L483" s="11">
        <v>1</v>
      </c>
      <c r="M483" s="5" t="s">
        <v>13903</v>
      </c>
    </row>
    <row r="484" spans="2:13" ht="37.5" customHeight="1" x14ac:dyDescent="0.35">
      <c r="B484" s="12">
        <v>38</v>
      </c>
      <c r="C484" s="7" t="s">
        <v>13896</v>
      </c>
      <c r="D484" s="12">
        <v>18</v>
      </c>
      <c r="E484" s="7" t="s">
        <v>13945</v>
      </c>
      <c r="F484" s="7" t="s">
        <v>13946</v>
      </c>
      <c r="G484" s="7" t="s">
        <v>26</v>
      </c>
      <c r="H484" s="7" t="s">
        <v>37</v>
      </c>
      <c r="I484" s="7" t="s">
        <v>13939</v>
      </c>
      <c r="J484" s="7" t="s">
        <v>12358</v>
      </c>
      <c r="K484" s="7" t="s">
        <v>13947</v>
      </c>
      <c r="L484" s="12">
        <v>1</v>
      </c>
      <c r="M484" s="7" t="s">
        <v>13903</v>
      </c>
    </row>
    <row r="485" spans="2:13" ht="37.5" customHeight="1" x14ac:dyDescent="0.35">
      <c r="B485" s="11">
        <v>38</v>
      </c>
      <c r="C485" s="5" t="s">
        <v>13896</v>
      </c>
      <c r="D485" s="11">
        <v>19</v>
      </c>
      <c r="E485" s="5" t="s">
        <v>13948</v>
      </c>
      <c r="F485" s="5" t="s">
        <v>13949</v>
      </c>
      <c r="G485" s="5" t="s">
        <v>244</v>
      </c>
      <c r="H485" s="5" t="s">
        <v>37</v>
      </c>
      <c r="I485" s="5" t="s">
        <v>13939</v>
      </c>
      <c r="J485" s="5" t="s">
        <v>12358</v>
      </c>
      <c r="K485" s="5" t="s">
        <v>13947</v>
      </c>
      <c r="L485" s="11">
        <v>1</v>
      </c>
      <c r="M485" s="5" t="s">
        <v>13903</v>
      </c>
    </row>
    <row r="486" spans="2:13" ht="37.5" customHeight="1" x14ac:dyDescent="0.35">
      <c r="B486" s="12">
        <v>38</v>
      </c>
      <c r="C486" s="7" t="s">
        <v>13896</v>
      </c>
      <c r="D486" s="12">
        <v>20</v>
      </c>
      <c r="E486" s="7" t="s">
        <v>13950</v>
      </c>
      <c r="F486" s="7" t="s">
        <v>13951</v>
      </c>
      <c r="G486" s="7" t="s">
        <v>742</v>
      </c>
      <c r="H486" s="7" t="s">
        <v>37</v>
      </c>
      <c r="I486" s="7" t="s">
        <v>13939</v>
      </c>
      <c r="J486" s="7" t="s">
        <v>12358</v>
      </c>
      <c r="K486" s="7" t="s">
        <v>13947</v>
      </c>
      <c r="L486" s="12">
        <v>1</v>
      </c>
      <c r="M486" s="7" t="s">
        <v>13903</v>
      </c>
    </row>
    <row r="487" spans="2:13" ht="37.5" customHeight="1" x14ac:dyDescent="0.35">
      <c r="B487" s="11">
        <v>38</v>
      </c>
      <c r="C487" s="5" t="s">
        <v>13896</v>
      </c>
      <c r="D487" s="11">
        <v>21</v>
      </c>
      <c r="E487" s="5" t="s">
        <v>13952</v>
      </c>
      <c r="F487" s="5" t="s">
        <v>13953</v>
      </c>
      <c r="G487" s="5" t="s">
        <v>13954</v>
      </c>
      <c r="H487" s="5" t="s">
        <v>37</v>
      </c>
      <c r="I487" s="5" t="s">
        <v>13939</v>
      </c>
      <c r="J487" s="5" t="s">
        <v>12358</v>
      </c>
      <c r="K487" s="5" t="s">
        <v>13947</v>
      </c>
      <c r="L487" s="11">
        <v>1</v>
      </c>
      <c r="M487" s="5" t="s">
        <v>13903</v>
      </c>
    </row>
    <row r="488" spans="2:13" ht="37.5" customHeight="1" x14ac:dyDescent="0.35">
      <c r="B488" s="12">
        <v>38</v>
      </c>
      <c r="C488" s="7" t="s">
        <v>13896</v>
      </c>
      <c r="D488" s="12">
        <v>22</v>
      </c>
      <c r="E488" s="7" t="s">
        <v>13955</v>
      </c>
      <c r="F488" s="7" t="s">
        <v>13956</v>
      </c>
      <c r="G488" s="7" t="s">
        <v>778</v>
      </c>
      <c r="H488" s="7" t="s">
        <v>37</v>
      </c>
      <c r="I488" s="7" t="s">
        <v>13939</v>
      </c>
      <c r="J488" s="7" t="s">
        <v>12358</v>
      </c>
      <c r="K488" s="7" t="s">
        <v>13947</v>
      </c>
      <c r="L488" s="12">
        <v>1</v>
      </c>
      <c r="M488" s="7" t="s">
        <v>13903</v>
      </c>
    </row>
    <row r="489" spans="2:13" ht="37.5" customHeight="1" x14ac:dyDescent="0.35">
      <c r="B489" s="11">
        <v>38</v>
      </c>
      <c r="C489" s="5" t="s">
        <v>13896</v>
      </c>
      <c r="D489" s="11">
        <v>23</v>
      </c>
      <c r="E489" s="5" t="s">
        <v>13957</v>
      </c>
      <c r="F489" s="5" t="s">
        <v>13958</v>
      </c>
      <c r="G489" s="5" t="s">
        <v>4155</v>
      </c>
      <c r="H489" s="5" t="s">
        <v>37</v>
      </c>
      <c r="I489" s="5" t="s">
        <v>13939</v>
      </c>
      <c r="J489" s="5" t="s">
        <v>12358</v>
      </c>
      <c r="K489" s="5" t="s">
        <v>13947</v>
      </c>
      <c r="L489" s="11">
        <v>1</v>
      </c>
      <c r="M489" s="5" t="s">
        <v>13903</v>
      </c>
    </row>
    <row r="490" spans="2:13" ht="37.5" customHeight="1" x14ac:dyDescent="0.35">
      <c r="B490" s="12">
        <v>38</v>
      </c>
      <c r="C490" s="7" t="s">
        <v>13896</v>
      </c>
      <c r="D490" s="12">
        <v>24</v>
      </c>
      <c r="E490" s="7" t="s">
        <v>13959</v>
      </c>
      <c r="F490" s="7" t="s">
        <v>13960</v>
      </c>
      <c r="G490" s="7" t="s">
        <v>7581</v>
      </c>
      <c r="H490" s="7" t="s">
        <v>37</v>
      </c>
      <c r="I490" s="7" t="s">
        <v>13939</v>
      </c>
      <c r="J490" s="7" t="s">
        <v>12358</v>
      </c>
      <c r="K490" s="7" t="s">
        <v>13947</v>
      </c>
      <c r="L490" s="12">
        <v>1</v>
      </c>
      <c r="M490" s="7" t="s">
        <v>13903</v>
      </c>
    </row>
    <row r="491" spans="2:13" ht="37.5" customHeight="1" x14ac:dyDescent="0.35">
      <c r="B491" s="11">
        <v>38</v>
      </c>
      <c r="C491" s="5" t="s">
        <v>13896</v>
      </c>
      <c r="D491" s="11">
        <v>25</v>
      </c>
      <c r="E491" s="5" t="s">
        <v>13961</v>
      </c>
      <c r="F491" s="5" t="s">
        <v>13962</v>
      </c>
      <c r="G491" s="5" t="s">
        <v>653</v>
      </c>
      <c r="H491" s="5" t="s">
        <v>37</v>
      </c>
      <c r="I491" s="5" t="s">
        <v>13939</v>
      </c>
      <c r="J491" s="5" t="s">
        <v>12358</v>
      </c>
      <c r="K491" s="5" t="s">
        <v>13947</v>
      </c>
      <c r="L491" s="11">
        <v>1</v>
      </c>
      <c r="M491" s="5" t="s">
        <v>13903</v>
      </c>
    </row>
    <row r="492" spans="2:13" ht="37.5" customHeight="1" x14ac:dyDescent="0.35">
      <c r="B492" s="12">
        <v>38</v>
      </c>
      <c r="C492" s="7" t="s">
        <v>13896</v>
      </c>
      <c r="D492" s="12">
        <v>26</v>
      </c>
      <c r="E492" s="7" t="s">
        <v>13963</v>
      </c>
      <c r="F492" s="7" t="s">
        <v>13964</v>
      </c>
      <c r="G492" s="7" t="s">
        <v>279</v>
      </c>
      <c r="H492" s="7" t="s">
        <v>37</v>
      </c>
      <c r="I492" s="7" t="s">
        <v>13939</v>
      </c>
      <c r="J492" s="7" t="s">
        <v>12358</v>
      </c>
      <c r="K492" s="7" t="s">
        <v>13947</v>
      </c>
      <c r="L492" s="12">
        <v>1</v>
      </c>
      <c r="M492" s="7" t="s">
        <v>13903</v>
      </c>
    </row>
    <row r="493" spans="2:13" ht="37.5" customHeight="1" x14ac:dyDescent="0.35">
      <c r="B493" s="11">
        <v>38</v>
      </c>
      <c r="C493" s="5" t="s">
        <v>13896</v>
      </c>
      <c r="D493" s="11">
        <v>27</v>
      </c>
      <c r="E493" s="5" t="s">
        <v>13965</v>
      </c>
      <c r="F493" s="5" t="s">
        <v>13966</v>
      </c>
      <c r="G493" s="5" t="s">
        <v>713</v>
      </c>
      <c r="H493" s="5" t="s">
        <v>37</v>
      </c>
      <c r="I493" s="5" t="s">
        <v>13178</v>
      </c>
      <c r="J493" s="5" t="s">
        <v>12358</v>
      </c>
      <c r="K493" s="5" t="s">
        <v>13967</v>
      </c>
      <c r="L493" s="11">
        <v>1</v>
      </c>
      <c r="M493" s="5" t="s">
        <v>13903</v>
      </c>
    </row>
    <row r="494" spans="2:13" ht="37.5" customHeight="1" x14ac:dyDescent="0.35">
      <c r="B494" s="12">
        <v>38</v>
      </c>
      <c r="C494" s="7" t="s">
        <v>13896</v>
      </c>
      <c r="D494" s="12">
        <v>28</v>
      </c>
      <c r="E494" s="7" t="s">
        <v>13968</v>
      </c>
      <c r="F494" s="7" t="s">
        <v>13969</v>
      </c>
      <c r="G494" s="7" t="s">
        <v>13970</v>
      </c>
      <c r="H494" s="7" t="s">
        <v>37</v>
      </c>
      <c r="I494" s="7" t="s">
        <v>13178</v>
      </c>
      <c r="J494" s="7" t="s">
        <v>12358</v>
      </c>
      <c r="K494" s="7" t="s">
        <v>13967</v>
      </c>
      <c r="L494" s="12">
        <v>1</v>
      </c>
      <c r="M494" s="7" t="s">
        <v>13903</v>
      </c>
    </row>
    <row r="495" spans="2:13" ht="37.5" customHeight="1" x14ac:dyDescent="0.35">
      <c r="B495" s="11">
        <v>38</v>
      </c>
      <c r="C495" s="5" t="s">
        <v>13896</v>
      </c>
      <c r="D495" s="11">
        <v>29</v>
      </c>
      <c r="E495" s="5" t="s">
        <v>13971</v>
      </c>
      <c r="F495" s="5" t="s">
        <v>13972</v>
      </c>
      <c r="G495" s="5" t="s">
        <v>1045</v>
      </c>
      <c r="H495" s="5" t="s">
        <v>37</v>
      </c>
      <c r="I495" s="5" t="s">
        <v>13178</v>
      </c>
      <c r="J495" s="5" t="s">
        <v>12358</v>
      </c>
      <c r="K495" s="5" t="s">
        <v>13967</v>
      </c>
      <c r="L495" s="11">
        <v>1</v>
      </c>
      <c r="M495" s="5" t="s">
        <v>13903</v>
      </c>
    </row>
    <row r="496" spans="2:13" ht="37.5" customHeight="1" x14ac:dyDescent="0.35">
      <c r="B496" s="12">
        <v>38</v>
      </c>
      <c r="C496" s="7" t="s">
        <v>13896</v>
      </c>
      <c r="D496" s="12">
        <v>30</v>
      </c>
      <c r="E496" s="7" t="s">
        <v>13973</v>
      </c>
      <c r="F496" s="7" t="s">
        <v>13974</v>
      </c>
      <c r="G496" s="7" t="s">
        <v>939</v>
      </c>
      <c r="H496" s="7" t="s">
        <v>37</v>
      </c>
      <c r="I496" s="7" t="s">
        <v>13178</v>
      </c>
      <c r="J496" s="7" t="s">
        <v>12358</v>
      </c>
      <c r="K496" s="7" t="s">
        <v>13967</v>
      </c>
      <c r="L496" s="12">
        <v>1</v>
      </c>
      <c r="M496" s="7" t="s">
        <v>13903</v>
      </c>
    </row>
    <row r="497" spans="2:13" ht="37.5" customHeight="1" x14ac:dyDescent="0.35">
      <c r="B497" s="11">
        <v>38</v>
      </c>
      <c r="C497" s="5" t="s">
        <v>13896</v>
      </c>
      <c r="D497" s="11">
        <v>31</v>
      </c>
      <c r="E497" s="5" t="s">
        <v>13975</v>
      </c>
      <c r="F497" s="5" t="s">
        <v>13976</v>
      </c>
      <c r="G497" s="5" t="s">
        <v>402</v>
      </c>
      <c r="H497" s="5" t="s">
        <v>37</v>
      </c>
      <c r="I497" s="5" t="s">
        <v>13178</v>
      </c>
      <c r="J497" s="5" t="s">
        <v>12358</v>
      </c>
      <c r="K497" s="5" t="s">
        <v>13967</v>
      </c>
      <c r="L497" s="11">
        <v>1</v>
      </c>
      <c r="M497" s="5" t="s">
        <v>13903</v>
      </c>
    </row>
    <row r="498" spans="2:13" ht="37.5" customHeight="1" x14ac:dyDescent="0.35">
      <c r="B498" s="12">
        <v>38</v>
      </c>
      <c r="C498" s="7" t="s">
        <v>13896</v>
      </c>
      <c r="D498" s="12">
        <v>32</v>
      </c>
      <c r="E498" s="7" t="s">
        <v>13977</v>
      </c>
      <c r="F498" s="7" t="s">
        <v>13978</v>
      </c>
      <c r="G498" s="7" t="s">
        <v>3946</v>
      </c>
      <c r="H498" s="7" t="s">
        <v>37</v>
      </c>
      <c r="I498" s="7" t="s">
        <v>13178</v>
      </c>
      <c r="J498" s="7" t="s">
        <v>12358</v>
      </c>
      <c r="K498" s="7" t="s">
        <v>13967</v>
      </c>
      <c r="L498" s="12">
        <v>1</v>
      </c>
      <c r="M498" s="7" t="s">
        <v>13903</v>
      </c>
    </row>
    <row r="499" spans="2:13" ht="37.5" customHeight="1" x14ac:dyDescent="0.35">
      <c r="B499" s="11">
        <v>38</v>
      </c>
      <c r="C499" s="5" t="s">
        <v>13896</v>
      </c>
      <c r="D499" s="11">
        <v>33</v>
      </c>
      <c r="E499" s="5" t="s">
        <v>13979</v>
      </c>
      <c r="F499" s="5" t="s">
        <v>13980</v>
      </c>
      <c r="G499" s="5" t="s">
        <v>749</v>
      </c>
      <c r="H499" s="5" t="s">
        <v>37</v>
      </c>
      <c r="I499" s="5" t="s">
        <v>13178</v>
      </c>
      <c r="J499" s="5" t="s">
        <v>12358</v>
      </c>
      <c r="K499" s="5" t="s">
        <v>13967</v>
      </c>
      <c r="L499" s="11">
        <v>1</v>
      </c>
      <c r="M499" s="5" t="s">
        <v>13903</v>
      </c>
    </row>
    <row r="500" spans="2:13" ht="37.5" customHeight="1" x14ac:dyDescent="0.35">
      <c r="B500" s="12">
        <v>38</v>
      </c>
      <c r="C500" s="7" t="s">
        <v>13896</v>
      </c>
      <c r="D500" s="12">
        <v>34</v>
      </c>
      <c r="E500" s="7" t="s">
        <v>13981</v>
      </c>
      <c r="F500" s="7" t="s">
        <v>13982</v>
      </c>
      <c r="G500" s="7" t="s">
        <v>358</v>
      </c>
      <c r="H500" s="7" t="s">
        <v>37</v>
      </c>
      <c r="I500" s="7" t="s">
        <v>13178</v>
      </c>
      <c r="J500" s="7" t="s">
        <v>12358</v>
      </c>
      <c r="K500" s="7" t="s">
        <v>13967</v>
      </c>
      <c r="L500" s="12">
        <v>1</v>
      </c>
      <c r="M500" s="7" t="s">
        <v>13903</v>
      </c>
    </row>
    <row r="501" spans="2:13" ht="37.5" customHeight="1" x14ac:dyDescent="0.35">
      <c r="B501" s="11">
        <v>38</v>
      </c>
      <c r="C501" s="5" t="s">
        <v>13896</v>
      </c>
      <c r="D501" s="11">
        <v>35</v>
      </c>
      <c r="E501" s="5" t="s">
        <v>13983</v>
      </c>
      <c r="F501" s="5" t="s">
        <v>13984</v>
      </c>
      <c r="G501" s="5" t="s">
        <v>686</v>
      </c>
      <c r="H501" s="5" t="s">
        <v>37</v>
      </c>
      <c r="I501" s="5" t="s">
        <v>13178</v>
      </c>
      <c r="J501" s="5" t="s">
        <v>12358</v>
      </c>
      <c r="K501" s="5" t="s">
        <v>13967</v>
      </c>
      <c r="L501" s="11">
        <v>1</v>
      </c>
      <c r="M501" s="5" t="s">
        <v>13903</v>
      </c>
    </row>
    <row r="502" spans="2:13" ht="37.5" customHeight="1" x14ac:dyDescent="0.35">
      <c r="B502" s="12">
        <v>38</v>
      </c>
      <c r="C502" s="7" t="s">
        <v>13896</v>
      </c>
      <c r="D502" s="12">
        <v>36</v>
      </c>
      <c r="E502" s="7" t="s">
        <v>13985</v>
      </c>
      <c r="F502" s="7" t="s">
        <v>13986</v>
      </c>
      <c r="G502" s="7" t="s">
        <v>2685</v>
      </c>
      <c r="H502" s="7" t="s">
        <v>37</v>
      </c>
      <c r="I502" s="7" t="s">
        <v>13178</v>
      </c>
      <c r="J502" s="7" t="s">
        <v>12358</v>
      </c>
      <c r="K502" s="7" t="s">
        <v>13967</v>
      </c>
      <c r="L502" s="12">
        <v>1</v>
      </c>
      <c r="M502" s="7" t="s">
        <v>13903</v>
      </c>
    </row>
    <row r="503" spans="2:13" ht="37.5" customHeight="1" x14ac:dyDescent="0.35">
      <c r="B503" s="11">
        <v>38</v>
      </c>
      <c r="C503" s="5" t="s">
        <v>13896</v>
      </c>
      <c r="D503" s="11">
        <v>37</v>
      </c>
      <c r="E503" s="5" t="s">
        <v>13987</v>
      </c>
      <c r="F503" s="5" t="s">
        <v>13988</v>
      </c>
      <c r="G503" s="5" t="s">
        <v>2837</v>
      </c>
      <c r="H503" s="5" t="s">
        <v>37</v>
      </c>
      <c r="I503" s="5" t="s">
        <v>13178</v>
      </c>
      <c r="J503" s="5" t="s">
        <v>12358</v>
      </c>
      <c r="K503" s="5" t="s">
        <v>13967</v>
      </c>
      <c r="L503" s="11">
        <v>1</v>
      </c>
      <c r="M503" s="5" t="s">
        <v>13903</v>
      </c>
    </row>
    <row r="504" spans="2:13" ht="37.5" customHeight="1" x14ac:dyDescent="0.35">
      <c r="B504" s="12">
        <v>38</v>
      </c>
      <c r="C504" s="7" t="s">
        <v>13896</v>
      </c>
      <c r="D504" s="12">
        <v>38</v>
      </c>
      <c r="E504" s="7" t="s">
        <v>13989</v>
      </c>
      <c r="F504" s="7" t="s">
        <v>13990</v>
      </c>
      <c r="G504" s="7" t="s">
        <v>1290</v>
      </c>
      <c r="H504" s="7" t="s">
        <v>37</v>
      </c>
      <c r="I504" s="7" t="s">
        <v>13991</v>
      </c>
      <c r="J504" s="7" t="s">
        <v>12358</v>
      </c>
      <c r="K504" s="7" t="s">
        <v>13992</v>
      </c>
      <c r="L504" s="12">
        <v>1</v>
      </c>
      <c r="M504" s="7" t="s">
        <v>13903</v>
      </c>
    </row>
    <row r="505" spans="2:13" ht="37.5" customHeight="1" x14ac:dyDescent="0.35">
      <c r="B505" s="11">
        <v>38</v>
      </c>
      <c r="C505" s="5" t="s">
        <v>13896</v>
      </c>
      <c r="D505" s="11">
        <v>39</v>
      </c>
      <c r="E505" s="5" t="s">
        <v>13993</v>
      </c>
      <c r="F505" s="5" t="s">
        <v>13994</v>
      </c>
      <c r="G505" s="5" t="s">
        <v>576</v>
      </c>
      <c r="H505" s="5" t="s">
        <v>37</v>
      </c>
      <c r="I505" s="5" t="s">
        <v>13178</v>
      </c>
      <c r="J505" s="5" t="s">
        <v>12358</v>
      </c>
      <c r="K505" s="5" t="s">
        <v>13967</v>
      </c>
      <c r="L505" s="11">
        <v>1</v>
      </c>
      <c r="M505" s="5" t="s">
        <v>13903</v>
      </c>
    </row>
    <row r="506" spans="2:13" ht="37.5" customHeight="1" x14ac:dyDescent="0.35">
      <c r="B506" s="12">
        <v>38</v>
      </c>
      <c r="C506" s="7" t="s">
        <v>13896</v>
      </c>
      <c r="D506" s="12">
        <v>40</v>
      </c>
      <c r="E506" s="7" t="s">
        <v>13995</v>
      </c>
      <c r="F506" s="7" t="s">
        <v>13996</v>
      </c>
      <c r="G506" s="7" t="s">
        <v>1790</v>
      </c>
      <c r="H506" s="7" t="s">
        <v>37</v>
      </c>
      <c r="I506" s="7" t="s">
        <v>13991</v>
      </c>
      <c r="J506" s="7" t="s">
        <v>12358</v>
      </c>
      <c r="K506" s="7" t="s">
        <v>13992</v>
      </c>
      <c r="L506" s="12">
        <v>1</v>
      </c>
      <c r="M506" s="7" t="s">
        <v>13903</v>
      </c>
    </row>
    <row r="507" spans="2:13" ht="37.5" customHeight="1" x14ac:dyDescent="0.35">
      <c r="B507" s="11">
        <v>38</v>
      </c>
      <c r="C507" s="5" t="s">
        <v>13896</v>
      </c>
      <c r="D507" s="11">
        <v>41</v>
      </c>
      <c r="E507" s="5" t="s">
        <v>13997</v>
      </c>
      <c r="F507" s="5" t="s">
        <v>13998</v>
      </c>
      <c r="G507" s="5" t="s">
        <v>2254</v>
      </c>
      <c r="H507" s="5" t="s">
        <v>37</v>
      </c>
      <c r="I507" s="5" t="s">
        <v>13991</v>
      </c>
      <c r="J507" s="5" t="s">
        <v>12358</v>
      </c>
      <c r="K507" s="5" t="s">
        <v>13992</v>
      </c>
      <c r="L507" s="11">
        <v>1</v>
      </c>
      <c r="M507" s="5" t="s">
        <v>13903</v>
      </c>
    </row>
    <row r="508" spans="2:13" ht="37.5" customHeight="1" x14ac:dyDescent="0.35">
      <c r="B508" s="12">
        <v>38</v>
      </c>
      <c r="C508" s="7" t="s">
        <v>13896</v>
      </c>
      <c r="D508" s="12">
        <v>42</v>
      </c>
      <c r="E508" s="7" t="s">
        <v>13999</v>
      </c>
      <c r="F508" s="7" t="s">
        <v>14000</v>
      </c>
      <c r="G508" s="7" t="s">
        <v>698</v>
      </c>
      <c r="H508" s="7" t="s">
        <v>37</v>
      </c>
      <c r="I508" s="7" t="s">
        <v>13991</v>
      </c>
      <c r="J508" s="7" t="s">
        <v>12358</v>
      </c>
      <c r="K508" s="7" t="s">
        <v>13992</v>
      </c>
      <c r="L508" s="12">
        <v>1</v>
      </c>
      <c r="M508" s="7" t="s">
        <v>13903</v>
      </c>
    </row>
    <row r="509" spans="2:13" ht="37.5" customHeight="1" x14ac:dyDescent="0.35">
      <c r="B509" s="11">
        <v>38</v>
      </c>
      <c r="C509" s="5" t="s">
        <v>13896</v>
      </c>
      <c r="D509" s="11">
        <v>43</v>
      </c>
      <c r="E509" s="5" t="s">
        <v>14001</v>
      </c>
      <c r="F509" s="5" t="s">
        <v>14002</v>
      </c>
      <c r="G509" s="5" t="s">
        <v>7083</v>
      </c>
      <c r="H509" s="5" t="s">
        <v>37</v>
      </c>
      <c r="I509" s="5" t="s">
        <v>13991</v>
      </c>
      <c r="J509" s="5" t="s">
        <v>12358</v>
      </c>
      <c r="K509" s="5" t="s">
        <v>13992</v>
      </c>
      <c r="L509" s="11">
        <v>1</v>
      </c>
      <c r="M509" s="5" t="s">
        <v>13903</v>
      </c>
    </row>
    <row r="510" spans="2:13" ht="37.5" customHeight="1" x14ac:dyDescent="0.35">
      <c r="B510" s="12">
        <v>38</v>
      </c>
      <c r="C510" s="7" t="s">
        <v>13896</v>
      </c>
      <c r="D510" s="12">
        <v>44</v>
      </c>
      <c r="E510" s="7" t="s">
        <v>14003</v>
      </c>
      <c r="F510" s="7" t="s">
        <v>14004</v>
      </c>
      <c r="G510" s="7" t="s">
        <v>648</v>
      </c>
      <c r="H510" s="7" t="s">
        <v>37</v>
      </c>
      <c r="I510" s="7" t="s">
        <v>13991</v>
      </c>
      <c r="J510" s="7" t="s">
        <v>12358</v>
      </c>
      <c r="K510" s="7" t="s">
        <v>13992</v>
      </c>
      <c r="L510" s="12">
        <v>1</v>
      </c>
      <c r="M510" s="7" t="s">
        <v>13903</v>
      </c>
    </row>
    <row r="511" spans="2:13" ht="52.5" customHeight="1" x14ac:dyDescent="0.35">
      <c r="B511" s="11">
        <v>38</v>
      </c>
      <c r="C511" s="5" t="s">
        <v>13896</v>
      </c>
      <c r="D511" s="11">
        <v>45</v>
      </c>
      <c r="E511" s="5" t="s">
        <v>14005</v>
      </c>
      <c r="F511" s="5" t="s">
        <v>14006</v>
      </c>
      <c r="G511" s="5" t="s">
        <v>31</v>
      </c>
      <c r="H511" s="5" t="s">
        <v>14007</v>
      </c>
      <c r="I511" s="5" t="s">
        <v>14008</v>
      </c>
      <c r="J511" s="5" t="s">
        <v>12358</v>
      </c>
      <c r="K511" s="5" t="s">
        <v>14009</v>
      </c>
      <c r="L511" s="11">
        <v>1</v>
      </c>
      <c r="M511" s="5" t="s">
        <v>13903</v>
      </c>
    </row>
    <row r="512" spans="2:13" ht="37.5" customHeight="1" x14ac:dyDescent="0.35">
      <c r="B512" s="12">
        <v>38</v>
      </c>
      <c r="C512" s="7" t="s">
        <v>13896</v>
      </c>
      <c r="D512" s="12">
        <v>46</v>
      </c>
      <c r="E512" s="7" t="s">
        <v>14010</v>
      </c>
      <c r="F512" s="7" t="s">
        <v>14011</v>
      </c>
      <c r="G512" s="7" t="s">
        <v>25</v>
      </c>
      <c r="H512" s="7" t="s">
        <v>37</v>
      </c>
      <c r="I512" s="7" t="s">
        <v>13991</v>
      </c>
      <c r="J512" s="7" t="s">
        <v>12358</v>
      </c>
      <c r="K512" s="7" t="s">
        <v>13992</v>
      </c>
      <c r="L512" s="12">
        <v>1</v>
      </c>
      <c r="M512" s="7" t="s">
        <v>13903</v>
      </c>
    </row>
    <row r="513" spans="2:13" ht="37.5" customHeight="1" x14ac:dyDescent="0.35">
      <c r="B513" s="11">
        <v>38</v>
      </c>
      <c r="C513" s="5" t="s">
        <v>13896</v>
      </c>
      <c r="D513" s="11">
        <v>47</v>
      </c>
      <c r="E513" s="5" t="s">
        <v>14012</v>
      </c>
      <c r="F513" s="5" t="s">
        <v>14013</v>
      </c>
      <c r="G513" s="5" t="s">
        <v>701</v>
      </c>
      <c r="H513" s="5" t="s">
        <v>37</v>
      </c>
      <c r="I513" s="5" t="s">
        <v>13991</v>
      </c>
      <c r="J513" s="5" t="s">
        <v>12358</v>
      </c>
      <c r="K513" s="5" t="s">
        <v>13992</v>
      </c>
      <c r="L513" s="11">
        <v>1</v>
      </c>
      <c r="M513" s="5" t="s">
        <v>13903</v>
      </c>
    </row>
    <row r="514" spans="2:13" ht="37.5" customHeight="1" x14ac:dyDescent="0.35">
      <c r="B514" s="12">
        <v>38</v>
      </c>
      <c r="C514" s="7" t="s">
        <v>13896</v>
      </c>
      <c r="D514" s="12">
        <v>48</v>
      </c>
      <c r="E514" s="7" t="s">
        <v>14014</v>
      </c>
      <c r="F514" s="7" t="s">
        <v>14015</v>
      </c>
      <c r="G514" s="7" t="s">
        <v>1713</v>
      </c>
      <c r="H514" s="7" t="s">
        <v>37</v>
      </c>
      <c r="I514" s="7" t="s">
        <v>13991</v>
      </c>
      <c r="J514" s="7" t="s">
        <v>12358</v>
      </c>
      <c r="K514" s="7" t="s">
        <v>13992</v>
      </c>
      <c r="L514" s="12">
        <v>1</v>
      </c>
      <c r="M514" s="7" t="s">
        <v>13903</v>
      </c>
    </row>
    <row r="515" spans="2:13" ht="37.5" customHeight="1" x14ac:dyDescent="0.35">
      <c r="B515" s="11">
        <v>38</v>
      </c>
      <c r="C515" s="5" t="s">
        <v>13896</v>
      </c>
      <c r="D515" s="11">
        <v>49</v>
      </c>
      <c r="E515" s="5" t="s">
        <v>14016</v>
      </c>
      <c r="F515" s="5" t="s">
        <v>14017</v>
      </c>
      <c r="G515" s="5" t="s">
        <v>552</v>
      </c>
      <c r="H515" s="5" t="s">
        <v>37</v>
      </c>
      <c r="I515" s="5" t="s">
        <v>13991</v>
      </c>
      <c r="J515" s="5" t="s">
        <v>12358</v>
      </c>
      <c r="K515" s="5" t="s">
        <v>13992</v>
      </c>
      <c r="L515" s="11">
        <v>1</v>
      </c>
      <c r="M515" s="5" t="s">
        <v>13903</v>
      </c>
    </row>
    <row r="516" spans="2:13" ht="37.5" customHeight="1" x14ac:dyDescent="0.35">
      <c r="B516" s="12">
        <v>38</v>
      </c>
      <c r="C516" s="7" t="s">
        <v>13896</v>
      </c>
      <c r="D516" s="12">
        <v>50</v>
      </c>
      <c r="E516" s="7" t="s">
        <v>14018</v>
      </c>
      <c r="F516" s="7" t="s">
        <v>14019</v>
      </c>
      <c r="G516" s="7" t="s">
        <v>33</v>
      </c>
      <c r="H516" s="7" t="s">
        <v>37</v>
      </c>
      <c r="I516" s="7" t="s">
        <v>13991</v>
      </c>
      <c r="J516" s="7" t="s">
        <v>12358</v>
      </c>
      <c r="K516" s="7" t="s">
        <v>13992</v>
      </c>
      <c r="L516" s="12">
        <v>1</v>
      </c>
      <c r="M516" s="7" t="s">
        <v>13903</v>
      </c>
    </row>
    <row r="517" spans="2:13" ht="37.5" customHeight="1" x14ac:dyDescent="0.35">
      <c r="B517" s="11">
        <v>38</v>
      </c>
      <c r="C517" s="5" t="s">
        <v>13896</v>
      </c>
      <c r="D517" s="11">
        <v>51</v>
      </c>
      <c r="E517" s="5" t="s">
        <v>14020</v>
      </c>
      <c r="F517" s="5" t="s">
        <v>14021</v>
      </c>
      <c r="G517" s="5" t="s">
        <v>1196</v>
      </c>
      <c r="H517" s="5" t="s">
        <v>37</v>
      </c>
      <c r="I517" s="5" t="s">
        <v>13991</v>
      </c>
      <c r="J517" s="5" t="s">
        <v>12358</v>
      </c>
      <c r="K517" s="5" t="s">
        <v>13992</v>
      </c>
      <c r="L517" s="11">
        <v>1</v>
      </c>
      <c r="M517" s="5" t="s">
        <v>13903</v>
      </c>
    </row>
    <row r="518" spans="2:13" ht="37.5" customHeight="1" x14ac:dyDescent="0.35">
      <c r="B518" s="12">
        <v>38</v>
      </c>
      <c r="C518" s="7" t="s">
        <v>13896</v>
      </c>
      <c r="D518" s="12">
        <v>52</v>
      </c>
      <c r="E518" s="7" t="s">
        <v>14022</v>
      </c>
      <c r="F518" s="7" t="s">
        <v>14023</v>
      </c>
      <c r="G518" s="7" t="s">
        <v>788</v>
      </c>
      <c r="H518" s="7" t="s">
        <v>37</v>
      </c>
      <c r="I518" s="7" t="s">
        <v>13991</v>
      </c>
      <c r="J518" s="7" t="s">
        <v>12358</v>
      </c>
      <c r="K518" s="7" t="s">
        <v>13992</v>
      </c>
      <c r="L518" s="12">
        <v>1</v>
      </c>
      <c r="M518" s="7" t="s">
        <v>13903</v>
      </c>
    </row>
    <row r="519" spans="2:13" ht="37.5" customHeight="1" x14ac:dyDescent="0.35">
      <c r="B519" s="11">
        <v>38</v>
      </c>
      <c r="C519" s="5" t="s">
        <v>13896</v>
      </c>
      <c r="D519" s="11">
        <v>53</v>
      </c>
      <c r="E519" s="5" t="s">
        <v>14024</v>
      </c>
      <c r="F519" s="5" t="s">
        <v>14025</v>
      </c>
      <c r="G519" s="5" t="s">
        <v>1252</v>
      </c>
      <c r="H519" s="5" t="s">
        <v>37</v>
      </c>
      <c r="I519" s="5" t="s">
        <v>13991</v>
      </c>
      <c r="J519" s="5" t="s">
        <v>12358</v>
      </c>
      <c r="K519" s="5" t="s">
        <v>13992</v>
      </c>
      <c r="L519" s="11">
        <v>1</v>
      </c>
      <c r="M519" s="5" t="s">
        <v>13903</v>
      </c>
    </row>
    <row r="520" spans="2:13" ht="37.5" customHeight="1" x14ac:dyDescent="0.35">
      <c r="B520" s="12">
        <v>38</v>
      </c>
      <c r="C520" s="7" t="s">
        <v>13896</v>
      </c>
      <c r="D520" s="12">
        <v>54</v>
      </c>
      <c r="E520" s="7" t="s">
        <v>14026</v>
      </c>
      <c r="F520" s="7" t="s">
        <v>14027</v>
      </c>
      <c r="G520" s="7" t="s">
        <v>752</v>
      </c>
      <c r="H520" s="7" t="s">
        <v>37</v>
      </c>
      <c r="I520" s="7" t="s">
        <v>13991</v>
      </c>
      <c r="J520" s="7" t="s">
        <v>12358</v>
      </c>
      <c r="K520" s="7" t="s">
        <v>13992</v>
      </c>
      <c r="L520" s="12">
        <v>1</v>
      </c>
      <c r="M520" s="7" t="s">
        <v>13903</v>
      </c>
    </row>
    <row r="521" spans="2:13" ht="37.5" customHeight="1" x14ac:dyDescent="0.35">
      <c r="B521" s="11">
        <v>38</v>
      </c>
      <c r="C521" s="5" t="s">
        <v>13896</v>
      </c>
      <c r="D521" s="11">
        <v>55</v>
      </c>
      <c r="E521" s="5" t="s">
        <v>14028</v>
      </c>
      <c r="F521" s="5" t="s">
        <v>14029</v>
      </c>
      <c r="G521" s="5" t="s">
        <v>24</v>
      </c>
      <c r="H521" s="5" t="s">
        <v>37</v>
      </c>
      <c r="I521" s="5" t="s">
        <v>13991</v>
      </c>
      <c r="J521" s="5" t="s">
        <v>12358</v>
      </c>
      <c r="K521" s="5" t="s">
        <v>13992</v>
      </c>
      <c r="L521" s="11">
        <v>1</v>
      </c>
      <c r="M521" s="5" t="s">
        <v>13903</v>
      </c>
    </row>
    <row r="522" spans="2:13" ht="37.5" customHeight="1" x14ac:dyDescent="0.35">
      <c r="B522" s="12">
        <v>38</v>
      </c>
      <c r="C522" s="7" t="s">
        <v>13896</v>
      </c>
      <c r="D522" s="12">
        <v>56</v>
      </c>
      <c r="E522" s="7" t="s">
        <v>14030</v>
      </c>
      <c r="F522" s="7" t="s">
        <v>14031</v>
      </c>
      <c r="G522" s="7" t="s">
        <v>831</v>
      </c>
      <c r="H522" s="7" t="s">
        <v>37</v>
      </c>
      <c r="I522" s="7" t="s">
        <v>13991</v>
      </c>
      <c r="J522" s="7" t="s">
        <v>12358</v>
      </c>
      <c r="K522" s="7" t="s">
        <v>13992</v>
      </c>
      <c r="L522" s="12">
        <v>1</v>
      </c>
      <c r="M522" s="7" t="s">
        <v>13903</v>
      </c>
    </row>
    <row r="523" spans="2:13" ht="37.5" customHeight="1" x14ac:dyDescent="0.35">
      <c r="B523" s="11">
        <v>38</v>
      </c>
      <c r="C523" s="5" t="s">
        <v>13896</v>
      </c>
      <c r="D523" s="11">
        <v>57</v>
      </c>
      <c r="E523" s="5" t="s">
        <v>14032</v>
      </c>
      <c r="F523" s="5" t="s">
        <v>14033</v>
      </c>
      <c r="G523" s="5" t="s">
        <v>791</v>
      </c>
      <c r="H523" s="5" t="s">
        <v>37</v>
      </c>
      <c r="I523" s="5" t="s">
        <v>13991</v>
      </c>
      <c r="J523" s="5" t="s">
        <v>12358</v>
      </c>
      <c r="K523" s="5" t="s">
        <v>13992</v>
      </c>
      <c r="L523" s="11">
        <v>1</v>
      </c>
      <c r="M523" s="5" t="s">
        <v>13903</v>
      </c>
    </row>
    <row r="524" spans="2:13" ht="52.5" customHeight="1" x14ac:dyDescent="0.35">
      <c r="B524" s="12">
        <v>38</v>
      </c>
      <c r="C524" s="7" t="s">
        <v>13896</v>
      </c>
      <c r="D524" s="12">
        <v>58</v>
      </c>
      <c r="E524" s="7" t="s">
        <v>14034</v>
      </c>
      <c r="F524" s="7" t="s">
        <v>14035</v>
      </c>
      <c r="G524" s="7" t="s">
        <v>29</v>
      </c>
      <c r="H524" s="7" t="s">
        <v>14007</v>
      </c>
      <c r="I524" s="7" t="s">
        <v>14008</v>
      </c>
      <c r="J524" s="7" t="s">
        <v>14036</v>
      </c>
      <c r="K524" s="7" t="s">
        <v>14037</v>
      </c>
      <c r="L524" s="12">
        <v>2</v>
      </c>
      <c r="M524" s="7" t="s">
        <v>13903</v>
      </c>
    </row>
    <row r="525" spans="2:13" ht="37.5" customHeight="1" x14ac:dyDescent="0.35">
      <c r="B525" s="11">
        <v>38</v>
      </c>
      <c r="C525" s="5" t="s">
        <v>13896</v>
      </c>
      <c r="D525" s="11">
        <v>59</v>
      </c>
      <c r="E525" s="5" t="s">
        <v>14038</v>
      </c>
      <c r="F525" s="5" t="s">
        <v>14039</v>
      </c>
      <c r="G525" s="5" t="s">
        <v>1203</v>
      </c>
      <c r="H525" s="5" t="s">
        <v>37</v>
      </c>
      <c r="I525" s="5" t="s">
        <v>13991</v>
      </c>
      <c r="J525" s="5" t="s">
        <v>12358</v>
      </c>
      <c r="K525" s="5" t="s">
        <v>13992</v>
      </c>
      <c r="L525" s="11">
        <v>1</v>
      </c>
      <c r="M525" s="5" t="s">
        <v>13903</v>
      </c>
    </row>
    <row r="526" spans="2:13" ht="37.5" customHeight="1" x14ac:dyDescent="0.35">
      <c r="B526" s="12">
        <v>38</v>
      </c>
      <c r="C526" s="7" t="s">
        <v>13896</v>
      </c>
      <c r="D526" s="12">
        <v>60</v>
      </c>
      <c r="E526" s="7" t="s">
        <v>14040</v>
      </c>
      <c r="F526" s="7" t="s">
        <v>14041</v>
      </c>
      <c r="G526" s="7" t="s">
        <v>924</v>
      </c>
      <c r="H526" s="7" t="s">
        <v>37</v>
      </c>
      <c r="I526" s="7" t="s">
        <v>13991</v>
      </c>
      <c r="J526" s="7" t="s">
        <v>12358</v>
      </c>
      <c r="K526" s="7" t="s">
        <v>13992</v>
      </c>
      <c r="L526" s="12">
        <v>1</v>
      </c>
      <c r="M526" s="7" t="s">
        <v>13903</v>
      </c>
    </row>
    <row r="527" spans="2:13" ht="37.5" customHeight="1" x14ac:dyDescent="0.35">
      <c r="B527" s="11">
        <v>38</v>
      </c>
      <c r="C527" s="5" t="s">
        <v>13896</v>
      </c>
      <c r="D527" s="11">
        <v>61</v>
      </c>
      <c r="E527" s="5" t="s">
        <v>14042</v>
      </c>
      <c r="F527" s="5" t="s">
        <v>14043</v>
      </c>
      <c r="G527" s="5" t="s">
        <v>557</v>
      </c>
      <c r="H527" s="5" t="s">
        <v>37</v>
      </c>
      <c r="I527" s="5" t="s">
        <v>13991</v>
      </c>
      <c r="J527" s="5" t="s">
        <v>12358</v>
      </c>
      <c r="K527" s="5" t="s">
        <v>13992</v>
      </c>
      <c r="L527" s="11">
        <v>1</v>
      </c>
      <c r="M527" s="5" t="s">
        <v>13903</v>
      </c>
    </row>
    <row r="528" spans="2:13" ht="37.5" customHeight="1" x14ac:dyDescent="0.35">
      <c r="B528" s="12">
        <v>38</v>
      </c>
      <c r="C528" s="7" t="s">
        <v>13896</v>
      </c>
      <c r="D528" s="12">
        <v>62</v>
      </c>
      <c r="E528" s="7" t="s">
        <v>14044</v>
      </c>
      <c r="F528" s="7" t="s">
        <v>14045</v>
      </c>
      <c r="G528" s="7" t="s">
        <v>14046</v>
      </c>
      <c r="H528" s="7" t="s">
        <v>37</v>
      </c>
      <c r="I528" s="7" t="s">
        <v>13991</v>
      </c>
      <c r="J528" s="7" t="s">
        <v>12358</v>
      </c>
      <c r="K528" s="7" t="s">
        <v>13992</v>
      </c>
      <c r="L528" s="12">
        <v>1</v>
      </c>
      <c r="M528" s="7" t="s">
        <v>13903</v>
      </c>
    </row>
    <row r="529" spans="2:13" ht="37.5" customHeight="1" x14ac:dyDescent="0.35">
      <c r="B529" s="11">
        <v>38</v>
      </c>
      <c r="C529" s="5" t="s">
        <v>13896</v>
      </c>
      <c r="D529" s="11">
        <v>63</v>
      </c>
      <c r="E529" s="5" t="s">
        <v>14047</v>
      </c>
      <c r="F529" s="5" t="s">
        <v>14048</v>
      </c>
      <c r="G529" s="5" t="s">
        <v>645</v>
      </c>
      <c r="H529" s="5" t="s">
        <v>37</v>
      </c>
      <c r="I529" s="5" t="s">
        <v>13991</v>
      </c>
      <c r="J529" s="5" t="s">
        <v>12358</v>
      </c>
      <c r="K529" s="5" t="s">
        <v>13992</v>
      </c>
      <c r="L529" s="11">
        <v>1</v>
      </c>
      <c r="M529" s="5" t="s">
        <v>13903</v>
      </c>
    </row>
    <row r="530" spans="2:13" ht="37.5" customHeight="1" x14ac:dyDescent="0.35">
      <c r="B530" s="12">
        <v>38</v>
      </c>
      <c r="C530" s="7" t="s">
        <v>13896</v>
      </c>
      <c r="D530" s="12">
        <v>64</v>
      </c>
      <c r="E530" s="7" t="s">
        <v>14049</v>
      </c>
      <c r="F530" s="7" t="s">
        <v>14050</v>
      </c>
      <c r="G530" s="7" t="s">
        <v>439</v>
      </c>
      <c r="H530" s="7" t="s">
        <v>37</v>
      </c>
      <c r="I530" s="7" t="s">
        <v>13991</v>
      </c>
      <c r="J530" s="7" t="s">
        <v>12358</v>
      </c>
      <c r="K530" s="7" t="s">
        <v>13992</v>
      </c>
      <c r="L530" s="12">
        <v>1</v>
      </c>
      <c r="M530" s="7" t="s">
        <v>13903</v>
      </c>
    </row>
    <row r="531" spans="2:13" ht="37.5" customHeight="1" x14ac:dyDescent="0.35">
      <c r="B531" s="11">
        <v>38</v>
      </c>
      <c r="C531" s="5" t="s">
        <v>13896</v>
      </c>
      <c r="D531" s="11">
        <v>65</v>
      </c>
      <c r="E531" s="5" t="s">
        <v>14051</v>
      </c>
      <c r="F531" s="5" t="s">
        <v>14052</v>
      </c>
      <c r="G531" s="5" t="s">
        <v>1214</v>
      </c>
      <c r="H531" s="5" t="s">
        <v>37</v>
      </c>
      <c r="I531" s="5" t="s">
        <v>13991</v>
      </c>
      <c r="J531" s="5" t="s">
        <v>12358</v>
      </c>
      <c r="K531" s="5" t="s">
        <v>13992</v>
      </c>
      <c r="L531" s="11">
        <v>1</v>
      </c>
      <c r="M531" s="5" t="s">
        <v>13903</v>
      </c>
    </row>
    <row r="532" spans="2:13" ht="52.5" customHeight="1" x14ac:dyDescent="0.35">
      <c r="B532" s="12">
        <v>38</v>
      </c>
      <c r="C532" s="7" t="s">
        <v>13896</v>
      </c>
      <c r="D532" s="12">
        <v>66</v>
      </c>
      <c r="E532" s="7" t="s">
        <v>14053</v>
      </c>
      <c r="F532" s="7" t="s">
        <v>14054</v>
      </c>
      <c r="G532" s="7" t="s">
        <v>30</v>
      </c>
      <c r="H532" s="7" t="s">
        <v>2399</v>
      </c>
      <c r="I532" s="7" t="s">
        <v>14055</v>
      </c>
      <c r="J532" s="7" t="s">
        <v>14056</v>
      </c>
      <c r="K532" s="7" t="s">
        <v>14057</v>
      </c>
      <c r="L532" s="12">
        <v>2</v>
      </c>
      <c r="M532" s="7" t="s">
        <v>13903</v>
      </c>
    </row>
    <row r="533" spans="2:13" ht="52.5" customHeight="1" x14ac:dyDescent="0.35">
      <c r="B533" s="11">
        <v>38</v>
      </c>
      <c r="C533" s="5" t="s">
        <v>13896</v>
      </c>
      <c r="D533" s="11">
        <v>67</v>
      </c>
      <c r="E533" s="5" t="s">
        <v>14058</v>
      </c>
      <c r="F533" s="5" t="s">
        <v>14059</v>
      </c>
      <c r="G533" s="5" t="s">
        <v>842</v>
      </c>
      <c r="H533" s="5" t="s">
        <v>2399</v>
      </c>
      <c r="I533" s="5" t="s">
        <v>14060</v>
      </c>
      <c r="J533" s="5" t="s">
        <v>14061</v>
      </c>
      <c r="K533" s="5" t="s">
        <v>14062</v>
      </c>
      <c r="L533" s="11">
        <v>2</v>
      </c>
      <c r="M533" s="5" t="s">
        <v>13903</v>
      </c>
    </row>
    <row r="534" spans="2:13" ht="37.5" customHeight="1" x14ac:dyDescent="0.35">
      <c r="B534" s="12">
        <v>38</v>
      </c>
      <c r="C534" s="7" t="s">
        <v>13896</v>
      </c>
      <c r="D534" s="12">
        <v>68</v>
      </c>
      <c r="E534" s="7" t="s">
        <v>14063</v>
      </c>
      <c r="F534" s="7" t="s">
        <v>14064</v>
      </c>
      <c r="G534" s="7" t="s">
        <v>1667</v>
      </c>
      <c r="H534" s="7" t="s">
        <v>1426</v>
      </c>
      <c r="I534" s="7" t="s">
        <v>14065</v>
      </c>
      <c r="J534" s="7" t="s">
        <v>269</v>
      </c>
      <c r="K534" s="7" t="s">
        <v>14066</v>
      </c>
      <c r="L534" s="12">
        <v>1</v>
      </c>
      <c r="M534" s="7" t="s">
        <v>13903</v>
      </c>
    </row>
    <row r="535" spans="2:13" ht="37.5" customHeight="1" x14ac:dyDescent="0.35">
      <c r="B535" s="11">
        <v>38</v>
      </c>
      <c r="C535" s="5" t="s">
        <v>13896</v>
      </c>
      <c r="D535" s="11">
        <v>69</v>
      </c>
      <c r="E535" s="5" t="s">
        <v>14067</v>
      </c>
      <c r="F535" s="5" t="s">
        <v>14068</v>
      </c>
      <c r="G535" s="5" t="s">
        <v>1855</v>
      </c>
      <c r="H535" s="5" t="s">
        <v>1426</v>
      </c>
      <c r="I535" s="5" t="s">
        <v>14069</v>
      </c>
      <c r="J535" s="5" t="s">
        <v>14070</v>
      </c>
      <c r="K535" s="5" t="s">
        <v>14071</v>
      </c>
      <c r="L535" s="11">
        <v>1</v>
      </c>
      <c r="M535" s="5" t="s">
        <v>13903</v>
      </c>
    </row>
    <row r="536" spans="2:13" ht="37.5" customHeight="1" x14ac:dyDescent="0.35">
      <c r="B536" s="12">
        <v>38</v>
      </c>
      <c r="C536" s="7" t="s">
        <v>13896</v>
      </c>
      <c r="D536" s="12">
        <v>70</v>
      </c>
      <c r="E536" s="7" t="s">
        <v>14072</v>
      </c>
      <c r="F536" s="7" t="s">
        <v>14073</v>
      </c>
      <c r="G536" s="7" t="s">
        <v>686</v>
      </c>
      <c r="H536" s="7" t="s">
        <v>37</v>
      </c>
      <c r="I536" s="7" t="s">
        <v>12424</v>
      </c>
      <c r="J536" s="7" t="s">
        <v>12358</v>
      </c>
      <c r="K536" s="7" t="s">
        <v>14074</v>
      </c>
      <c r="L536" s="12">
        <v>1</v>
      </c>
      <c r="M536" s="7" t="s">
        <v>13903</v>
      </c>
    </row>
    <row r="537" spans="2:13" ht="37.5" customHeight="1" x14ac:dyDescent="0.35">
      <c r="B537" s="11">
        <v>38</v>
      </c>
      <c r="C537" s="5" t="s">
        <v>13896</v>
      </c>
      <c r="D537" s="11">
        <v>71</v>
      </c>
      <c r="E537" s="5" t="s">
        <v>14075</v>
      </c>
      <c r="F537" s="5" t="s">
        <v>14076</v>
      </c>
      <c r="G537" s="5" t="s">
        <v>1127</v>
      </c>
      <c r="H537" s="5" t="s">
        <v>37</v>
      </c>
      <c r="I537" s="5" t="s">
        <v>12424</v>
      </c>
      <c r="J537" s="5" t="s">
        <v>12358</v>
      </c>
      <c r="K537" s="5" t="s">
        <v>14074</v>
      </c>
      <c r="L537" s="11">
        <v>1</v>
      </c>
      <c r="M537" s="5" t="s">
        <v>13903</v>
      </c>
    </row>
    <row r="538" spans="2:13" ht="37.5" customHeight="1" x14ac:dyDescent="0.35">
      <c r="B538" s="12">
        <v>38</v>
      </c>
      <c r="C538" s="7" t="s">
        <v>13896</v>
      </c>
      <c r="D538" s="12">
        <v>72</v>
      </c>
      <c r="E538" s="7" t="s">
        <v>14077</v>
      </c>
      <c r="F538" s="7" t="s">
        <v>14078</v>
      </c>
      <c r="G538" s="7" t="s">
        <v>800</v>
      </c>
      <c r="H538" s="7" t="s">
        <v>37</v>
      </c>
      <c r="I538" s="7" t="s">
        <v>12424</v>
      </c>
      <c r="J538" s="7" t="s">
        <v>12358</v>
      </c>
      <c r="K538" s="7" t="s">
        <v>14074</v>
      </c>
      <c r="L538" s="12">
        <v>1</v>
      </c>
      <c r="M538" s="7" t="s">
        <v>13903</v>
      </c>
    </row>
    <row r="539" spans="2:13" ht="37.5" customHeight="1" x14ac:dyDescent="0.35">
      <c r="B539" s="11">
        <v>38</v>
      </c>
      <c r="C539" s="5" t="s">
        <v>13896</v>
      </c>
      <c r="D539" s="11">
        <v>73</v>
      </c>
      <c r="E539" s="5" t="s">
        <v>14079</v>
      </c>
      <c r="F539" s="5" t="s">
        <v>14080</v>
      </c>
      <c r="G539" s="5" t="s">
        <v>2672</v>
      </c>
      <c r="H539" s="5" t="s">
        <v>37</v>
      </c>
      <c r="I539" s="5" t="s">
        <v>12424</v>
      </c>
      <c r="J539" s="5" t="s">
        <v>12358</v>
      </c>
      <c r="K539" s="5" t="s">
        <v>14074</v>
      </c>
      <c r="L539" s="11">
        <v>1</v>
      </c>
      <c r="M539" s="5" t="s">
        <v>13903</v>
      </c>
    </row>
    <row r="540" spans="2:13" ht="37.5" customHeight="1" x14ac:dyDescent="0.35">
      <c r="B540" s="12">
        <v>38</v>
      </c>
      <c r="C540" s="7" t="s">
        <v>13896</v>
      </c>
      <c r="D540" s="12">
        <v>74</v>
      </c>
      <c r="E540" s="7" t="s">
        <v>14081</v>
      </c>
      <c r="F540" s="7" t="s">
        <v>14082</v>
      </c>
      <c r="G540" s="7" t="s">
        <v>2768</v>
      </c>
      <c r="H540" s="7" t="s">
        <v>37</v>
      </c>
      <c r="I540" s="7" t="s">
        <v>12424</v>
      </c>
      <c r="J540" s="7" t="s">
        <v>12358</v>
      </c>
      <c r="K540" s="7" t="s">
        <v>14074</v>
      </c>
      <c r="L540" s="12">
        <v>1</v>
      </c>
      <c r="M540" s="7" t="s">
        <v>13903</v>
      </c>
    </row>
    <row r="541" spans="2:13" ht="37.5" customHeight="1" x14ac:dyDescent="0.35">
      <c r="B541" s="11">
        <v>38</v>
      </c>
      <c r="C541" s="5" t="s">
        <v>13896</v>
      </c>
      <c r="D541" s="11">
        <v>75</v>
      </c>
      <c r="E541" s="5" t="s">
        <v>14083</v>
      </c>
      <c r="F541" s="5" t="s">
        <v>14084</v>
      </c>
      <c r="G541" s="5" t="s">
        <v>14085</v>
      </c>
      <c r="H541" s="5" t="s">
        <v>37</v>
      </c>
      <c r="I541" s="5" t="s">
        <v>12424</v>
      </c>
      <c r="J541" s="5" t="s">
        <v>12358</v>
      </c>
      <c r="K541" s="5" t="s">
        <v>14074</v>
      </c>
      <c r="L541" s="11">
        <v>1</v>
      </c>
      <c r="M541" s="5" t="s">
        <v>13903</v>
      </c>
    </row>
    <row r="542" spans="2:13" ht="37.5" customHeight="1" x14ac:dyDescent="0.35">
      <c r="B542" s="12">
        <v>38</v>
      </c>
      <c r="C542" s="7" t="s">
        <v>13896</v>
      </c>
      <c r="D542" s="12">
        <v>76</v>
      </c>
      <c r="E542" s="7" t="s">
        <v>14086</v>
      </c>
      <c r="F542" s="7" t="s">
        <v>14087</v>
      </c>
      <c r="G542" s="7" t="s">
        <v>14088</v>
      </c>
      <c r="H542" s="7" t="s">
        <v>37</v>
      </c>
      <c r="I542" s="7" t="s">
        <v>12424</v>
      </c>
      <c r="J542" s="7" t="s">
        <v>12358</v>
      </c>
      <c r="K542" s="7" t="s">
        <v>14074</v>
      </c>
      <c r="L542" s="12">
        <v>1</v>
      </c>
      <c r="M542" s="7" t="s">
        <v>13903</v>
      </c>
    </row>
    <row r="543" spans="2:13" ht="37.5" customHeight="1" x14ac:dyDescent="0.35">
      <c r="B543" s="11">
        <v>38</v>
      </c>
      <c r="C543" s="5" t="s">
        <v>13896</v>
      </c>
      <c r="D543" s="11">
        <v>77</v>
      </c>
      <c r="E543" s="5" t="s">
        <v>14089</v>
      </c>
      <c r="F543" s="5" t="s">
        <v>14090</v>
      </c>
      <c r="G543" s="5" t="s">
        <v>1145</v>
      </c>
      <c r="H543" s="5" t="s">
        <v>37</v>
      </c>
      <c r="I543" s="5" t="s">
        <v>12424</v>
      </c>
      <c r="J543" s="5" t="s">
        <v>12358</v>
      </c>
      <c r="K543" s="5" t="s">
        <v>14074</v>
      </c>
      <c r="L543" s="11">
        <v>1</v>
      </c>
      <c r="M543" s="5" t="s">
        <v>13903</v>
      </c>
    </row>
    <row r="544" spans="2:13" ht="37.5" customHeight="1" x14ac:dyDescent="0.35">
      <c r="B544" s="12">
        <v>38</v>
      </c>
      <c r="C544" s="7" t="s">
        <v>13896</v>
      </c>
      <c r="D544" s="12">
        <v>78</v>
      </c>
      <c r="E544" s="7" t="s">
        <v>14091</v>
      </c>
      <c r="F544" s="7" t="s">
        <v>14092</v>
      </c>
      <c r="G544" s="7" t="s">
        <v>993</v>
      </c>
      <c r="H544" s="7" t="s">
        <v>37</v>
      </c>
      <c r="I544" s="7" t="s">
        <v>12424</v>
      </c>
      <c r="J544" s="7" t="s">
        <v>12358</v>
      </c>
      <c r="K544" s="7" t="s">
        <v>14074</v>
      </c>
      <c r="L544" s="12">
        <v>1</v>
      </c>
      <c r="M544" s="7" t="s">
        <v>13903</v>
      </c>
    </row>
    <row r="545" spans="2:13" ht="37.5" customHeight="1" x14ac:dyDescent="0.35">
      <c r="B545" s="11">
        <v>38</v>
      </c>
      <c r="C545" s="5" t="s">
        <v>13896</v>
      </c>
      <c r="D545" s="11">
        <v>79</v>
      </c>
      <c r="E545" s="5" t="s">
        <v>14093</v>
      </c>
      <c r="F545" s="5" t="s">
        <v>14094</v>
      </c>
      <c r="G545" s="5" t="s">
        <v>686</v>
      </c>
      <c r="H545" s="5" t="s">
        <v>37</v>
      </c>
      <c r="I545" s="5" t="s">
        <v>12424</v>
      </c>
      <c r="J545" s="5" t="s">
        <v>9046</v>
      </c>
      <c r="K545" s="5" t="s">
        <v>14095</v>
      </c>
      <c r="L545" s="11">
        <v>1</v>
      </c>
      <c r="M545" s="5" t="s">
        <v>13903</v>
      </c>
    </row>
    <row r="546" spans="2:13" ht="37.5" customHeight="1" x14ac:dyDescent="0.35">
      <c r="B546" s="12">
        <v>38</v>
      </c>
      <c r="C546" s="7" t="s">
        <v>13896</v>
      </c>
      <c r="D546" s="12">
        <v>80</v>
      </c>
      <c r="E546" s="7" t="s">
        <v>14096</v>
      </c>
      <c r="F546" s="7" t="s">
        <v>14097</v>
      </c>
      <c r="G546" s="7" t="s">
        <v>794</v>
      </c>
      <c r="H546" s="7" t="s">
        <v>37</v>
      </c>
      <c r="I546" s="7" t="s">
        <v>12424</v>
      </c>
      <c r="J546" s="7" t="s">
        <v>12358</v>
      </c>
      <c r="K546" s="7" t="s">
        <v>14074</v>
      </c>
      <c r="L546" s="12">
        <v>1</v>
      </c>
      <c r="M546" s="7" t="s">
        <v>13903</v>
      </c>
    </row>
    <row r="547" spans="2:13" ht="37.5" customHeight="1" x14ac:dyDescent="0.35">
      <c r="B547" s="11">
        <v>38</v>
      </c>
      <c r="C547" s="5" t="s">
        <v>13896</v>
      </c>
      <c r="D547" s="11">
        <v>81</v>
      </c>
      <c r="E547" s="5" t="s">
        <v>14098</v>
      </c>
      <c r="F547" s="5" t="s">
        <v>14099</v>
      </c>
      <c r="G547" s="5" t="s">
        <v>4311</v>
      </c>
      <c r="H547" s="5" t="s">
        <v>37</v>
      </c>
      <c r="I547" s="5" t="s">
        <v>12424</v>
      </c>
      <c r="J547" s="5" t="s">
        <v>12358</v>
      </c>
      <c r="K547" s="5" t="s">
        <v>14074</v>
      </c>
      <c r="L547" s="11">
        <v>1</v>
      </c>
      <c r="M547" s="5" t="s">
        <v>13903</v>
      </c>
    </row>
    <row r="548" spans="2:13" ht="37.5" customHeight="1" x14ac:dyDescent="0.35">
      <c r="B548" s="12">
        <v>38</v>
      </c>
      <c r="C548" s="7" t="s">
        <v>13896</v>
      </c>
      <c r="D548" s="12">
        <v>82</v>
      </c>
      <c r="E548" s="7" t="s">
        <v>14100</v>
      </c>
      <c r="F548" s="7" t="s">
        <v>14101</v>
      </c>
      <c r="G548" s="7" t="s">
        <v>856</v>
      </c>
      <c r="H548" s="7" t="s">
        <v>37</v>
      </c>
      <c r="I548" s="7" t="s">
        <v>12424</v>
      </c>
      <c r="J548" s="7" t="s">
        <v>12358</v>
      </c>
      <c r="K548" s="7" t="s">
        <v>14074</v>
      </c>
      <c r="L548" s="12">
        <v>1</v>
      </c>
      <c r="M548" s="7" t="s">
        <v>13903</v>
      </c>
    </row>
    <row r="549" spans="2:13" ht="37.5" customHeight="1" x14ac:dyDescent="0.35">
      <c r="B549" s="11">
        <v>38</v>
      </c>
      <c r="C549" s="5" t="s">
        <v>13896</v>
      </c>
      <c r="D549" s="11">
        <v>83</v>
      </c>
      <c r="E549" s="5" t="s">
        <v>14102</v>
      </c>
      <c r="F549" s="5" t="s">
        <v>14103</v>
      </c>
      <c r="G549" s="5" t="s">
        <v>151</v>
      </c>
      <c r="H549" s="5" t="s">
        <v>37</v>
      </c>
      <c r="I549" s="5" t="s">
        <v>12424</v>
      </c>
      <c r="J549" s="5" t="s">
        <v>12358</v>
      </c>
      <c r="K549" s="5" t="s">
        <v>14074</v>
      </c>
      <c r="L549" s="11">
        <v>1</v>
      </c>
      <c r="M549" s="5" t="s">
        <v>13903</v>
      </c>
    </row>
    <row r="550" spans="2:13" ht="37.5" customHeight="1" x14ac:dyDescent="0.35">
      <c r="B550" s="12">
        <v>38</v>
      </c>
      <c r="C550" s="7" t="s">
        <v>13896</v>
      </c>
      <c r="D550" s="12">
        <v>84</v>
      </c>
      <c r="E550" s="7" t="s">
        <v>14104</v>
      </c>
      <c r="F550" s="7" t="s">
        <v>14105</v>
      </c>
      <c r="G550" s="7" t="s">
        <v>4811</v>
      </c>
      <c r="H550" s="7" t="s">
        <v>37</v>
      </c>
      <c r="I550" s="7" t="s">
        <v>12424</v>
      </c>
      <c r="J550" s="7" t="s">
        <v>12358</v>
      </c>
      <c r="K550" s="7" t="s">
        <v>14074</v>
      </c>
      <c r="L550" s="12">
        <v>1</v>
      </c>
      <c r="M550" s="7" t="s">
        <v>13903</v>
      </c>
    </row>
    <row r="551" spans="2:13" ht="37.5" customHeight="1" x14ac:dyDescent="0.35">
      <c r="B551" s="11">
        <v>38</v>
      </c>
      <c r="C551" s="5" t="s">
        <v>13896</v>
      </c>
      <c r="D551" s="11">
        <v>85</v>
      </c>
      <c r="E551" s="5" t="s">
        <v>14106</v>
      </c>
      <c r="F551" s="5" t="s">
        <v>14107</v>
      </c>
      <c r="G551" s="5" t="s">
        <v>160</v>
      </c>
      <c r="H551" s="5" t="s">
        <v>1426</v>
      </c>
      <c r="I551" s="5" t="s">
        <v>14108</v>
      </c>
      <c r="J551" s="5" t="s">
        <v>12358</v>
      </c>
      <c r="K551" s="5" t="s">
        <v>14109</v>
      </c>
      <c r="L551" s="11">
        <v>1</v>
      </c>
      <c r="M551" s="5" t="s">
        <v>13903</v>
      </c>
    </row>
    <row r="552" spans="2:13" ht="37.5" customHeight="1" x14ac:dyDescent="0.35">
      <c r="B552" s="12">
        <v>38</v>
      </c>
      <c r="C552" s="7" t="s">
        <v>13896</v>
      </c>
      <c r="D552" s="12">
        <v>86</v>
      </c>
      <c r="E552" s="7" t="s">
        <v>14110</v>
      </c>
      <c r="F552" s="7" t="s">
        <v>14111</v>
      </c>
      <c r="G552" s="7" t="s">
        <v>32</v>
      </c>
      <c r="H552" s="7" t="s">
        <v>1426</v>
      </c>
      <c r="I552" s="7" t="s">
        <v>14108</v>
      </c>
      <c r="J552" s="7" t="s">
        <v>12358</v>
      </c>
      <c r="K552" s="7" t="s">
        <v>14109</v>
      </c>
      <c r="L552" s="12">
        <v>1</v>
      </c>
      <c r="M552" s="7" t="s">
        <v>13903</v>
      </c>
    </row>
    <row r="553" spans="2:13" ht="37.5" customHeight="1" x14ac:dyDescent="0.35">
      <c r="B553" s="11">
        <v>38</v>
      </c>
      <c r="C553" s="5" t="s">
        <v>13896</v>
      </c>
      <c r="D553" s="11">
        <v>87</v>
      </c>
      <c r="E553" s="5" t="s">
        <v>14112</v>
      </c>
      <c r="F553" s="5" t="s">
        <v>14113</v>
      </c>
      <c r="G553" s="5" t="s">
        <v>1829</v>
      </c>
      <c r="H553" s="5" t="s">
        <v>37</v>
      </c>
      <c r="I553" s="5" t="s">
        <v>12424</v>
      </c>
      <c r="J553" s="5" t="s">
        <v>12358</v>
      </c>
      <c r="K553" s="5" t="s">
        <v>14074</v>
      </c>
      <c r="L553" s="11">
        <v>1</v>
      </c>
      <c r="M553" s="5" t="s">
        <v>13903</v>
      </c>
    </row>
    <row r="554" spans="2:13" ht="37.5" customHeight="1" x14ac:dyDescent="0.35">
      <c r="B554" s="12">
        <v>38</v>
      </c>
      <c r="C554" s="7" t="s">
        <v>13896</v>
      </c>
      <c r="D554" s="12">
        <v>88</v>
      </c>
      <c r="E554" s="7" t="s">
        <v>14114</v>
      </c>
      <c r="F554" s="7" t="s">
        <v>14115</v>
      </c>
      <c r="G554" s="7" t="s">
        <v>947</v>
      </c>
      <c r="H554" s="7" t="s">
        <v>37</v>
      </c>
      <c r="I554" s="7" t="s">
        <v>12424</v>
      </c>
      <c r="J554" s="7" t="s">
        <v>12358</v>
      </c>
      <c r="K554" s="7" t="s">
        <v>14074</v>
      </c>
      <c r="L554" s="12">
        <v>1</v>
      </c>
      <c r="M554" s="7" t="s">
        <v>13903</v>
      </c>
    </row>
    <row r="555" spans="2:13" ht="37.5" customHeight="1" x14ac:dyDescent="0.35">
      <c r="B555" s="11">
        <v>38</v>
      </c>
      <c r="C555" s="5" t="s">
        <v>13896</v>
      </c>
      <c r="D555" s="11">
        <v>89</v>
      </c>
      <c r="E555" s="5" t="s">
        <v>14116</v>
      </c>
      <c r="F555" s="5" t="s">
        <v>14117</v>
      </c>
      <c r="G555" s="5" t="s">
        <v>950</v>
      </c>
      <c r="H555" s="5" t="s">
        <v>37</v>
      </c>
      <c r="I555" s="5" t="s">
        <v>12424</v>
      </c>
      <c r="J555" s="5" t="s">
        <v>12358</v>
      </c>
      <c r="K555" s="5" t="s">
        <v>14074</v>
      </c>
      <c r="L555" s="11">
        <v>1</v>
      </c>
      <c r="M555" s="5" t="s">
        <v>13903</v>
      </c>
    </row>
    <row r="556" spans="2:13" ht="37.5" customHeight="1" x14ac:dyDescent="0.35">
      <c r="B556" s="12">
        <v>38</v>
      </c>
      <c r="C556" s="7" t="s">
        <v>13896</v>
      </c>
      <c r="D556" s="12">
        <v>90</v>
      </c>
      <c r="E556" s="7" t="s">
        <v>14118</v>
      </c>
      <c r="F556" s="7" t="s">
        <v>14119</v>
      </c>
      <c r="G556" s="7" t="s">
        <v>185</v>
      </c>
      <c r="H556" s="7" t="s">
        <v>37</v>
      </c>
      <c r="I556" s="7" t="s">
        <v>12424</v>
      </c>
      <c r="J556" s="7" t="s">
        <v>12358</v>
      </c>
      <c r="K556" s="7" t="s">
        <v>14074</v>
      </c>
      <c r="L556" s="12">
        <v>1</v>
      </c>
      <c r="M556" s="7" t="s">
        <v>13903</v>
      </c>
    </row>
    <row r="557" spans="2:13" ht="37.5" customHeight="1" x14ac:dyDescent="0.35">
      <c r="B557" s="11">
        <v>38</v>
      </c>
      <c r="C557" s="5" t="s">
        <v>13896</v>
      </c>
      <c r="D557" s="11">
        <v>91</v>
      </c>
      <c r="E557" s="5" t="s">
        <v>14120</v>
      </c>
      <c r="F557" s="5" t="s">
        <v>14121</v>
      </c>
      <c r="G557" s="5" t="s">
        <v>12025</v>
      </c>
      <c r="H557" s="5" t="s">
        <v>37</v>
      </c>
      <c r="I557" s="5" t="s">
        <v>12424</v>
      </c>
      <c r="J557" s="5" t="s">
        <v>12358</v>
      </c>
      <c r="K557" s="5" t="s">
        <v>14074</v>
      </c>
      <c r="L557" s="11">
        <v>1</v>
      </c>
      <c r="M557" s="5" t="s">
        <v>13903</v>
      </c>
    </row>
    <row r="558" spans="2:13" ht="37.5" customHeight="1" x14ac:dyDescent="0.35">
      <c r="B558" s="12">
        <v>38</v>
      </c>
      <c r="C558" s="7" t="s">
        <v>13896</v>
      </c>
      <c r="D558" s="12">
        <v>92</v>
      </c>
      <c r="E558" s="7" t="s">
        <v>14122</v>
      </c>
      <c r="F558" s="7" t="s">
        <v>14123</v>
      </c>
      <c r="G558" s="7" t="s">
        <v>635</v>
      </c>
      <c r="H558" s="7" t="s">
        <v>37</v>
      </c>
      <c r="I558" s="7" t="s">
        <v>12424</v>
      </c>
      <c r="J558" s="7" t="s">
        <v>12358</v>
      </c>
      <c r="K558" s="7" t="s">
        <v>14074</v>
      </c>
      <c r="L558" s="12">
        <v>1</v>
      </c>
      <c r="M558" s="7" t="s">
        <v>13903</v>
      </c>
    </row>
    <row r="559" spans="2:13" ht="37.5" customHeight="1" x14ac:dyDescent="0.35">
      <c r="B559" s="11">
        <v>38</v>
      </c>
      <c r="C559" s="5" t="s">
        <v>13896</v>
      </c>
      <c r="D559" s="11">
        <v>93</v>
      </c>
      <c r="E559" s="5" t="s">
        <v>14124</v>
      </c>
      <c r="F559" s="5" t="s">
        <v>14125</v>
      </c>
      <c r="G559" s="5" t="s">
        <v>14126</v>
      </c>
      <c r="H559" s="5" t="s">
        <v>37</v>
      </c>
      <c r="I559" s="5" t="s">
        <v>12424</v>
      </c>
      <c r="J559" s="5" t="s">
        <v>12358</v>
      </c>
      <c r="K559" s="5" t="s">
        <v>14074</v>
      </c>
      <c r="L559" s="11">
        <v>1</v>
      </c>
      <c r="M559" s="5" t="s">
        <v>13903</v>
      </c>
    </row>
    <row r="560" spans="2:13" ht="37.5" customHeight="1" x14ac:dyDescent="0.35">
      <c r="B560" s="12">
        <v>38</v>
      </c>
      <c r="C560" s="7" t="s">
        <v>13896</v>
      </c>
      <c r="D560" s="12">
        <v>94</v>
      </c>
      <c r="E560" s="7" t="s">
        <v>14127</v>
      </c>
      <c r="F560" s="7" t="s">
        <v>14128</v>
      </c>
      <c r="G560" s="7" t="s">
        <v>1161</v>
      </c>
      <c r="H560" s="7" t="s">
        <v>37</v>
      </c>
      <c r="I560" s="7" t="s">
        <v>12424</v>
      </c>
      <c r="J560" s="7" t="s">
        <v>12358</v>
      </c>
      <c r="K560" s="7" t="s">
        <v>14074</v>
      </c>
      <c r="L560" s="12">
        <v>1</v>
      </c>
      <c r="M560" s="7" t="s">
        <v>13903</v>
      </c>
    </row>
    <row r="561" spans="2:13" ht="37.5" customHeight="1" x14ac:dyDescent="0.35">
      <c r="B561" s="11">
        <v>38</v>
      </c>
      <c r="C561" s="5" t="s">
        <v>13896</v>
      </c>
      <c r="D561" s="11">
        <v>95</v>
      </c>
      <c r="E561" s="5" t="s">
        <v>14129</v>
      </c>
      <c r="F561" s="5" t="s">
        <v>14130</v>
      </c>
      <c r="G561" s="5" t="s">
        <v>1793</v>
      </c>
      <c r="H561" s="5" t="s">
        <v>37</v>
      </c>
      <c r="I561" s="5" t="s">
        <v>12424</v>
      </c>
      <c r="J561" s="5" t="s">
        <v>12358</v>
      </c>
      <c r="K561" s="5" t="s">
        <v>14074</v>
      </c>
      <c r="L561" s="11">
        <v>1</v>
      </c>
      <c r="M561" s="5" t="s">
        <v>13903</v>
      </c>
    </row>
    <row r="562" spans="2:13" ht="37.5" customHeight="1" x14ac:dyDescent="0.35">
      <c r="B562" s="12">
        <v>38</v>
      </c>
      <c r="C562" s="7" t="s">
        <v>13896</v>
      </c>
      <c r="D562" s="12">
        <v>96</v>
      </c>
      <c r="E562" s="7" t="s">
        <v>14131</v>
      </c>
      <c r="F562" s="7" t="s">
        <v>14132</v>
      </c>
      <c r="G562" s="7" t="s">
        <v>1803</v>
      </c>
      <c r="H562" s="7" t="s">
        <v>37</v>
      </c>
      <c r="I562" s="7" t="s">
        <v>12424</v>
      </c>
      <c r="J562" s="7" t="s">
        <v>12358</v>
      </c>
      <c r="K562" s="7" t="s">
        <v>14074</v>
      </c>
      <c r="L562" s="12">
        <v>1</v>
      </c>
      <c r="M562" s="7" t="s">
        <v>13903</v>
      </c>
    </row>
    <row r="563" spans="2:13" ht="37.5" customHeight="1" x14ac:dyDescent="0.35">
      <c r="B563" s="11">
        <v>38</v>
      </c>
      <c r="C563" s="5" t="s">
        <v>13896</v>
      </c>
      <c r="D563" s="11">
        <v>97</v>
      </c>
      <c r="E563" s="5" t="s">
        <v>14133</v>
      </c>
      <c r="F563" s="5" t="s">
        <v>14134</v>
      </c>
      <c r="G563" s="5" t="s">
        <v>5408</v>
      </c>
      <c r="H563" s="5" t="s">
        <v>37</v>
      </c>
      <c r="I563" s="5" t="s">
        <v>12424</v>
      </c>
      <c r="J563" s="5" t="s">
        <v>12358</v>
      </c>
      <c r="K563" s="5" t="s">
        <v>14074</v>
      </c>
      <c r="L563" s="11">
        <v>1</v>
      </c>
      <c r="M563" s="5" t="s">
        <v>13903</v>
      </c>
    </row>
    <row r="564" spans="2:13" ht="37.5" customHeight="1" x14ac:dyDescent="0.35">
      <c r="B564" s="12">
        <v>38</v>
      </c>
      <c r="C564" s="7" t="s">
        <v>13896</v>
      </c>
      <c r="D564" s="12">
        <v>98</v>
      </c>
      <c r="E564" s="7" t="s">
        <v>14135</v>
      </c>
      <c r="F564" s="7" t="s">
        <v>14136</v>
      </c>
      <c r="G564" s="7" t="s">
        <v>1196</v>
      </c>
      <c r="H564" s="7" t="s">
        <v>37</v>
      </c>
      <c r="I564" s="7" t="s">
        <v>12424</v>
      </c>
      <c r="J564" s="7" t="s">
        <v>12358</v>
      </c>
      <c r="K564" s="7" t="s">
        <v>14074</v>
      </c>
      <c r="L564" s="12">
        <v>1</v>
      </c>
      <c r="M564" s="7" t="s">
        <v>13903</v>
      </c>
    </row>
    <row r="565" spans="2:13" ht="127.5" customHeight="1" x14ac:dyDescent="0.35">
      <c r="B565" s="11">
        <v>39</v>
      </c>
      <c r="C565" s="5" t="s">
        <v>14137</v>
      </c>
      <c r="D565" s="11">
        <v>1</v>
      </c>
      <c r="E565" s="5" t="s">
        <v>14138</v>
      </c>
      <c r="F565" s="5" t="s">
        <v>14139</v>
      </c>
      <c r="G565" s="5" t="s">
        <v>29</v>
      </c>
      <c r="H565" s="5" t="s">
        <v>14140</v>
      </c>
      <c r="I565" s="5" t="s">
        <v>14141</v>
      </c>
      <c r="J565" s="5" t="s">
        <v>14142</v>
      </c>
      <c r="K565" s="5" t="s">
        <v>14143</v>
      </c>
      <c r="L565" s="11">
        <v>4</v>
      </c>
      <c r="M565" s="5" t="s">
        <v>14144</v>
      </c>
    </row>
    <row r="566" spans="2:13" ht="97.5" customHeight="1" x14ac:dyDescent="0.35">
      <c r="B566" s="12">
        <v>39</v>
      </c>
      <c r="C566" s="7" t="s">
        <v>14137</v>
      </c>
      <c r="D566" s="12">
        <v>2</v>
      </c>
      <c r="E566" s="7" t="s">
        <v>14145</v>
      </c>
      <c r="F566" s="7" t="s">
        <v>14146</v>
      </c>
      <c r="G566" s="7" t="s">
        <v>365</v>
      </c>
      <c r="H566" s="7" t="s">
        <v>161</v>
      </c>
      <c r="I566" s="7" t="s">
        <v>14147</v>
      </c>
      <c r="J566" s="7" t="s">
        <v>14148</v>
      </c>
      <c r="K566" s="7" t="s">
        <v>14149</v>
      </c>
      <c r="L566" s="12">
        <v>2</v>
      </c>
      <c r="M566" s="7" t="s">
        <v>14144</v>
      </c>
    </row>
    <row r="567" spans="2:13" ht="37.5" customHeight="1" x14ac:dyDescent="0.35">
      <c r="B567" s="11">
        <v>39</v>
      </c>
      <c r="C567" s="5" t="s">
        <v>14137</v>
      </c>
      <c r="D567" s="11">
        <v>3</v>
      </c>
      <c r="E567" s="5" t="s">
        <v>14150</v>
      </c>
      <c r="F567" s="5" t="s">
        <v>14151</v>
      </c>
      <c r="G567" s="5" t="s">
        <v>1294</v>
      </c>
      <c r="H567" s="5" t="s">
        <v>1046</v>
      </c>
      <c r="I567" s="5" t="s">
        <v>14152</v>
      </c>
      <c r="J567" s="5" t="s">
        <v>12351</v>
      </c>
      <c r="K567" s="5" t="s">
        <v>14153</v>
      </c>
      <c r="L567" s="11">
        <v>1</v>
      </c>
      <c r="M567" s="5" t="s">
        <v>14144</v>
      </c>
    </row>
    <row r="568" spans="2:13" ht="37.5" customHeight="1" x14ac:dyDescent="0.35">
      <c r="B568" s="12">
        <v>39</v>
      </c>
      <c r="C568" s="7" t="s">
        <v>14137</v>
      </c>
      <c r="D568" s="12">
        <v>4</v>
      </c>
      <c r="E568" s="7" t="s">
        <v>14154</v>
      </c>
      <c r="F568" s="7" t="s">
        <v>14155</v>
      </c>
      <c r="G568" s="7" t="s">
        <v>14156</v>
      </c>
      <c r="H568" s="7" t="s">
        <v>36</v>
      </c>
      <c r="I568" s="7" t="s">
        <v>14157</v>
      </c>
      <c r="J568" s="7" t="s">
        <v>11467</v>
      </c>
      <c r="K568" s="7" t="s">
        <v>14158</v>
      </c>
      <c r="L568" s="12">
        <v>1</v>
      </c>
      <c r="M568" s="7" t="s">
        <v>14144</v>
      </c>
    </row>
    <row r="569" spans="2:13" ht="52.5" customHeight="1" x14ac:dyDescent="0.35">
      <c r="B569" s="11">
        <v>39</v>
      </c>
      <c r="C569" s="5" t="s">
        <v>14137</v>
      </c>
      <c r="D569" s="11">
        <v>5</v>
      </c>
      <c r="E569" s="5" t="s">
        <v>14159</v>
      </c>
      <c r="F569" s="5" t="s">
        <v>14160</v>
      </c>
      <c r="G569" s="5" t="s">
        <v>372</v>
      </c>
      <c r="H569" s="5" t="s">
        <v>36</v>
      </c>
      <c r="I569" s="5" t="s">
        <v>14161</v>
      </c>
      <c r="J569" s="5" t="s">
        <v>11467</v>
      </c>
      <c r="K569" s="5" t="s">
        <v>14162</v>
      </c>
      <c r="L569" s="11">
        <v>1</v>
      </c>
      <c r="M569" s="5" t="s">
        <v>14144</v>
      </c>
    </row>
    <row r="570" spans="2:13" ht="37.5" customHeight="1" x14ac:dyDescent="0.35">
      <c r="B570" s="12">
        <v>39</v>
      </c>
      <c r="C570" s="7" t="s">
        <v>14137</v>
      </c>
      <c r="D570" s="12">
        <v>6</v>
      </c>
      <c r="E570" s="7" t="s">
        <v>14163</v>
      </c>
      <c r="F570" s="7" t="s">
        <v>14164</v>
      </c>
      <c r="G570" s="7" t="s">
        <v>939</v>
      </c>
      <c r="H570" s="7" t="s">
        <v>36</v>
      </c>
      <c r="I570" s="7" t="s">
        <v>14165</v>
      </c>
      <c r="J570" s="7" t="s">
        <v>11467</v>
      </c>
      <c r="K570" s="7" t="s">
        <v>14166</v>
      </c>
      <c r="L570" s="12">
        <v>1</v>
      </c>
      <c r="M570" s="7" t="s">
        <v>14144</v>
      </c>
    </row>
    <row r="571" spans="2:13" ht="37.5" customHeight="1" x14ac:dyDescent="0.35">
      <c r="B571" s="11">
        <v>39</v>
      </c>
      <c r="C571" s="5" t="s">
        <v>14137</v>
      </c>
      <c r="D571" s="11">
        <v>7</v>
      </c>
      <c r="E571" s="5" t="s">
        <v>14167</v>
      </c>
      <c r="F571" s="5" t="s">
        <v>14168</v>
      </c>
      <c r="G571" s="5" t="s">
        <v>249</v>
      </c>
      <c r="H571" s="5" t="s">
        <v>37</v>
      </c>
      <c r="I571" s="5" t="s">
        <v>14169</v>
      </c>
      <c r="J571" s="5" t="s">
        <v>11467</v>
      </c>
      <c r="K571" s="5" t="s">
        <v>14170</v>
      </c>
      <c r="L571" s="11">
        <v>1</v>
      </c>
      <c r="M571" s="5" t="s">
        <v>14144</v>
      </c>
    </row>
    <row r="572" spans="2:13" ht="52.5" customHeight="1" x14ac:dyDescent="0.35">
      <c r="B572" s="12">
        <v>39</v>
      </c>
      <c r="C572" s="7" t="s">
        <v>14137</v>
      </c>
      <c r="D572" s="12">
        <v>8</v>
      </c>
      <c r="E572" s="7" t="s">
        <v>14171</v>
      </c>
      <c r="F572" s="7" t="s">
        <v>14172</v>
      </c>
      <c r="G572" s="7" t="s">
        <v>2254</v>
      </c>
      <c r="H572" s="7" t="s">
        <v>1948</v>
      </c>
      <c r="I572" s="7" t="s">
        <v>14173</v>
      </c>
      <c r="J572" s="7" t="s">
        <v>2371</v>
      </c>
      <c r="K572" s="7" t="s">
        <v>14174</v>
      </c>
      <c r="L572" s="12">
        <v>1</v>
      </c>
      <c r="M572" s="7" t="s">
        <v>14144</v>
      </c>
    </row>
    <row r="573" spans="2:13" ht="37.5" customHeight="1" x14ac:dyDescent="0.35">
      <c r="B573" s="11">
        <v>39</v>
      </c>
      <c r="C573" s="5" t="s">
        <v>14137</v>
      </c>
      <c r="D573" s="11">
        <v>9</v>
      </c>
      <c r="E573" s="5" t="s">
        <v>14175</v>
      </c>
      <c r="F573" s="5" t="s">
        <v>14176</v>
      </c>
      <c r="G573" s="5" t="s">
        <v>2837</v>
      </c>
      <c r="H573" s="5" t="s">
        <v>37</v>
      </c>
      <c r="I573" s="5" t="s">
        <v>14169</v>
      </c>
      <c r="J573" s="5" t="s">
        <v>11467</v>
      </c>
      <c r="K573" s="5" t="s">
        <v>14170</v>
      </c>
      <c r="L573" s="11">
        <v>1</v>
      </c>
      <c r="M573" s="5" t="s">
        <v>14144</v>
      </c>
    </row>
    <row r="574" spans="2:13" ht="37.5" customHeight="1" x14ac:dyDescent="0.35">
      <c r="B574" s="12">
        <v>39</v>
      </c>
      <c r="C574" s="7" t="s">
        <v>14137</v>
      </c>
      <c r="D574" s="12">
        <v>10</v>
      </c>
      <c r="E574" s="7" t="s">
        <v>14177</v>
      </c>
      <c r="F574" s="7" t="s">
        <v>14178</v>
      </c>
      <c r="G574" s="7" t="s">
        <v>1214</v>
      </c>
      <c r="H574" s="7" t="s">
        <v>37</v>
      </c>
      <c r="I574" s="7" t="s">
        <v>14169</v>
      </c>
      <c r="J574" s="7" t="s">
        <v>11467</v>
      </c>
      <c r="K574" s="7" t="s">
        <v>14170</v>
      </c>
      <c r="L574" s="12">
        <v>1</v>
      </c>
      <c r="M574" s="7" t="s">
        <v>14144</v>
      </c>
    </row>
    <row r="575" spans="2:13" ht="52.5" customHeight="1" x14ac:dyDescent="0.35">
      <c r="B575" s="11">
        <v>39</v>
      </c>
      <c r="C575" s="5" t="s">
        <v>14137</v>
      </c>
      <c r="D575" s="11">
        <v>11</v>
      </c>
      <c r="E575" s="5" t="s">
        <v>14179</v>
      </c>
      <c r="F575" s="5" t="s">
        <v>14180</v>
      </c>
      <c r="G575" s="5" t="s">
        <v>1667</v>
      </c>
      <c r="H575" s="5" t="s">
        <v>1948</v>
      </c>
      <c r="I575" s="5" t="s">
        <v>14181</v>
      </c>
      <c r="J575" s="5" t="s">
        <v>2371</v>
      </c>
      <c r="K575" s="5" t="s">
        <v>14182</v>
      </c>
      <c r="L575" s="11">
        <v>1</v>
      </c>
      <c r="M575" s="5" t="s">
        <v>14144</v>
      </c>
    </row>
    <row r="576" spans="2:13" ht="37.5" customHeight="1" x14ac:dyDescent="0.35">
      <c r="B576" s="12">
        <v>39</v>
      </c>
      <c r="C576" s="7" t="s">
        <v>14137</v>
      </c>
      <c r="D576" s="12">
        <v>12</v>
      </c>
      <c r="E576" s="7" t="s">
        <v>14183</v>
      </c>
      <c r="F576" s="7" t="s">
        <v>14184</v>
      </c>
      <c r="G576" s="7" t="s">
        <v>198</v>
      </c>
      <c r="H576" s="7" t="s">
        <v>37</v>
      </c>
      <c r="I576" s="7" t="s">
        <v>13485</v>
      </c>
      <c r="J576" s="7" t="s">
        <v>11467</v>
      </c>
      <c r="K576" s="7" t="s">
        <v>13583</v>
      </c>
      <c r="L576" s="12">
        <v>1</v>
      </c>
      <c r="M576" s="7" t="s">
        <v>14144</v>
      </c>
    </row>
    <row r="577" spans="2:13" ht="82.5" customHeight="1" x14ac:dyDescent="0.35">
      <c r="B577" s="11">
        <v>39</v>
      </c>
      <c r="C577" s="5" t="s">
        <v>14137</v>
      </c>
      <c r="D577" s="11">
        <v>13</v>
      </c>
      <c r="E577" s="5" t="s">
        <v>14185</v>
      </c>
      <c r="F577" s="5" t="s">
        <v>14186</v>
      </c>
      <c r="G577" s="5" t="s">
        <v>862</v>
      </c>
      <c r="H577" s="5" t="s">
        <v>306</v>
      </c>
      <c r="I577" s="5" t="s">
        <v>14187</v>
      </c>
      <c r="J577" s="5" t="s">
        <v>11467</v>
      </c>
      <c r="K577" s="5" t="s">
        <v>14188</v>
      </c>
      <c r="L577" s="11">
        <v>2</v>
      </c>
      <c r="M577" s="5" t="s">
        <v>14144</v>
      </c>
    </row>
    <row r="578" spans="2:13" ht="52.5" customHeight="1" x14ac:dyDescent="0.35">
      <c r="B578" s="12">
        <v>39</v>
      </c>
      <c r="C578" s="7" t="s">
        <v>14137</v>
      </c>
      <c r="D578" s="12">
        <v>14</v>
      </c>
      <c r="E578" s="7" t="s">
        <v>14189</v>
      </c>
      <c r="F578" s="7" t="s">
        <v>14190</v>
      </c>
      <c r="G578" s="7" t="s">
        <v>1435</v>
      </c>
      <c r="H578" s="7" t="s">
        <v>1948</v>
      </c>
      <c r="I578" s="7" t="s">
        <v>14191</v>
      </c>
      <c r="J578" s="7" t="s">
        <v>8704</v>
      </c>
      <c r="K578" s="7" t="s">
        <v>14192</v>
      </c>
      <c r="L578" s="12">
        <v>1</v>
      </c>
      <c r="M578" s="7" t="s">
        <v>14144</v>
      </c>
    </row>
    <row r="579" spans="2:13" ht="37.5" customHeight="1" x14ac:dyDescent="0.35">
      <c r="B579" s="11">
        <v>39</v>
      </c>
      <c r="C579" s="5" t="s">
        <v>14137</v>
      </c>
      <c r="D579" s="11">
        <v>15</v>
      </c>
      <c r="E579" s="5" t="s">
        <v>14193</v>
      </c>
      <c r="F579" s="5" t="s">
        <v>14194</v>
      </c>
      <c r="G579" s="5" t="s">
        <v>285</v>
      </c>
      <c r="H579" s="5" t="s">
        <v>37</v>
      </c>
      <c r="I579" s="5" t="s">
        <v>13485</v>
      </c>
      <c r="J579" s="5" t="s">
        <v>11467</v>
      </c>
      <c r="K579" s="5" t="s">
        <v>13583</v>
      </c>
      <c r="L579" s="11">
        <v>1</v>
      </c>
      <c r="M579" s="5" t="s">
        <v>14144</v>
      </c>
    </row>
    <row r="580" spans="2:13" ht="37.5" customHeight="1" x14ac:dyDescent="0.35">
      <c r="B580" s="12">
        <v>39</v>
      </c>
      <c r="C580" s="7" t="s">
        <v>14137</v>
      </c>
      <c r="D580" s="12">
        <v>16</v>
      </c>
      <c r="E580" s="7" t="s">
        <v>14195</v>
      </c>
      <c r="F580" s="7" t="s">
        <v>14196</v>
      </c>
      <c r="G580" s="7" t="s">
        <v>9781</v>
      </c>
      <c r="H580" s="7" t="s">
        <v>37</v>
      </c>
      <c r="I580" s="7" t="s">
        <v>13485</v>
      </c>
      <c r="J580" s="7" t="s">
        <v>11467</v>
      </c>
      <c r="K580" s="7" t="s">
        <v>13583</v>
      </c>
      <c r="L580" s="12">
        <v>1</v>
      </c>
      <c r="M580" s="7" t="s">
        <v>14144</v>
      </c>
    </row>
    <row r="581" spans="2:13" ht="37.5" customHeight="1" x14ac:dyDescent="0.35">
      <c r="B581" s="11">
        <v>39</v>
      </c>
      <c r="C581" s="5" t="s">
        <v>14137</v>
      </c>
      <c r="D581" s="11">
        <v>17</v>
      </c>
      <c r="E581" s="5" t="s">
        <v>14197</v>
      </c>
      <c r="F581" s="5" t="s">
        <v>14198</v>
      </c>
      <c r="G581" s="5" t="s">
        <v>900</v>
      </c>
      <c r="H581" s="5" t="s">
        <v>37</v>
      </c>
      <c r="I581" s="5" t="s">
        <v>13485</v>
      </c>
      <c r="J581" s="5" t="s">
        <v>11467</v>
      </c>
      <c r="K581" s="5" t="s">
        <v>13583</v>
      </c>
      <c r="L581" s="11">
        <v>1</v>
      </c>
      <c r="M581" s="5" t="s">
        <v>14144</v>
      </c>
    </row>
    <row r="582" spans="2:13" ht="37.5" customHeight="1" x14ac:dyDescent="0.35">
      <c r="B582" s="12">
        <v>39</v>
      </c>
      <c r="C582" s="7" t="s">
        <v>14137</v>
      </c>
      <c r="D582" s="12">
        <v>18</v>
      </c>
      <c r="E582" s="7" t="s">
        <v>14199</v>
      </c>
      <c r="F582" s="7" t="s">
        <v>14200</v>
      </c>
      <c r="G582" s="7" t="s">
        <v>358</v>
      </c>
      <c r="H582" s="7" t="s">
        <v>37</v>
      </c>
      <c r="I582" s="7" t="s">
        <v>13485</v>
      </c>
      <c r="J582" s="7" t="s">
        <v>11467</v>
      </c>
      <c r="K582" s="7" t="s">
        <v>13583</v>
      </c>
      <c r="L582" s="12">
        <v>1</v>
      </c>
      <c r="M582" s="7" t="s">
        <v>14144</v>
      </c>
    </row>
    <row r="583" spans="2:13" ht="37.5" customHeight="1" x14ac:dyDescent="0.35">
      <c r="B583" s="11">
        <v>39</v>
      </c>
      <c r="C583" s="5" t="s">
        <v>14137</v>
      </c>
      <c r="D583" s="11">
        <v>19</v>
      </c>
      <c r="E583" s="5" t="s">
        <v>14201</v>
      </c>
      <c r="F583" s="5" t="s">
        <v>14202</v>
      </c>
      <c r="G583" s="5" t="s">
        <v>4189</v>
      </c>
      <c r="H583" s="5" t="s">
        <v>37</v>
      </c>
      <c r="I583" s="5" t="s">
        <v>13485</v>
      </c>
      <c r="J583" s="5" t="s">
        <v>11467</v>
      </c>
      <c r="K583" s="5" t="s">
        <v>13583</v>
      </c>
      <c r="L583" s="11">
        <v>1</v>
      </c>
      <c r="M583" s="5" t="s">
        <v>14144</v>
      </c>
    </row>
    <row r="584" spans="2:13" ht="37.5" customHeight="1" x14ac:dyDescent="0.35">
      <c r="B584" s="12"/>
      <c r="C584" s="7" t="s">
        <v>14203</v>
      </c>
      <c r="D584" s="12">
        <v>20</v>
      </c>
      <c r="E584" s="7" t="s">
        <v>14204</v>
      </c>
      <c r="F584" s="7" t="s">
        <v>14205</v>
      </c>
      <c r="G584" s="7" t="s">
        <v>32</v>
      </c>
      <c r="H584" s="7" t="s">
        <v>38</v>
      </c>
      <c r="I584" s="7" t="s">
        <v>14206</v>
      </c>
      <c r="J584" s="7" t="s">
        <v>3284</v>
      </c>
      <c r="K584" s="7" t="s">
        <v>14207</v>
      </c>
      <c r="L584" s="12">
        <v>1</v>
      </c>
      <c r="M584" s="7"/>
    </row>
    <row r="585" spans="2:13" ht="37.5" customHeight="1" x14ac:dyDescent="0.35">
      <c r="B585" s="11"/>
      <c r="C585" s="5" t="s">
        <v>14203</v>
      </c>
      <c r="D585" s="11">
        <v>21</v>
      </c>
      <c r="E585" s="5" t="s">
        <v>14208</v>
      </c>
      <c r="F585" s="5" t="s">
        <v>14209</v>
      </c>
      <c r="G585" s="5" t="s">
        <v>27</v>
      </c>
      <c r="H585" s="5" t="s">
        <v>1948</v>
      </c>
      <c r="I585" s="5" t="s">
        <v>14206</v>
      </c>
      <c r="J585" s="5" t="s">
        <v>331</v>
      </c>
      <c r="K585" s="5" t="s">
        <v>14210</v>
      </c>
      <c r="L585" s="11">
        <v>1</v>
      </c>
      <c r="M585" s="5"/>
    </row>
    <row r="586" spans="2:13" ht="37.5" customHeight="1" x14ac:dyDescent="0.35">
      <c r="B586" s="12"/>
      <c r="C586" s="7" t="s">
        <v>14203</v>
      </c>
      <c r="D586" s="12">
        <v>20</v>
      </c>
      <c r="E586" s="7" t="s">
        <v>14211</v>
      </c>
      <c r="F586" s="7" t="s">
        <v>14212</v>
      </c>
      <c r="G586" s="7" t="s">
        <v>249</v>
      </c>
      <c r="H586" s="7" t="s">
        <v>37</v>
      </c>
      <c r="I586" s="7" t="s">
        <v>13485</v>
      </c>
      <c r="J586" s="7" t="s">
        <v>11467</v>
      </c>
      <c r="K586" s="7" t="s">
        <v>13583</v>
      </c>
      <c r="L586" s="12">
        <v>1</v>
      </c>
      <c r="M586" s="7"/>
    </row>
    <row r="587" spans="2:13" ht="37.5" customHeight="1" x14ac:dyDescent="0.35">
      <c r="B587" s="11"/>
      <c r="C587" s="5" t="s">
        <v>14203</v>
      </c>
      <c r="D587" s="11">
        <v>21</v>
      </c>
      <c r="E587" s="5" t="s">
        <v>14213</v>
      </c>
      <c r="F587" s="5" t="s">
        <v>14214</v>
      </c>
      <c r="G587" s="5" t="s">
        <v>1161</v>
      </c>
      <c r="H587" s="5" t="s">
        <v>37</v>
      </c>
      <c r="I587" s="5" t="s">
        <v>13485</v>
      </c>
      <c r="J587" s="5" t="s">
        <v>11467</v>
      </c>
      <c r="K587" s="5" t="s">
        <v>13583</v>
      </c>
      <c r="L587" s="11">
        <v>1</v>
      </c>
      <c r="M587" s="5"/>
    </row>
    <row r="588" spans="2:13" ht="37.5" customHeight="1" x14ac:dyDescent="0.35">
      <c r="B588" s="12"/>
      <c r="C588" s="7" t="s">
        <v>14203</v>
      </c>
      <c r="D588" s="12">
        <v>22</v>
      </c>
      <c r="E588" s="7" t="s">
        <v>14215</v>
      </c>
      <c r="F588" s="7" t="s">
        <v>14216</v>
      </c>
      <c r="G588" s="7" t="s">
        <v>26</v>
      </c>
      <c r="H588" s="7" t="s">
        <v>1948</v>
      </c>
      <c r="I588" s="7" t="s">
        <v>14217</v>
      </c>
      <c r="J588" s="7" t="s">
        <v>3284</v>
      </c>
      <c r="K588" s="7" t="s">
        <v>14218</v>
      </c>
      <c r="L588" s="12">
        <v>1</v>
      </c>
      <c r="M588" s="7"/>
    </row>
    <row r="589" spans="2:13" ht="37.5" customHeight="1" x14ac:dyDescent="0.35">
      <c r="B589" s="11"/>
      <c r="C589" s="5" t="s">
        <v>14203</v>
      </c>
      <c r="D589" s="11">
        <v>23</v>
      </c>
      <c r="E589" s="5" t="s">
        <v>14219</v>
      </c>
      <c r="F589" s="5" t="s">
        <v>14220</v>
      </c>
      <c r="G589" s="5" t="s">
        <v>788</v>
      </c>
      <c r="H589" s="5" t="s">
        <v>37</v>
      </c>
      <c r="I589" s="5" t="s">
        <v>13485</v>
      </c>
      <c r="J589" s="5" t="s">
        <v>11467</v>
      </c>
      <c r="K589" s="5" t="s">
        <v>13583</v>
      </c>
      <c r="L589" s="11">
        <v>1</v>
      </c>
      <c r="M589" s="5"/>
    </row>
    <row r="590" spans="2:13" ht="37.5" customHeight="1" x14ac:dyDescent="0.35">
      <c r="B590" s="12"/>
      <c r="C590" s="7" t="s">
        <v>14203</v>
      </c>
      <c r="D590" s="12">
        <v>24</v>
      </c>
      <c r="E590" s="7" t="s">
        <v>14221</v>
      </c>
      <c r="F590" s="7" t="s">
        <v>14222</v>
      </c>
      <c r="G590" s="7" t="s">
        <v>244</v>
      </c>
      <c r="H590" s="7" t="s">
        <v>37</v>
      </c>
      <c r="I590" s="7" t="s">
        <v>13485</v>
      </c>
      <c r="J590" s="7" t="s">
        <v>11467</v>
      </c>
      <c r="K590" s="7" t="s">
        <v>13583</v>
      </c>
      <c r="L590" s="12">
        <v>1</v>
      </c>
      <c r="M590" s="7"/>
    </row>
    <row r="591" spans="2:13" ht="52.5" customHeight="1" x14ac:dyDescent="0.35">
      <c r="B591" s="11"/>
      <c r="C591" s="5" t="s">
        <v>14203</v>
      </c>
      <c r="D591" s="11">
        <v>25</v>
      </c>
      <c r="E591" s="5" t="s">
        <v>14223</v>
      </c>
      <c r="F591" s="5" t="s">
        <v>14224</v>
      </c>
      <c r="G591" s="5" t="s">
        <v>3946</v>
      </c>
      <c r="H591" s="5" t="s">
        <v>36</v>
      </c>
      <c r="I591" s="5" t="s">
        <v>14225</v>
      </c>
      <c r="J591" s="5" t="s">
        <v>11467</v>
      </c>
      <c r="K591" s="5" t="s">
        <v>14226</v>
      </c>
      <c r="L591" s="11">
        <v>1</v>
      </c>
      <c r="M591" s="5"/>
    </row>
    <row r="592" spans="2:13" ht="67.5" customHeight="1" x14ac:dyDescent="0.35">
      <c r="B592" s="12"/>
      <c r="C592" s="7" t="s">
        <v>14203</v>
      </c>
      <c r="D592" s="12">
        <v>26</v>
      </c>
      <c r="E592" s="7" t="s">
        <v>14227</v>
      </c>
      <c r="F592" s="7" t="s">
        <v>14228</v>
      </c>
      <c r="G592" s="7" t="s">
        <v>212</v>
      </c>
      <c r="H592" s="7" t="s">
        <v>1167</v>
      </c>
      <c r="I592" s="7" t="s">
        <v>14229</v>
      </c>
      <c r="J592" s="7" t="s">
        <v>14230</v>
      </c>
      <c r="K592" s="7" t="s">
        <v>14231</v>
      </c>
      <c r="L592" s="12">
        <v>2</v>
      </c>
      <c r="M592" s="7"/>
    </row>
    <row r="593" spans="2:13" ht="52.5" customHeight="1" x14ac:dyDescent="0.35">
      <c r="B593" s="11"/>
      <c r="C593" s="5" t="s">
        <v>14203</v>
      </c>
      <c r="D593" s="11">
        <v>27</v>
      </c>
      <c r="E593" s="5" t="s">
        <v>14232</v>
      </c>
      <c r="F593" s="5" t="s">
        <v>14233</v>
      </c>
      <c r="G593" s="5" t="s">
        <v>262</v>
      </c>
      <c r="H593" s="5" t="s">
        <v>1948</v>
      </c>
      <c r="I593" s="5" t="s">
        <v>14234</v>
      </c>
      <c r="J593" s="5" t="s">
        <v>177</v>
      </c>
      <c r="K593" s="5" t="s">
        <v>14235</v>
      </c>
      <c r="L593" s="11">
        <v>1</v>
      </c>
      <c r="M593" s="5"/>
    </row>
    <row r="594" spans="2:13" ht="21.75" customHeight="1" x14ac:dyDescent="0.35">
      <c r="B594" s="12"/>
      <c r="C594" s="7" t="s">
        <v>14203</v>
      </c>
      <c r="D594" s="12">
        <v>28</v>
      </c>
      <c r="E594" s="7" t="s">
        <v>14236</v>
      </c>
      <c r="F594" s="7" t="s">
        <v>14237</v>
      </c>
      <c r="G594" s="7" t="s">
        <v>188</v>
      </c>
      <c r="H594" s="7" t="s">
        <v>38</v>
      </c>
      <c r="I594" s="7" t="s">
        <v>14238</v>
      </c>
      <c r="J594" s="7" t="s">
        <v>177</v>
      </c>
      <c r="K594" s="7" t="s">
        <v>14239</v>
      </c>
      <c r="L594" s="12">
        <v>1</v>
      </c>
      <c r="M594" s="7"/>
    </row>
    <row r="595" spans="2:13" ht="37.5" customHeight="1" x14ac:dyDescent="0.35">
      <c r="B595" s="11"/>
      <c r="C595" s="5" t="s">
        <v>14203</v>
      </c>
      <c r="D595" s="11">
        <v>29</v>
      </c>
      <c r="E595" s="5" t="s">
        <v>14240</v>
      </c>
      <c r="F595" s="5" t="s">
        <v>14241</v>
      </c>
      <c r="G595" s="5" t="s">
        <v>439</v>
      </c>
      <c r="H595" s="5" t="s">
        <v>38</v>
      </c>
      <c r="I595" s="5" t="s">
        <v>14242</v>
      </c>
      <c r="J595" s="5" t="s">
        <v>177</v>
      </c>
      <c r="K595" s="5" t="s">
        <v>14243</v>
      </c>
      <c r="L595" s="11">
        <v>1</v>
      </c>
      <c r="M595" s="5"/>
    </row>
    <row r="596" spans="2:13" ht="37.5" customHeight="1" x14ac:dyDescent="0.35">
      <c r="B596" s="12"/>
      <c r="C596" s="7" t="s">
        <v>14203</v>
      </c>
      <c r="D596" s="12">
        <v>30</v>
      </c>
      <c r="E596" s="7" t="s">
        <v>14244</v>
      </c>
      <c r="F596" s="7" t="s">
        <v>14245</v>
      </c>
      <c r="G596" s="7" t="s">
        <v>279</v>
      </c>
      <c r="H596" s="7" t="s">
        <v>13680</v>
      </c>
      <c r="I596" s="7" t="s">
        <v>14246</v>
      </c>
      <c r="J596" s="7" t="s">
        <v>177</v>
      </c>
      <c r="K596" s="7" t="s">
        <v>14247</v>
      </c>
      <c r="L596" s="12">
        <v>1</v>
      </c>
      <c r="M596" s="7"/>
    </row>
    <row r="597" spans="2:13" ht="37.5" customHeight="1" x14ac:dyDescent="0.35">
      <c r="B597" s="11"/>
      <c r="C597" s="5" t="s">
        <v>14203</v>
      </c>
      <c r="D597" s="11">
        <v>31</v>
      </c>
      <c r="E597" s="5" t="s">
        <v>14248</v>
      </c>
      <c r="F597" s="5" t="s">
        <v>14249</v>
      </c>
      <c r="G597" s="5" t="s">
        <v>686</v>
      </c>
      <c r="H597" s="5" t="s">
        <v>37</v>
      </c>
      <c r="I597" s="5" t="s">
        <v>13485</v>
      </c>
      <c r="J597" s="5" t="s">
        <v>11467</v>
      </c>
      <c r="K597" s="5" t="s">
        <v>13583</v>
      </c>
      <c r="L597" s="11">
        <v>1</v>
      </c>
      <c r="M597" s="5"/>
    </row>
    <row r="598" spans="2:13" ht="52.5" customHeight="1" x14ac:dyDescent="0.35">
      <c r="B598" s="12"/>
      <c r="C598" s="7" t="s">
        <v>14203</v>
      </c>
      <c r="D598" s="12">
        <v>32</v>
      </c>
      <c r="E598" s="7" t="s">
        <v>14250</v>
      </c>
      <c r="F598" s="7" t="s">
        <v>14251</v>
      </c>
      <c r="G598" s="7" t="s">
        <v>3283</v>
      </c>
      <c r="H598" s="7" t="s">
        <v>36</v>
      </c>
      <c r="I598" s="7" t="s">
        <v>14161</v>
      </c>
      <c r="J598" s="7" t="s">
        <v>11467</v>
      </c>
      <c r="K598" s="7" t="s">
        <v>14162</v>
      </c>
      <c r="L598" s="12">
        <v>1</v>
      </c>
      <c r="M598" s="7"/>
    </row>
    <row r="599" spans="2:13" ht="37.5" customHeight="1" x14ac:dyDescent="0.35">
      <c r="B599" s="11"/>
      <c r="C599" s="5" t="s">
        <v>14203</v>
      </c>
      <c r="D599" s="11">
        <v>33</v>
      </c>
      <c r="E599" s="5" t="s">
        <v>14252</v>
      </c>
      <c r="F599" s="5" t="s">
        <v>14253</v>
      </c>
      <c r="G599" s="5" t="s">
        <v>761</v>
      </c>
      <c r="H599" s="5" t="s">
        <v>37</v>
      </c>
      <c r="I599" s="5" t="s">
        <v>13485</v>
      </c>
      <c r="J599" s="5" t="s">
        <v>11467</v>
      </c>
      <c r="K599" s="5" t="s">
        <v>13583</v>
      </c>
      <c r="L599" s="11">
        <v>1</v>
      </c>
      <c r="M599" s="5"/>
    </row>
    <row r="600" spans="2:13" ht="37.5" customHeight="1" x14ac:dyDescent="0.35">
      <c r="B600" s="12"/>
      <c r="C600" s="7" t="s">
        <v>14203</v>
      </c>
      <c r="D600" s="12">
        <v>34</v>
      </c>
      <c r="E600" s="7" t="s">
        <v>14254</v>
      </c>
      <c r="F600" s="7" t="s">
        <v>14255</v>
      </c>
      <c r="G600" s="7" t="s">
        <v>14256</v>
      </c>
      <c r="H600" s="7" t="s">
        <v>36</v>
      </c>
      <c r="I600" s="7" t="s">
        <v>14257</v>
      </c>
      <c r="J600" s="7" t="s">
        <v>11467</v>
      </c>
      <c r="K600" s="7" t="s">
        <v>14258</v>
      </c>
      <c r="L600" s="12">
        <v>1</v>
      </c>
      <c r="M600" s="7"/>
    </row>
    <row r="601" spans="2:13" ht="52.5" customHeight="1" x14ac:dyDescent="0.35">
      <c r="B601" s="11"/>
      <c r="C601" s="5" t="s">
        <v>14203</v>
      </c>
      <c r="D601" s="11">
        <v>35</v>
      </c>
      <c r="E601" s="5" t="s">
        <v>14259</v>
      </c>
      <c r="F601" s="5" t="s">
        <v>14260</v>
      </c>
      <c r="G601" s="5" t="s">
        <v>1180</v>
      </c>
      <c r="H601" s="5" t="s">
        <v>36</v>
      </c>
      <c r="I601" s="5" t="s">
        <v>14261</v>
      </c>
      <c r="J601" s="5" t="s">
        <v>11467</v>
      </c>
      <c r="K601" s="5" t="s">
        <v>14262</v>
      </c>
      <c r="L601" s="11">
        <v>1</v>
      </c>
      <c r="M601" s="5"/>
    </row>
    <row r="602" spans="2:13" ht="37.5" customHeight="1" x14ac:dyDescent="0.35">
      <c r="B602" s="12"/>
      <c r="C602" s="7" t="s">
        <v>14203</v>
      </c>
      <c r="D602" s="12">
        <v>36</v>
      </c>
      <c r="E602" s="7" t="s">
        <v>14263</v>
      </c>
      <c r="F602" s="7" t="s">
        <v>14264</v>
      </c>
      <c r="G602" s="7" t="s">
        <v>742</v>
      </c>
      <c r="H602" s="7" t="s">
        <v>1046</v>
      </c>
      <c r="I602" s="7" t="s">
        <v>13276</v>
      </c>
      <c r="J602" s="7" t="s">
        <v>12351</v>
      </c>
      <c r="K602" s="7" t="s">
        <v>14265</v>
      </c>
      <c r="L602" s="12">
        <v>1</v>
      </c>
      <c r="M602" s="7"/>
    </row>
    <row r="603" spans="2:13" ht="37.5" customHeight="1" x14ac:dyDescent="0.35">
      <c r="B603" s="11"/>
      <c r="C603" s="5" t="s">
        <v>14203</v>
      </c>
      <c r="D603" s="11">
        <v>37</v>
      </c>
      <c r="E603" s="5" t="s">
        <v>14266</v>
      </c>
      <c r="F603" s="5" t="s">
        <v>14267</v>
      </c>
      <c r="G603" s="5" t="s">
        <v>1203</v>
      </c>
      <c r="H603" s="5" t="s">
        <v>38</v>
      </c>
      <c r="I603" s="5" t="s">
        <v>14268</v>
      </c>
      <c r="J603" s="5" t="s">
        <v>2371</v>
      </c>
      <c r="K603" s="5" t="s">
        <v>14269</v>
      </c>
      <c r="L603" s="11">
        <v>1</v>
      </c>
      <c r="M603" s="5"/>
    </row>
    <row r="604" spans="2:13" ht="52.5" customHeight="1" x14ac:dyDescent="0.35">
      <c r="B604" s="12"/>
      <c r="C604" s="7" t="s">
        <v>14270</v>
      </c>
      <c r="D604" s="12">
        <v>38</v>
      </c>
      <c r="E604" s="7" t="s">
        <v>14271</v>
      </c>
      <c r="F604" s="7" t="s">
        <v>14272</v>
      </c>
      <c r="G604" s="7" t="s">
        <v>14273</v>
      </c>
      <c r="H604" s="7" t="s">
        <v>3487</v>
      </c>
      <c r="I604" s="7" t="s">
        <v>14274</v>
      </c>
      <c r="J604" s="7" t="s">
        <v>11467</v>
      </c>
      <c r="K604" s="7" t="s">
        <v>14275</v>
      </c>
      <c r="L604" s="12">
        <v>2</v>
      </c>
      <c r="M604" s="7"/>
    </row>
    <row r="605" spans="2:13" ht="67.5" customHeight="1" x14ac:dyDescent="0.35">
      <c r="B605" s="11"/>
      <c r="C605" s="5" t="s">
        <v>14270</v>
      </c>
      <c r="D605" s="11">
        <v>39</v>
      </c>
      <c r="E605" s="5" t="s">
        <v>14276</v>
      </c>
      <c r="F605" s="5" t="s">
        <v>14277</v>
      </c>
      <c r="G605" s="5" t="s">
        <v>566</v>
      </c>
      <c r="H605" s="5" t="s">
        <v>2161</v>
      </c>
      <c r="I605" s="5" t="s">
        <v>14278</v>
      </c>
      <c r="J605" s="5" t="s">
        <v>5449</v>
      </c>
      <c r="K605" s="5" t="s">
        <v>14279</v>
      </c>
      <c r="L605" s="11">
        <v>2</v>
      </c>
      <c r="M605" s="5"/>
    </row>
    <row r="606" spans="2:13" ht="37.5" customHeight="1" x14ac:dyDescent="0.35">
      <c r="B606" s="12"/>
      <c r="C606" s="7" t="s">
        <v>14270</v>
      </c>
      <c r="D606" s="12">
        <v>40</v>
      </c>
      <c r="E606" s="7" t="s">
        <v>14280</v>
      </c>
      <c r="F606" s="7" t="s">
        <v>14281</v>
      </c>
      <c r="G606" s="7" t="s">
        <v>2341</v>
      </c>
      <c r="H606" s="7" t="s">
        <v>1948</v>
      </c>
      <c r="I606" s="7" t="s">
        <v>14282</v>
      </c>
      <c r="J606" s="7" t="s">
        <v>177</v>
      </c>
      <c r="K606" s="7" t="s">
        <v>14283</v>
      </c>
      <c r="L606" s="12">
        <v>1</v>
      </c>
      <c r="M606" s="7"/>
    </row>
    <row r="607" spans="2:13" ht="37.5" customHeight="1" x14ac:dyDescent="0.35">
      <c r="B607" s="11"/>
      <c r="C607" s="5" t="s">
        <v>14270</v>
      </c>
      <c r="D607" s="11">
        <v>41</v>
      </c>
      <c r="E607" s="5" t="s">
        <v>14284</v>
      </c>
      <c r="F607" s="5" t="s">
        <v>14285</v>
      </c>
      <c r="G607" s="5" t="s">
        <v>877</v>
      </c>
      <c r="H607" s="5" t="s">
        <v>37</v>
      </c>
      <c r="I607" s="5" t="s">
        <v>13485</v>
      </c>
      <c r="J607" s="5" t="s">
        <v>11467</v>
      </c>
      <c r="K607" s="5" t="s">
        <v>13583</v>
      </c>
      <c r="L607" s="11">
        <v>1</v>
      </c>
      <c r="M607" s="5"/>
    </row>
    <row r="608" spans="2:13" ht="37.5" customHeight="1" x14ac:dyDescent="0.35">
      <c r="B608" s="12"/>
      <c r="C608" s="7" t="s">
        <v>14270</v>
      </c>
      <c r="D608" s="12">
        <v>42</v>
      </c>
      <c r="E608" s="7" t="s">
        <v>14286</v>
      </c>
      <c r="F608" s="7" t="s">
        <v>14287</v>
      </c>
      <c r="G608" s="7" t="s">
        <v>678</v>
      </c>
      <c r="H608" s="7" t="s">
        <v>37</v>
      </c>
      <c r="I608" s="7" t="s">
        <v>13485</v>
      </c>
      <c r="J608" s="7" t="s">
        <v>11467</v>
      </c>
      <c r="K608" s="7" t="s">
        <v>13583</v>
      </c>
      <c r="L608" s="12">
        <v>1</v>
      </c>
      <c r="M608" s="7"/>
    </row>
    <row r="609" spans="2:13" ht="37.5" customHeight="1" x14ac:dyDescent="0.35">
      <c r="B609" s="11"/>
      <c r="C609" s="5" t="s">
        <v>14270</v>
      </c>
      <c r="D609" s="11">
        <v>43</v>
      </c>
      <c r="E609" s="5" t="s">
        <v>14288</v>
      </c>
      <c r="F609" s="5" t="s">
        <v>14289</v>
      </c>
      <c r="G609" s="5" t="s">
        <v>625</v>
      </c>
      <c r="H609" s="5" t="s">
        <v>37</v>
      </c>
      <c r="I609" s="5" t="s">
        <v>13485</v>
      </c>
      <c r="J609" s="5" t="s">
        <v>11467</v>
      </c>
      <c r="K609" s="5" t="s">
        <v>13583</v>
      </c>
      <c r="L609" s="11">
        <v>1</v>
      </c>
      <c r="M609" s="5"/>
    </row>
    <row r="610" spans="2:13" ht="52.5" customHeight="1" x14ac:dyDescent="0.35">
      <c r="B610" s="12"/>
      <c r="C610" s="7" t="s">
        <v>14270</v>
      </c>
      <c r="D610" s="12">
        <v>44</v>
      </c>
      <c r="E610" s="7" t="s">
        <v>14290</v>
      </c>
      <c r="F610" s="7" t="s">
        <v>14291</v>
      </c>
      <c r="G610" s="7" t="s">
        <v>202</v>
      </c>
      <c r="H610" s="7" t="s">
        <v>36</v>
      </c>
      <c r="I610" s="7" t="s">
        <v>12644</v>
      </c>
      <c r="J610" s="7" t="s">
        <v>8704</v>
      </c>
      <c r="K610" s="7" t="s">
        <v>14292</v>
      </c>
      <c r="L610" s="12">
        <v>1</v>
      </c>
      <c r="M610" s="7"/>
    </row>
    <row r="611" spans="2:13" ht="52.5" customHeight="1" x14ac:dyDescent="0.35">
      <c r="B611" s="11"/>
      <c r="C611" s="5" t="s">
        <v>14270</v>
      </c>
      <c r="D611" s="11">
        <v>45</v>
      </c>
      <c r="E611" s="5" t="s">
        <v>14293</v>
      </c>
      <c r="F611" s="5" t="s">
        <v>14294</v>
      </c>
      <c r="G611" s="5" t="s">
        <v>14295</v>
      </c>
      <c r="H611" s="5" t="s">
        <v>38</v>
      </c>
      <c r="I611" s="5" t="s">
        <v>14296</v>
      </c>
      <c r="J611" s="5" t="s">
        <v>331</v>
      </c>
      <c r="K611" s="5" t="s">
        <v>14297</v>
      </c>
      <c r="L611" s="11">
        <v>1</v>
      </c>
      <c r="M611" s="5"/>
    </row>
    <row r="612" spans="2:13" ht="52.5" customHeight="1" x14ac:dyDescent="0.35">
      <c r="B612" s="12"/>
      <c r="C612" s="7" t="s">
        <v>14270</v>
      </c>
      <c r="D612" s="12">
        <v>46</v>
      </c>
      <c r="E612" s="7" t="s">
        <v>14298</v>
      </c>
      <c r="F612" s="7" t="s">
        <v>14299</v>
      </c>
      <c r="G612" s="7" t="s">
        <v>30</v>
      </c>
      <c r="H612" s="7" t="s">
        <v>38</v>
      </c>
      <c r="I612" s="7" t="s">
        <v>14296</v>
      </c>
      <c r="J612" s="7" t="s">
        <v>331</v>
      </c>
      <c r="K612" s="7" t="s">
        <v>14297</v>
      </c>
      <c r="L612" s="12">
        <v>1</v>
      </c>
      <c r="M612" s="7"/>
    </row>
    <row r="613" spans="2:13" ht="37.5" customHeight="1" x14ac:dyDescent="0.35">
      <c r="B613" s="11"/>
      <c r="C613" s="5" t="s">
        <v>14270</v>
      </c>
      <c r="D613" s="11">
        <v>47</v>
      </c>
      <c r="E613" s="5" t="s">
        <v>14300</v>
      </c>
      <c r="F613" s="5" t="s">
        <v>14301</v>
      </c>
      <c r="G613" s="5" t="s">
        <v>428</v>
      </c>
      <c r="H613" s="5" t="s">
        <v>1948</v>
      </c>
      <c r="I613" s="5" t="s">
        <v>13189</v>
      </c>
      <c r="J613" s="5" t="s">
        <v>2371</v>
      </c>
      <c r="K613" s="5" t="s">
        <v>14302</v>
      </c>
      <c r="L613" s="11">
        <v>1</v>
      </c>
      <c r="M613" s="5"/>
    </row>
    <row r="614" spans="2:13" ht="37.5" customHeight="1" x14ac:dyDescent="0.35">
      <c r="B614" s="12"/>
      <c r="C614" s="7" t="s">
        <v>14270</v>
      </c>
      <c r="D614" s="12">
        <v>48</v>
      </c>
      <c r="E614" s="7" t="s">
        <v>14303</v>
      </c>
      <c r="F614" s="7" t="s">
        <v>14304</v>
      </c>
      <c r="G614" s="7" t="s">
        <v>1127</v>
      </c>
      <c r="H614" s="7" t="s">
        <v>1948</v>
      </c>
      <c r="I614" s="7" t="s">
        <v>14305</v>
      </c>
      <c r="J614" s="7" t="s">
        <v>2371</v>
      </c>
      <c r="K614" s="7" t="s">
        <v>14306</v>
      </c>
      <c r="L614" s="12">
        <v>1</v>
      </c>
      <c r="M614" s="7"/>
    </row>
    <row r="615" spans="2:13" ht="37.5" customHeight="1" x14ac:dyDescent="0.35">
      <c r="B615" s="11"/>
      <c r="C615" s="5" t="s">
        <v>14270</v>
      </c>
      <c r="D615" s="11">
        <v>49</v>
      </c>
      <c r="E615" s="5" t="s">
        <v>14307</v>
      </c>
      <c r="F615" s="5" t="s">
        <v>14308</v>
      </c>
      <c r="G615" s="5" t="s">
        <v>33</v>
      </c>
      <c r="H615" s="5" t="s">
        <v>1948</v>
      </c>
      <c r="I615" s="5" t="s">
        <v>14309</v>
      </c>
      <c r="J615" s="5" t="s">
        <v>3284</v>
      </c>
      <c r="K615" s="5" t="s">
        <v>14310</v>
      </c>
      <c r="L615" s="11">
        <v>1</v>
      </c>
      <c r="M615" s="5"/>
    </row>
    <row r="616" spans="2:13" ht="37.5" customHeight="1" x14ac:dyDescent="0.35">
      <c r="B616" s="12"/>
      <c r="C616" s="7" t="s">
        <v>14270</v>
      </c>
      <c r="D616" s="12">
        <v>50</v>
      </c>
      <c r="E616" s="7" t="s">
        <v>14311</v>
      </c>
      <c r="F616" s="7" t="s">
        <v>14312</v>
      </c>
      <c r="G616" s="7" t="s">
        <v>395</v>
      </c>
      <c r="H616" s="7" t="s">
        <v>1948</v>
      </c>
      <c r="I616" s="7" t="s">
        <v>14309</v>
      </c>
      <c r="J616" s="7" t="s">
        <v>2371</v>
      </c>
      <c r="K616" s="7" t="s">
        <v>14313</v>
      </c>
      <c r="L616" s="12">
        <v>1</v>
      </c>
      <c r="M616" s="7"/>
    </row>
    <row r="617" spans="2:13" ht="52.5" customHeight="1" x14ac:dyDescent="0.35">
      <c r="B617" s="11"/>
      <c r="C617" s="5" t="s">
        <v>14270</v>
      </c>
      <c r="D617" s="11">
        <v>51</v>
      </c>
      <c r="E617" s="5" t="s">
        <v>14314</v>
      </c>
      <c r="F617" s="5" t="s">
        <v>14315</v>
      </c>
      <c r="G617" s="5" t="s">
        <v>653</v>
      </c>
      <c r="H617" s="5" t="s">
        <v>36</v>
      </c>
      <c r="I617" s="5" t="s">
        <v>12644</v>
      </c>
      <c r="J617" s="5" t="s">
        <v>3284</v>
      </c>
      <c r="K617" s="5" t="s">
        <v>14316</v>
      </c>
      <c r="L617" s="11">
        <v>1</v>
      </c>
      <c r="M617" s="5"/>
    </row>
    <row r="618" spans="2:13" ht="52.5" customHeight="1" x14ac:dyDescent="0.35">
      <c r="B618" s="12"/>
      <c r="C618" s="7" t="s">
        <v>14270</v>
      </c>
      <c r="D618" s="12">
        <v>52</v>
      </c>
      <c r="E618" s="7" t="s">
        <v>14317</v>
      </c>
      <c r="F618" s="7" t="s">
        <v>14318</v>
      </c>
      <c r="G618" s="7" t="s">
        <v>698</v>
      </c>
      <c r="H618" s="7" t="s">
        <v>36</v>
      </c>
      <c r="I618" s="7" t="s">
        <v>12644</v>
      </c>
      <c r="J618" s="7" t="s">
        <v>3284</v>
      </c>
      <c r="K618" s="7" t="s">
        <v>14316</v>
      </c>
      <c r="L618" s="12">
        <v>1</v>
      </c>
      <c r="M618" s="7"/>
    </row>
    <row r="619" spans="2:13" ht="82.5" customHeight="1" x14ac:dyDescent="0.35">
      <c r="B619" s="11"/>
      <c r="C619" s="5" t="s">
        <v>14270</v>
      </c>
      <c r="D619" s="11">
        <v>53</v>
      </c>
      <c r="E619" s="5" t="s">
        <v>14319</v>
      </c>
      <c r="F619" s="5" t="s">
        <v>14320</v>
      </c>
      <c r="G619" s="5" t="s">
        <v>185</v>
      </c>
      <c r="H619" s="5" t="s">
        <v>13806</v>
      </c>
      <c r="I619" s="5" t="s">
        <v>14321</v>
      </c>
      <c r="J619" s="5" t="s">
        <v>14322</v>
      </c>
      <c r="K619" s="5" t="s">
        <v>14323</v>
      </c>
      <c r="L619" s="11">
        <v>2</v>
      </c>
      <c r="M619" s="5"/>
    </row>
    <row r="620" spans="2:13" ht="67.5" customHeight="1" x14ac:dyDescent="0.35">
      <c r="B620" s="12"/>
      <c r="C620" s="7" t="s">
        <v>14270</v>
      </c>
      <c r="D620" s="12">
        <v>54</v>
      </c>
      <c r="E620" s="7" t="s">
        <v>14324</v>
      </c>
      <c r="F620" s="7" t="s">
        <v>14325</v>
      </c>
      <c r="G620" s="7" t="s">
        <v>5414</v>
      </c>
      <c r="H620" s="7" t="s">
        <v>1521</v>
      </c>
      <c r="I620" s="7" t="s">
        <v>14326</v>
      </c>
      <c r="J620" s="7" t="s">
        <v>14327</v>
      </c>
      <c r="K620" s="7" t="s">
        <v>14328</v>
      </c>
      <c r="L620" s="12">
        <v>2</v>
      </c>
      <c r="M620" s="7"/>
    </row>
    <row r="621" spans="2:13" ht="52.5" customHeight="1" x14ac:dyDescent="0.35">
      <c r="B621" s="11"/>
      <c r="C621" s="5" t="s">
        <v>14270</v>
      </c>
      <c r="D621" s="11">
        <v>55</v>
      </c>
      <c r="E621" s="5" t="s">
        <v>14329</v>
      </c>
      <c r="F621" s="5" t="s">
        <v>14330</v>
      </c>
      <c r="G621" s="5" t="s">
        <v>10899</v>
      </c>
      <c r="H621" s="5" t="s">
        <v>36</v>
      </c>
      <c r="I621" s="5" t="s">
        <v>12644</v>
      </c>
      <c r="J621" s="5" t="s">
        <v>3284</v>
      </c>
      <c r="K621" s="5" t="s">
        <v>14316</v>
      </c>
      <c r="L621" s="11">
        <v>1</v>
      </c>
      <c r="M621" s="5"/>
    </row>
    <row r="622" spans="2:13" ht="52.5" customHeight="1" x14ac:dyDescent="0.35">
      <c r="B622" s="12">
        <v>40</v>
      </c>
      <c r="C622" s="7" t="s">
        <v>14331</v>
      </c>
      <c r="D622" s="12">
        <v>1</v>
      </c>
      <c r="E622" s="7" t="s">
        <v>14332</v>
      </c>
      <c r="F622" s="7" t="s">
        <v>14333</v>
      </c>
      <c r="G622" s="7" t="s">
        <v>29</v>
      </c>
      <c r="H622" s="7" t="s">
        <v>36</v>
      </c>
      <c r="I622" s="7" t="s">
        <v>14334</v>
      </c>
      <c r="J622" s="7" t="s">
        <v>14335</v>
      </c>
      <c r="K622" s="7" t="s">
        <v>14336</v>
      </c>
      <c r="L622" s="12">
        <v>1</v>
      </c>
      <c r="M622" s="7" t="s">
        <v>12497</v>
      </c>
    </row>
    <row r="623" spans="2:13" ht="37.5" customHeight="1" x14ac:dyDescent="0.35">
      <c r="B623" s="11">
        <v>41</v>
      </c>
      <c r="C623" s="5" t="s">
        <v>14337</v>
      </c>
      <c r="D623" s="11">
        <v>1</v>
      </c>
      <c r="E623" s="5" t="s">
        <v>14338</v>
      </c>
      <c r="F623" s="5" t="s">
        <v>14339</v>
      </c>
      <c r="G623" s="5" t="s">
        <v>2919</v>
      </c>
      <c r="H623" s="5" t="s">
        <v>37</v>
      </c>
      <c r="I623" s="5" t="s">
        <v>13991</v>
      </c>
      <c r="J623" s="5" t="s">
        <v>5176</v>
      </c>
      <c r="K623" s="5" t="s">
        <v>14340</v>
      </c>
      <c r="L623" s="11">
        <v>1</v>
      </c>
      <c r="M623" s="5" t="s">
        <v>14341</v>
      </c>
    </row>
    <row r="624" spans="2:13" ht="67.5" customHeight="1" x14ac:dyDescent="0.35">
      <c r="B624" s="12">
        <v>42</v>
      </c>
      <c r="C624" s="7" t="s">
        <v>14342</v>
      </c>
      <c r="D624" s="12">
        <v>1</v>
      </c>
      <c r="E624" s="7" t="s">
        <v>14343</v>
      </c>
      <c r="F624" s="7" t="s">
        <v>14344</v>
      </c>
      <c r="G624" s="7" t="s">
        <v>421</v>
      </c>
      <c r="H624" s="7" t="s">
        <v>36</v>
      </c>
      <c r="I624" s="7" t="s">
        <v>14345</v>
      </c>
      <c r="J624" s="7" t="s">
        <v>177</v>
      </c>
      <c r="K624" s="7" t="s">
        <v>14346</v>
      </c>
      <c r="L624" s="12">
        <v>1</v>
      </c>
      <c r="M624" s="7" t="s">
        <v>12491</v>
      </c>
    </row>
    <row r="625" spans="2:13" ht="21.75" customHeight="1" x14ac:dyDescent="0.35">
      <c r="B625" s="11">
        <v>42</v>
      </c>
      <c r="C625" s="5" t="s">
        <v>14342</v>
      </c>
      <c r="D625" s="11">
        <v>2</v>
      </c>
      <c r="E625" s="5" t="s">
        <v>14347</v>
      </c>
      <c r="F625" s="5" t="s">
        <v>14348</v>
      </c>
      <c r="G625" s="5" t="s">
        <v>457</v>
      </c>
      <c r="H625" s="5" t="s">
        <v>36</v>
      </c>
      <c r="I625" s="5" t="s">
        <v>12840</v>
      </c>
      <c r="J625" s="5" t="s">
        <v>177</v>
      </c>
      <c r="K625" s="5" t="s">
        <v>14349</v>
      </c>
      <c r="L625" s="11">
        <v>1</v>
      </c>
      <c r="M625" s="5" t="s">
        <v>12491</v>
      </c>
    </row>
    <row r="626" spans="2:13" ht="21.75" customHeight="1" x14ac:dyDescent="0.35">
      <c r="B626" s="12">
        <v>42</v>
      </c>
      <c r="C626" s="7" t="s">
        <v>14342</v>
      </c>
      <c r="D626" s="12">
        <v>3</v>
      </c>
      <c r="E626" s="7" t="s">
        <v>14350</v>
      </c>
      <c r="F626" s="7" t="s">
        <v>14351</v>
      </c>
      <c r="G626" s="7" t="s">
        <v>442</v>
      </c>
      <c r="H626" s="7" t="s">
        <v>36</v>
      </c>
      <c r="I626" s="7" t="s">
        <v>12840</v>
      </c>
      <c r="J626" s="7" t="s">
        <v>177</v>
      </c>
      <c r="K626" s="7" t="s">
        <v>14349</v>
      </c>
      <c r="L626" s="12">
        <v>1</v>
      </c>
      <c r="M626" s="7" t="s">
        <v>12491</v>
      </c>
    </row>
    <row r="627" spans="2:13" ht="21.75" customHeight="1" x14ac:dyDescent="0.35">
      <c r="B627" s="11">
        <v>42</v>
      </c>
      <c r="C627" s="5" t="s">
        <v>14342</v>
      </c>
      <c r="D627" s="11">
        <v>4</v>
      </c>
      <c r="E627" s="5" t="s">
        <v>14352</v>
      </c>
      <c r="F627" s="5" t="s">
        <v>14353</v>
      </c>
      <c r="G627" s="5" t="s">
        <v>29</v>
      </c>
      <c r="H627" s="5" t="s">
        <v>36</v>
      </c>
      <c r="I627" s="5" t="s">
        <v>12840</v>
      </c>
      <c r="J627" s="5" t="s">
        <v>177</v>
      </c>
      <c r="K627" s="5" t="s">
        <v>14349</v>
      </c>
      <c r="L627" s="11">
        <v>1</v>
      </c>
      <c r="M627" s="5" t="s">
        <v>12491</v>
      </c>
    </row>
    <row r="628" spans="2:13" ht="37.5" customHeight="1" x14ac:dyDescent="0.35">
      <c r="B628" s="12">
        <v>42</v>
      </c>
      <c r="C628" s="7" t="s">
        <v>14342</v>
      </c>
      <c r="D628" s="12">
        <v>5</v>
      </c>
      <c r="E628" s="7" t="s">
        <v>14354</v>
      </c>
      <c r="F628" s="7" t="s">
        <v>14355</v>
      </c>
      <c r="G628" s="7" t="s">
        <v>24</v>
      </c>
      <c r="H628" s="7" t="s">
        <v>36</v>
      </c>
      <c r="I628" s="7" t="s">
        <v>12840</v>
      </c>
      <c r="J628" s="7" t="s">
        <v>177</v>
      </c>
      <c r="K628" s="7" t="s">
        <v>14349</v>
      </c>
      <c r="L628" s="12">
        <v>1</v>
      </c>
      <c r="M628" s="7" t="s">
        <v>12491</v>
      </c>
    </row>
    <row r="629" spans="2:13" ht="52.5" customHeight="1" x14ac:dyDescent="0.35">
      <c r="B629" s="11">
        <v>42</v>
      </c>
      <c r="C629" s="5" t="s">
        <v>14342</v>
      </c>
      <c r="D629" s="11">
        <v>6</v>
      </c>
      <c r="E629" s="5" t="s">
        <v>14356</v>
      </c>
      <c r="F629" s="5" t="s">
        <v>14357</v>
      </c>
      <c r="G629" s="5" t="s">
        <v>428</v>
      </c>
      <c r="H629" s="5" t="s">
        <v>36</v>
      </c>
      <c r="I629" s="5" t="s">
        <v>14358</v>
      </c>
      <c r="J629" s="5" t="s">
        <v>177</v>
      </c>
      <c r="K629" s="5" t="s">
        <v>14359</v>
      </c>
      <c r="L629" s="11">
        <v>1</v>
      </c>
      <c r="M629" s="5" t="s">
        <v>12491</v>
      </c>
    </row>
    <row r="630" spans="2:13" ht="21.75" customHeight="1" x14ac:dyDescent="0.35">
      <c r="B630" s="12">
        <v>42</v>
      </c>
      <c r="C630" s="7" t="s">
        <v>14342</v>
      </c>
      <c r="D630" s="12">
        <v>7</v>
      </c>
      <c r="E630" s="7" t="s">
        <v>14360</v>
      </c>
      <c r="F630" s="7" t="s">
        <v>14361</v>
      </c>
      <c r="G630" s="7" t="s">
        <v>27</v>
      </c>
      <c r="H630" s="7" t="s">
        <v>36</v>
      </c>
      <c r="I630" s="7"/>
      <c r="J630" s="7" t="s">
        <v>177</v>
      </c>
      <c r="K630" s="7" t="s">
        <v>14362</v>
      </c>
      <c r="L630" s="12">
        <v>1</v>
      </c>
      <c r="M630" s="7" t="s">
        <v>12491</v>
      </c>
    </row>
    <row r="631" spans="2:13" ht="52.5" customHeight="1" x14ac:dyDescent="0.35">
      <c r="B631" s="11">
        <v>42</v>
      </c>
      <c r="C631" s="5" t="s">
        <v>14342</v>
      </c>
      <c r="D631" s="11">
        <v>8</v>
      </c>
      <c r="E631" s="5" t="s">
        <v>14363</v>
      </c>
      <c r="F631" s="5" t="s">
        <v>14364</v>
      </c>
      <c r="G631" s="5" t="s">
        <v>279</v>
      </c>
      <c r="H631" s="5" t="s">
        <v>36</v>
      </c>
      <c r="I631" s="5" t="s">
        <v>14365</v>
      </c>
      <c r="J631" s="5" t="s">
        <v>177</v>
      </c>
      <c r="K631" s="5" t="s">
        <v>14366</v>
      </c>
      <c r="L631" s="11">
        <v>1</v>
      </c>
      <c r="M631" s="5" t="s">
        <v>12491</v>
      </c>
    </row>
    <row r="632" spans="2:13" ht="52.5" customHeight="1" x14ac:dyDescent="0.35">
      <c r="B632" s="12">
        <v>42</v>
      </c>
      <c r="C632" s="7" t="s">
        <v>14342</v>
      </c>
      <c r="D632" s="12">
        <v>9</v>
      </c>
      <c r="E632" s="7" t="s">
        <v>14367</v>
      </c>
      <c r="F632" s="7" t="s">
        <v>14368</v>
      </c>
      <c r="G632" s="7" t="s">
        <v>778</v>
      </c>
      <c r="H632" s="7" t="s">
        <v>36</v>
      </c>
      <c r="I632" s="7" t="s">
        <v>14369</v>
      </c>
      <c r="J632" s="7" t="s">
        <v>177</v>
      </c>
      <c r="K632" s="7" t="s">
        <v>14370</v>
      </c>
      <c r="L632" s="12">
        <v>1</v>
      </c>
      <c r="M632" s="7" t="s">
        <v>12491</v>
      </c>
    </row>
    <row r="633" spans="2:13" ht="52.5" customHeight="1" x14ac:dyDescent="0.35">
      <c r="B633" s="11">
        <v>42</v>
      </c>
      <c r="C633" s="5" t="s">
        <v>14342</v>
      </c>
      <c r="D633" s="11">
        <v>10</v>
      </c>
      <c r="E633" s="5" t="s">
        <v>14371</v>
      </c>
      <c r="F633" s="5" t="s">
        <v>14372</v>
      </c>
      <c r="G633" s="5" t="s">
        <v>395</v>
      </c>
      <c r="H633" s="5" t="s">
        <v>36</v>
      </c>
      <c r="I633" s="5" t="s">
        <v>14373</v>
      </c>
      <c r="J633" s="5" t="s">
        <v>177</v>
      </c>
      <c r="K633" s="5" t="s">
        <v>14374</v>
      </c>
      <c r="L633" s="11">
        <v>1</v>
      </c>
      <c r="M633" s="5" t="s">
        <v>12491</v>
      </c>
    </row>
    <row r="634" spans="2:13" ht="52.5" customHeight="1" x14ac:dyDescent="0.35">
      <c r="B634" s="12">
        <v>42</v>
      </c>
      <c r="C634" s="7" t="s">
        <v>14342</v>
      </c>
      <c r="D634" s="12">
        <v>11</v>
      </c>
      <c r="E634" s="7" t="s">
        <v>14375</v>
      </c>
      <c r="F634" s="7" t="s">
        <v>14376</v>
      </c>
      <c r="G634" s="7" t="s">
        <v>1294</v>
      </c>
      <c r="H634" s="7" t="s">
        <v>36</v>
      </c>
      <c r="I634" s="7" t="s">
        <v>14377</v>
      </c>
      <c r="J634" s="7" t="s">
        <v>177</v>
      </c>
      <c r="K634" s="7" t="s">
        <v>14378</v>
      </c>
      <c r="L634" s="12">
        <v>1</v>
      </c>
      <c r="M634" s="7" t="s">
        <v>12491</v>
      </c>
    </row>
    <row r="635" spans="2:13" ht="37.5" customHeight="1" x14ac:dyDescent="0.35">
      <c r="B635" s="11">
        <v>42</v>
      </c>
      <c r="C635" s="5" t="s">
        <v>14342</v>
      </c>
      <c r="D635" s="11">
        <v>12</v>
      </c>
      <c r="E635" s="5" t="s">
        <v>14379</v>
      </c>
      <c r="F635" s="5" t="s">
        <v>14380</v>
      </c>
      <c r="G635" s="5" t="s">
        <v>14381</v>
      </c>
      <c r="H635" s="5" t="s">
        <v>36</v>
      </c>
      <c r="I635" s="5" t="s">
        <v>14382</v>
      </c>
      <c r="J635" s="5" t="s">
        <v>177</v>
      </c>
      <c r="K635" s="5" t="s">
        <v>14383</v>
      </c>
      <c r="L635" s="11">
        <v>1</v>
      </c>
      <c r="M635" s="5" t="s">
        <v>12491</v>
      </c>
    </row>
    <row r="636" spans="2:13" ht="37.5" customHeight="1" x14ac:dyDescent="0.35">
      <c r="B636" s="12">
        <v>42</v>
      </c>
      <c r="C636" s="7" t="s">
        <v>14342</v>
      </c>
      <c r="D636" s="12">
        <v>13</v>
      </c>
      <c r="E636" s="7" t="s">
        <v>14384</v>
      </c>
      <c r="F636" s="7" t="s">
        <v>14385</v>
      </c>
      <c r="G636" s="7" t="s">
        <v>2415</v>
      </c>
      <c r="H636" s="7" t="s">
        <v>36</v>
      </c>
      <c r="I636" s="7" t="s">
        <v>14386</v>
      </c>
      <c r="J636" s="7" t="s">
        <v>177</v>
      </c>
      <c r="K636" s="7" t="s">
        <v>14387</v>
      </c>
      <c r="L636" s="12">
        <v>1</v>
      </c>
      <c r="M636" s="7" t="s">
        <v>12491</v>
      </c>
    </row>
    <row r="637" spans="2:13" ht="52.5" customHeight="1" x14ac:dyDescent="0.35">
      <c r="B637" s="11">
        <v>42</v>
      </c>
      <c r="C637" s="5" t="s">
        <v>14342</v>
      </c>
      <c r="D637" s="11">
        <v>14</v>
      </c>
      <c r="E637" s="5" t="s">
        <v>14388</v>
      </c>
      <c r="F637" s="5" t="s">
        <v>14389</v>
      </c>
      <c r="G637" s="5" t="s">
        <v>282</v>
      </c>
      <c r="H637" s="5" t="s">
        <v>36</v>
      </c>
      <c r="I637" s="5" t="s">
        <v>14390</v>
      </c>
      <c r="J637" s="5" t="s">
        <v>177</v>
      </c>
      <c r="K637" s="5" t="s">
        <v>14391</v>
      </c>
      <c r="L637" s="11">
        <v>1</v>
      </c>
      <c r="M637" s="5" t="s">
        <v>12491</v>
      </c>
    </row>
    <row r="638" spans="2:13" ht="52.5" customHeight="1" x14ac:dyDescent="0.35">
      <c r="B638" s="12">
        <v>42</v>
      </c>
      <c r="C638" s="7" t="s">
        <v>14342</v>
      </c>
      <c r="D638" s="12">
        <v>15</v>
      </c>
      <c r="E638" s="7" t="s">
        <v>14392</v>
      </c>
      <c r="F638" s="7" t="s">
        <v>14393</v>
      </c>
      <c r="G638" s="7" t="s">
        <v>33</v>
      </c>
      <c r="H638" s="7" t="s">
        <v>36</v>
      </c>
      <c r="I638" s="7" t="s">
        <v>14390</v>
      </c>
      <c r="J638" s="7" t="s">
        <v>177</v>
      </c>
      <c r="K638" s="7" t="s">
        <v>14391</v>
      </c>
      <c r="L638" s="12">
        <v>1</v>
      </c>
      <c r="M638" s="7" t="s">
        <v>12491</v>
      </c>
    </row>
    <row r="639" spans="2:13" ht="52.5" customHeight="1" x14ac:dyDescent="0.35">
      <c r="B639" s="11">
        <v>42</v>
      </c>
      <c r="C639" s="5" t="s">
        <v>14342</v>
      </c>
      <c r="D639" s="11">
        <v>16</v>
      </c>
      <c r="E639" s="5" t="s">
        <v>14394</v>
      </c>
      <c r="F639" s="5" t="s">
        <v>14395</v>
      </c>
      <c r="G639" s="5" t="s">
        <v>26</v>
      </c>
      <c r="H639" s="5" t="s">
        <v>36</v>
      </c>
      <c r="I639" s="5" t="s">
        <v>14390</v>
      </c>
      <c r="J639" s="5" t="s">
        <v>177</v>
      </c>
      <c r="K639" s="5" t="s">
        <v>14391</v>
      </c>
      <c r="L639" s="11">
        <v>1</v>
      </c>
      <c r="M639" s="5" t="s">
        <v>12491</v>
      </c>
    </row>
    <row r="640" spans="2:13" ht="52.5" customHeight="1" x14ac:dyDescent="0.35">
      <c r="B640" s="12">
        <v>42</v>
      </c>
      <c r="C640" s="7" t="s">
        <v>14342</v>
      </c>
      <c r="D640" s="12">
        <v>17</v>
      </c>
      <c r="E640" s="7" t="s">
        <v>14396</v>
      </c>
      <c r="F640" s="7" t="s">
        <v>14397</v>
      </c>
      <c r="G640" s="7" t="s">
        <v>14398</v>
      </c>
      <c r="H640" s="7" t="s">
        <v>36</v>
      </c>
      <c r="I640" s="7" t="s">
        <v>14390</v>
      </c>
      <c r="J640" s="7" t="s">
        <v>177</v>
      </c>
      <c r="K640" s="7" t="s">
        <v>14391</v>
      </c>
      <c r="L640" s="12">
        <v>1</v>
      </c>
      <c r="M640" s="7" t="s">
        <v>12491</v>
      </c>
    </row>
    <row r="641" spans="2:13" ht="52.5" customHeight="1" x14ac:dyDescent="0.35">
      <c r="B641" s="11">
        <v>42</v>
      </c>
      <c r="C641" s="5" t="s">
        <v>14342</v>
      </c>
      <c r="D641" s="11">
        <v>18</v>
      </c>
      <c r="E641" s="5" t="s">
        <v>14399</v>
      </c>
      <c r="F641" s="5" t="s">
        <v>14400</v>
      </c>
      <c r="G641" s="5" t="s">
        <v>5476</v>
      </c>
      <c r="H641" s="5"/>
      <c r="I641" s="5" t="s">
        <v>14390</v>
      </c>
      <c r="J641" s="5" t="s">
        <v>177</v>
      </c>
      <c r="K641" s="5" t="s">
        <v>14401</v>
      </c>
      <c r="L641" s="11">
        <v>1</v>
      </c>
      <c r="M641" s="5" t="s">
        <v>12491</v>
      </c>
    </row>
    <row r="642" spans="2:13" ht="52.5" customHeight="1" x14ac:dyDescent="0.35">
      <c r="B642" s="12">
        <v>42</v>
      </c>
      <c r="C642" s="7" t="s">
        <v>14342</v>
      </c>
      <c r="D642" s="12">
        <v>19</v>
      </c>
      <c r="E642" s="7" t="s">
        <v>14402</v>
      </c>
      <c r="F642" s="7" t="s">
        <v>14403</v>
      </c>
      <c r="G642" s="7" t="s">
        <v>576</v>
      </c>
      <c r="H642" s="7"/>
      <c r="I642" s="7" t="s">
        <v>14390</v>
      </c>
      <c r="J642" s="7" t="s">
        <v>177</v>
      </c>
      <c r="K642" s="7" t="s">
        <v>14401</v>
      </c>
      <c r="L642" s="12">
        <v>1</v>
      </c>
      <c r="M642" s="7" t="s">
        <v>12491</v>
      </c>
    </row>
    <row r="643" spans="2:13" ht="37.5" customHeight="1" x14ac:dyDescent="0.35">
      <c r="B643" s="11">
        <v>42</v>
      </c>
      <c r="C643" s="5" t="s">
        <v>14342</v>
      </c>
      <c r="D643" s="11">
        <v>20</v>
      </c>
      <c r="E643" s="5" t="s">
        <v>14404</v>
      </c>
      <c r="F643" s="5" t="s">
        <v>14405</v>
      </c>
      <c r="G643" s="5" t="s">
        <v>880</v>
      </c>
      <c r="H643" s="5" t="s">
        <v>36</v>
      </c>
      <c r="I643" s="5" t="s">
        <v>12840</v>
      </c>
      <c r="J643" s="5" t="s">
        <v>177</v>
      </c>
      <c r="K643" s="5" t="s">
        <v>14349</v>
      </c>
      <c r="L643" s="11">
        <v>1</v>
      </c>
      <c r="M643" s="5" t="s">
        <v>12491</v>
      </c>
    </row>
    <row r="644" spans="2:13" ht="37.5" customHeight="1" x14ac:dyDescent="0.35">
      <c r="B644" s="12">
        <v>42</v>
      </c>
      <c r="C644" s="7" t="s">
        <v>14342</v>
      </c>
      <c r="D644" s="12">
        <v>21</v>
      </c>
      <c r="E644" s="7" t="s">
        <v>14406</v>
      </c>
      <c r="F644" s="7" t="s">
        <v>14407</v>
      </c>
      <c r="G644" s="7" t="s">
        <v>31</v>
      </c>
      <c r="H644" s="7" t="s">
        <v>36</v>
      </c>
      <c r="I644" s="7" t="s">
        <v>12840</v>
      </c>
      <c r="J644" s="7" t="s">
        <v>177</v>
      </c>
      <c r="K644" s="7" t="s">
        <v>14349</v>
      </c>
      <c r="L644" s="12">
        <v>1</v>
      </c>
      <c r="M644" s="7" t="s">
        <v>12491</v>
      </c>
    </row>
    <row r="645" spans="2:13" ht="21.75" customHeight="1" x14ac:dyDescent="0.35">
      <c r="B645" s="11">
        <v>42</v>
      </c>
      <c r="C645" s="5" t="s">
        <v>14342</v>
      </c>
      <c r="D645" s="11">
        <v>22</v>
      </c>
      <c r="E645" s="5" t="s">
        <v>14408</v>
      </c>
      <c r="F645" s="5" t="s">
        <v>14409</v>
      </c>
      <c r="G645" s="5" t="s">
        <v>810</v>
      </c>
      <c r="H645" s="5" t="s">
        <v>36</v>
      </c>
      <c r="I645" s="5" t="s">
        <v>12840</v>
      </c>
      <c r="J645" s="5" t="s">
        <v>177</v>
      </c>
      <c r="K645" s="5" t="s">
        <v>14349</v>
      </c>
      <c r="L645" s="11">
        <v>1</v>
      </c>
      <c r="M645" s="5" t="s">
        <v>12491</v>
      </c>
    </row>
    <row r="646" spans="2:13" ht="52.5" customHeight="1" x14ac:dyDescent="0.35">
      <c r="B646" s="12">
        <v>42</v>
      </c>
      <c r="C646" s="7" t="s">
        <v>14342</v>
      </c>
      <c r="D646" s="12">
        <v>23</v>
      </c>
      <c r="E646" s="7" t="s">
        <v>14410</v>
      </c>
      <c r="F646" s="7" t="s">
        <v>14411</v>
      </c>
      <c r="G646" s="7" t="s">
        <v>25</v>
      </c>
      <c r="H646" s="7" t="s">
        <v>36</v>
      </c>
      <c r="I646" s="7" t="s">
        <v>14412</v>
      </c>
      <c r="J646" s="7" t="s">
        <v>177</v>
      </c>
      <c r="K646" s="7" t="s">
        <v>14413</v>
      </c>
      <c r="L646" s="12">
        <v>1</v>
      </c>
      <c r="M646" s="7" t="s">
        <v>12491</v>
      </c>
    </row>
    <row r="647" spans="2:13" ht="37.5" customHeight="1" x14ac:dyDescent="0.35">
      <c r="B647" s="11">
        <v>42</v>
      </c>
      <c r="C647" s="5" t="s">
        <v>14342</v>
      </c>
      <c r="D647" s="11">
        <v>24</v>
      </c>
      <c r="E647" s="5" t="s">
        <v>14414</v>
      </c>
      <c r="F647" s="5" t="s">
        <v>14415</v>
      </c>
      <c r="G647" s="5" t="s">
        <v>439</v>
      </c>
      <c r="H647" s="5" t="s">
        <v>36</v>
      </c>
      <c r="I647" s="5" t="s">
        <v>12840</v>
      </c>
      <c r="J647" s="5" t="s">
        <v>177</v>
      </c>
      <c r="K647" s="5" t="s">
        <v>14349</v>
      </c>
      <c r="L647" s="11">
        <v>1</v>
      </c>
      <c r="M647" s="5" t="s">
        <v>12491</v>
      </c>
    </row>
    <row r="648" spans="2:13" ht="37.5" customHeight="1" x14ac:dyDescent="0.35">
      <c r="B648" s="12">
        <v>42</v>
      </c>
      <c r="C648" s="7" t="s">
        <v>14342</v>
      </c>
      <c r="D648" s="12">
        <v>25</v>
      </c>
      <c r="E648" s="7" t="s">
        <v>14416</v>
      </c>
      <c r="F648" s="7" t="s">
        <v>14417</v>
      </c>
      <c r="G648" s="7" t="s">
        <v>185</v>
      </c>
      <c r="H648" s="7" t="s">
        <v>36</v>
      </c>
      <c r="I648" s="7" t="s">
        <v>12840</v>
      </c>
      <c r="J648" s="7" t="s">
        <v>177</v>
      </c>
      <c r="K648" s="7" t="s">
        <v>14349</v>
      </c>
      <c r="L648" s="12">
        <v>1</v>
      </c>
      <c r="M648" s="7" t="s">
        <v>12491</v>
      </c>
    </row>
    <row r="649" spans="2:13" ht="67.5" customHeight="1" x14ac:dyDescent="0.35">
      <c r="B649" s="11">
        <v>42</v>
      </c>
      <c r="C649" s="5" t="s">
        <v>14342</v>
      </c>
      <c r="D649" s="11">
        <v>26</v>
      </c>
      <c r="E649" s="5" t="s">
        <v>14418</v>
      </c>
      <c r="F649" s="5" t="s">
        <v>14419</v>
      </c>
      <c r="G649" s="5" t="s">
        <v>582</v>
      </c>
      <c r="H649" s="5" t="s">
        <v>36</v>
      </c>
      <c r="I649" s="5" t="s">
        <v>14420</v>
      </c>
      <c r="J649" s="5" t="s">
        <v>177</v>
      </c>
      <c r="K649" s="5" t="s">
        <v>14421</v>
      </c>
      <c r="L649" s="11">
        <v>1</v>
      </c>
      <c r="M649" s="5" t="s">
        <v>12491</v>
      </c>
    </row>
    <row r="650" spans="2:13" ht="37.5" customHeight="1" x14ac:dyDescent="0.35">
      <c r="B650" s="12">
        <v>42</v>
      </c>
      <c r="C650" s="7" t="s">
        <v>14342</v>
      </c>
      <c r="D650" s="12">
        <v>27</v>
      </c>
      <c r="E650" s="7" t="s">
        <v>14422</v>
      </c>
      <c r="F650" s="7" t="s">
        <v>14423</v>
      </c>
      <c r="G650" s="7" t="s">
        <v>536</v>
      </c>
      <c r="H650" s="7" t="s">
        <v>36</v>
      </c>
      <c r="I650" s="7" t="s">
        <v>12550</v>
      </c>
      <c r="J650" s="7" t="s">
        <v>177</v>
      </c>
      <c r="K650" s="7" t="s">
        <v>14424</v>
      </c>
      <c r="L650" s="12">
        <v>1</v>
      </c>
      <c r="M650" s="7" t="s">
        <v>12491</v>
      </c>
    </row>
    <row r="651" spans="2:13" ht="21.75" customHeight="1" x14ac:dyDescent="0.35">
      <c r="B651" s="11">
        <v>42</v>
      </c>
      <c r="C651" s="5" t="s">
        <v>14342</v>
      </c>
      <c r="D651" s="11">
        <v>28</v>
      </c>
      <c r="E651" s="5" t="s">
        <v>14425</v>
      </c>
      <c r="F651" s="5" t="s">
        <v>14426</v>
      </c>
      <c r="G651" s="5" t="s">
        <v>973</v>
      </c>
      <c r="H651" s="5" t="s">
        <v>36</v>
      </c>
      <c r="I651" s="5" t="s">
        <v>12550</v>
      </c>
      <c r="J651" s="5" t="s">
        <v>177</v>
      </c>
      <c r="K651" s="5" t="s">
        <v>14424</v>
      </c>
      <c r="L651" s="11">
        <v>1</v>
      </c>
      <c r="M651" s="5" t="s">
        <v>12491</v>
      </c>
    </row>
    <row r="652" spans="2:13" ht="37.5" customHeight="1" x14ac:dyDescent="0.35">
      <c r="B652" s="12">
        <v>42</v>
      </c>
      <c r="C652" s="7" t="s">
        <v>14342</v>
      </c>
      <c r="D652" s="12">
        <v>29</v>
      </c>
      <c r="E652" s="7" t="s">
        <v>14427</v>
      </c>
      <c r="F652" s="7" t="s">
        <v>14428</v>
      </c>
      <c r="G652" s="7" t="s">
        <v>560</v>
      </c>
      <c r="H652" s="7" t="s">
        <v>36</v>
      </c>
      <c r="I652" s="7" t="s">
        <v>13067</v>
      </c>
      <c r="J652" s="7" t="s">
        <v>177</v>
      </c>
      <c r="K652" s="7" t="s">
        <v>14429</v>
      </c>
      <c r="L652" s="12">
        <v>1</v>
      </c>
      <c r="M652" s="7" t="s">
        <v>12491</v>
      </c>
    </row>
    <row r="653" spans="2:13" ht="37.5" customHeight="1" x14ac:dyDescent="0.35">
      <c r="B653" s="11">
        <v>42</v>
      </c>
      <c r="C653" s="5" t="s">
        <v>14342</v>
      </c>
      <c r="D653" s="11">
        <v>30</v>
      </c>
      <c r="E653" s="5" t="s">
        <v>14430</v>
      </c>
      <c r="F653" s="5" t="s">
        <v>14431</v>
      </c>
      <c r="G653" s="5" t="s">
        <v>244</v>
      </c>
      <c r="H653" s="5" t="s">
        <v>36</v>
      </c>
      <c r="I653" s="5" t="s">
        <v>14432</v>
      </c>
      <c r="J653" s="5" t="s">
        <v>177</v>
      </c>
      <c r="K653" s="5" t="s">
        <v>14433</v>
      </c>
      <c r="L653" s="11">
        <v>1</v>
      </c>
      <c r="M653" s="5" t="s">
        <v>12491</v>
      </c>
    </row>
    <row r="654" spans="2:13" ht="52.5" customHeight="1" x14ac:dyDescent="0.35">
      <c r="B654" s="12">
        <v>42</v>
      </c>
      <c r="C654" s="7" t="s">
        <v>14342</v>
      </c>
      <c r="D654" s="12">
        <v>31</v>
      </c>
      <c r="E654" s="7" t="s">
        <v>14434</v>
      </c>
      <c r="F654" s="7" t="s">
        <v>14435</v>
      </c>
      <c r="G654" s="7" t="s">
        <v>573</v>
      </c>
      <c r="H654" s="7" t="s">
        <v>36</v>
      </c>
      <c r="I654" s="7" t="s">
        <v>14436</v>
      </c>
      <c r="J654" s="7" t="s">
        <v>177</v>
      </c>
      <c r="K654" s="7" t="s">
        <v>14437</v>
      </c>
      <c r="L654" s="12">
        <v>1</v>
      </c>
      <c r="M654" s="7" t="s">
        <v>12491</v>
      </c>
    </row>
    <row r="655" spans="2:13" ht="52.5" customHeight="1" x14ac:dyDescent="0.35">
      <c r="B655" s="11">
        <v>42</v>
      </c>
      <c r="C655" s="5" t="s">
        <v>14342</v>
      </c>
      <c r="D655" s="11">
        <v>32</v>
      </c>
      <c r="E655" s="5" t="s">
        <v>14438</v>
      </c>
      <c r="F655" s="5" t="s">
        <v>14439</v>
      </c>
      <c r="G655" s="5" t="s">
        <v>698</v>
      </c>
      <c r="H655" s="5" t="s">
        <v>36</v>
      </c>
      <c r="I655" s="5" t="s">
        <v>14440</v>
      </c>
      <c r="J655" s="5" t="s">
        <v>177</v>
      </c>
      <c r="K655" s="5" t="s">
        <v>14441</v>
      </c>
      <c r="L655" s="11">
        <v>1</v>
      </c>
      <c r="M655" s="5" t="s">
        <v>12491</v>
      </c>
    </row>
    <row r="656" spans="2:13" ht="67.5" customHeight="1" x14ac:dyDescent="0.35">
      <c r="B656" s="12">
        <v>42</v>
      </c>
      <c r="C656" s="7" t="s">
        <v>14342</v>
      </c>
      <c r="D656" s="12">
        <v>33</v>
      </c>
      <c r="E656" s="7" t="s">
        <v>14442</v>
      </c>
      <c r="F656" s="7" t="s">
        <v>14443</v>
      </c>
      <c r="G656" s="7" t="s">
        <v>749</v>
      </c>
      <c r="H656" s="7" t="s">
        <v>36</v>
      </c>
      <c r="I656" s="7" t="s">
        <v>14444</v>
      </c>
      <c r="J656" s="7" t="s">
        <v>177</v>
      </c>
      <c r="K656" s="7" t="s">
        <v>14445</v>
      </c>
      <c r="L656" s="12">
        <v>1</v>
      </c>
      <c r="M656" s="7" t="s">
        <v>12491</v>
      </c>
    </row>
    <row r="657" spans="2:13" ht="52.5" customHeight="1" x14ac:dyDescent="0.35">
      <c r="B657" s="11">
        <v>42</v>
      </c>
      <c r="C657" s="5" t="s">
        <v>14342</v>
      </c>
      <c r="D657" s="11">
        <v>34</v>
      </c>
      <c r="E657" s="5" t="s">
        <v>14446</v>
      </c>
      <c r="F657" s="5" t="s">
        <v>14447</v>
      </c>
      <c r="G657" s="5" t="s">
        <v>531</v>
      </c>
      <c r="H657" s="5" t="s">
        <v>36</v>
      </c>
      <c r="I657" s="5" t="s">
        <v>14440</v>
      </c>
      <c r="J657" s="5" t="s">
        <v>177</v>
      </c>
      <c r="K657" s="5" t="s">
        <v>14441</v>
      </c>
      <c r="L657" s="11">
        <v>1</v>
      </c>
      <c r="M657" s="5" t="s">
        <v>12491</v>
      </c>
    </row>
    <row r="658" spans="2:13" ht="37.5" customHeight="1" x14ac:dyDescent="0.35">
      <c r="B658" s="12">
        <v>42</v>
      </c>
      <c r="C658" s="7" t="s">
        <v>14342</v>
      </c>
      <c r="D658" s="12">
        <v>35</v>
      </c>
      <c r="E658" s="7" t="s">
        <v>14448</v>
      </c>
      <c r="F658" s="7" t="s">
        <v>14449</v>
      </c>
      <c r="G658" s="7" t="s">
        <v>372</v>
      </c>
      <c r="H658" s="7" t="s">
        <v>36</v>
      </c>
      <c r="I658" s="7" t="s">
        <v>14450</v>
      </c>
      <c r="J658" s="7" t="s">
        <v>177</v>
      </c>
      <c r="K658" s="7" t="s">
        <v>14451</v>
      </c>
      <c r="L658" s="12">
        <v>1</v>
      </c>
      <c r="M658" s="7" t="s">
        <v>12491</v>
      </c>
    </row>
    <row r="659" spans="2:13" ht="67.5" customHeight="1" x14ac:dyDescent="0.35">
      <c r="B659" s="11">
        <v>42</v>
      </c>
      <c r="C659" s="5" t="s">
        <v>14342</v>
      </c>
      <c r="D659" s="11">
        <v>36</v>
      </c>
      <c r="E659" s="5" t="s">
        <v>14452</v>
      </c>
      <c r="F659" s="5" t="s">
        <v>14453</v>
      </c>
      <c r="G659" s="5" t="s">
        <v>645</v>
      </c>
      <c r="H659" s="5" t="s">
        <v>36</v>
      </c>
      <c r="I659" s="5" t="s">
        <v>14454</v>
      </c>
      <c r="J659" s="5" t="s">
        <v>177</v>
      </c>
      <c r="K659" s="5" t="s">
        <v>14455</v>
      </c>
      <c r="L659" s="11">
        <v>1</v>
      </c>
      <c r="M659" s="5" t="s">
        <v>12491</v>
      </c>
    </row>
    <row r="660" spans="2:13" ht="67.5" customHeight="1" x14ac:dyDescent="0.35">
      <c r="B660" s="12">
        <v>42</v>
      </c>
      <c r="C660" s="7" t="s">
        <v>14342</v>
      </c>
      <c r="D660" s="12">
        <v>37</v>
      </c>
      <c r="E660" s="7" t="s">
        <v>14456</v>
      </c>
      <c r="F660" s="7" t="s">
        <v>14457</v>
      </c>
      <c r="G660" s="7" t="s">
        <v>742</v>
      </c>
      <c r="H660" s="7" t="s">
        <v>36</v>
      </c>
      <c r="I660" s="7" t="s">
        <v>14454</v>
      </c>
      <c r="J660" s="7" t="s">
        <v>177</v>
      </c>
      <c r="K660" s="7" t="s">
        <v>14455</v>
      </c>
      <c r="L660" s="12">
        <v>1</v>
      </c>
      <c r="M660" s="7" t="s">
        <v>12491</v>
      </c>
    </row>
    <row r="661" spans="2:13" ht="67.5" customHeight="1" x14ac:dyDescent="0.35">
      <c r="B661" s="11">
        <v>42</v>
      </c>
      <c r="C661" s="5" t="s">
        <v>14342</v>
      </c>
      <c r="D661" s="11">
        <v>38</v>
      </c>
      <c r="E661" s="5" t="s">
        <v>14458</v>
      </c>
      <c r="F661" s="5" t="s">
        <v>14459</v>
      </c>
      <c r="G661" s="5" t="s">
        <v>631</v>
      </c>
      <c r="H661" s="5" t="s">
        <v>36</v>
      </c>
      <c r="I661" s="5" t="s">
        <v>14454</v>
      </c>
      <c r="J661" s="5" t="s">
        <v>177</v>
      </c>
      <c r="K661" s="5" t="s">
        <v>14455</v>
      </c>
      <c r="L661" s="11">
        <v>1</v>
      </c>
      <c r="M661" s="5" t="s">
        <v>12491</v>
      </c>
    </row>
    <row r="662" spans="2:13" ht="52.5" customHeight="1" x14ac:dyDescent="0.35">
      <c r="B662" s="12">
        <v>42</v>
      </c>
      <c r="C662" s="7" t="s">
        <v>14342</v>
      </c>
      <c r="D662" s="12">
        <v>39</v>
      </c>
      <c r="E662" s="7" t="s">
        <v>14460</v>
      </c>
      <c r="F662" s="7" t="s">
        <v>14461</v>
      </c>
      <c r="G662" s="7" t="s">
        <v>402</v>
      </c>
      <c r="H662" s="7" t="s">
        <v>36</v>
      </c>
      <c r="I662" s="7" t="s">
        <v>14462</v>
      </c>
      <c r="J662" s="7" t="s">
        <v>177</v>
      </c>
      <c r="K662" s="7" t="s">
        <v>14463</v>
      </c>
      <c r="L662" s="12">
        <v>1</v>
      </c>
      <c r="M662" s="7" t="s">
        <v>12491</v>
      </c>
    </row>
    <row r="663" spans="2:13" ht="52.5" customHeight="1" x14ac:dyDescent="0.35">
      <c r="B663" s="11">
        <v>42</v>
      </c>
      <c r="C663" s="5" t="s">
        <v>14342</v>
      </c>
      <c r="D663" s="11">
        <v>40</v>
      </c>
      <c r="E663" s="5" t="s">
        <v>14464</v>
      </c>
      <c r="F663" s="5" t="s">
        <v>14465</v>
      </c>
      <c r="G663" s="5" t="s">
        <v>625</v>
      </c>
      <c r="H663" s="5" t="s">
        <v>36</v>
      </c>
      <c r="I663" s="5" t="s">
        <v>14462</v>
      </c>
      <c r="J663" s="5" t="s">
        <v>177</v>
      </c>
      <c r="K663" s="5" t="s">
        <v>14463</v>
      </c>
      <c r="L663" s="11">
        <v>1</v>
      </c>
      <c r="M663" s="5" t="s">
        <v>12491</v>
      </c>
    </row>
    <row r="664" spans="2:13" ht="52.5" customHeight="1" x14ac:dyDescent="0.35">
      <c r="B664" s="12">
        <v>42</v>
      </c>
      <c r="C664" s="7" t="s">
        <v>14342</v>
      </c>
      <c r="D664" s="12">
        <v>41</v>
      </c>
      <c r="E664" s="7" t="s">
        <v>14466</v>
      </c>
      <c r="F664" s="7" t="s">
        <v>14467</v>
      </c>
      <c r="G664" s="7" t="s">
        <v>939</v>
      </c>
      <c r="H664" s="7" t="s">
        <v>36</v>
      </c>
      <c r="I664" s="7" t="s">
        <v>14462</v>
      </c>
      <c r="J664" s="7" t="s">
        <v>177</v>
      </c>
      <c r="K664" s="7" t="s">
        <v>14463</v>
      </c>
      <c r="L664" s="12">
        <v>1</v>
      </c>
      <c r="M664" s="7" t="s">
        <v>12491</v>
      </c>
    </row>
    <row r="665" spans="2:13" ht="52.5" customHeight="1" x14ac:dyDescent="0.35">
      <c r="B665" s="11">
        <v>42</v>
      </c>
      <c r="C665" s="5" t="s">
        <v>14342</v>
      </c>
      <c r="D665" s="11">
        <v>42</v>
      </c>
      <c r="E665" s="5" t="s">
        <v>14468</v>
      </c>
      <c r="F665" s="5" t="s">
        <v>14469</v>
      </c>
      <c r="G665" s="5" t="s">
        <v>428</v>
      </c>
      <c r="H665" s="5" t="s">
        <v>36</v>
      </c>
      <c r="I665" s="5" t="s">
        <v>14462</v>
      </c>
      <c r="J665" s="5" t="s">
        <v>177</v>
      </c>
      <c r="K665" s="5" t="s">
        <v>14463</v>
      </c>
      <c r="L665" s="11">
        <v>1</v>
      </c>
      <c r="M665" s="5" t="s">
        <v>12491</v>
      </c>
    </row>
    <row r="666" spans="2:13" ht="52.5" customHeight="1" x14ac:dyDescent="0.35">
      <c r="B666" s="12">
        <v>42</v>
      </c>
      <c r="C666" s="7" t="s">
        <v>14342</v>
      </c>
      <c r="D666" s="12">
        <v>43</v>
      </c>
      <c r="E666" s="7" t="s">
        <v>14470</v>
      </c>
      <c r="F666" s="7" t="s">
        <v>14471</v>
      </c>
      <c r="G666" s="7" t="s">
        <v>635</v>
      </c>
      <c r="H666" s="7" t="s">
        <v>36</v>
      </c>
      <c r="I666" s="7" t="s">
        <v>14462</v>
      </c>
      <c r="J666" s="7" t="s">
        <v>177</v>
      </c>
      <c r="K666" s="7" t="s">
        <v>14463</v>
      </c>
      <c r="L666" s="12">
        <v>1</v>
      </c>
      <c r="M666" s="7" t="s">
        <v>12491</v>
      </c>
    </row>
    <row r="667" spans="2:13" ht="52.5" customHeight="1" x14ac:dyDescent="0.35">
      <c r="B667" s="11">
        <v>42</v>
      </c>
      <c r="C667" s="5" t="s">
        <v>14342</v>
      </c>
      <c r="D667" s="11">
        <v>44</v>
      </c>
      <c r="E667" s="5" t="s">
        <v>14472</v>
      </c>
      <c r="F667" s="5" t="s">
        <v>14473</v>
      </c>
      <c r="G667" s="5" t="s">
        <v>701</v>
      </c>
      <c r="H667" s="5" t="s">
        <v>36</v>
      </c>
      <c r="I667" s="5" t="s">
        <v>14462</v>
      </c>
      <c r="J667" s="5" t="s">
        <v>177</v>
      </c>
      <c r="K667" s="5" t="s">
        <v>14463</v>
      </c>
      <c r="L667" s="11">
        <v>1</v>
      </c>
      <c r="M667" s="5" t="s">
        <v>12491</v>
      </c>
    </row>
    <row r="668" spans="2:13" ht="52.5" customHeight="1" x14ac:dyDescent="0.35">
      <c r="B668" s="12">
        <v>42</v>
      </c>
      <c r="C668" s="7" t="s">
        <v>14342</v>
      </c>
      <c r="D668" s="12">
        <v>45</v>
      </c>
      <c r="E668" s="7" t="s">
        <v>14474</v>
      </c>
      <c r="F668" s="7" t="s">
        <v>14475</v>
      </c>
      <c r="G668" s="7" t="s">
        <v>653</v>
      </c>
      <c r="H668" s="7" t="s">
        <v>36</v>
      </c>
      <c r="I668" s="7" t="s">
        <v>14462</v>
      </c>
      <c r="J668" s="7" t="s">
        <v>177</v>
      </c>
      <c r="K668" s="7" t="s">
        <v>14463</v>
      </c>
      <c r="L668" s="12">
        <v>1</v>
      </c>
      <c r="M668" s="7" t="s">
        <v>12491</v>
      </c>
    </row>
    <row r="669" spans="2:13" ht="52.5" customHeight="1" x14ac:dyDescent="0.35">
      <c r="B669" s="11">
        <v>42</v>
      </c>
      <c r="C669" s="5" t="s">
        <v>14342</v>
      </c>
      <c r="D669" s="11">
        <v>46</v>
      </c>
      <c r="E669" s="5" t="s">
        <v>14476</v>
      </c>
      <c r="F669" s="5" t="s">
        <v>14477</v>
      </c>
      <c r="G669" s="5" t="s">
        <v>557</v>
      </c>
      <c r="H669" s="5" t="s">
        <v>36</v>
      </c>
      <c r="I669" s="5" t="s">
        <v>14478</v>
      </c>
      <c r="J669" s="5" t="s">
        <v>177</v>
      </c>
      <c r="K669" s="5" t="s">
        <v>14479</v>
      </c>
      <c r="L669" s="11">
        <v>1</v>
      </c>
      <c r="M669" s="5" t="s">
        <v>12491</v>
      </c>
    </row>
    <row r="670" spans="2:13" ht="52.5" customHeight="1" x14ac:dyDescent="0.35">
      <c r="B670" s="12">
        <v>42</v>
      </c>
      <c r="C670" s="7" t="s">
        <v>14342</v>
      </c>
      <c r="D670" s="12">
        <v>47</v>
      </c>
      <c r="E670" s="7" t="s">
        <v>14480</v>
      </c>
      <c r="F670" s="7" t="s">
        <v>14481</v>
      </c>
      <c r="G670" s="7" t="s">
        <v>585</v>
      </c>
      <c r="H670" s="7" t="s">
        <v>36</v>
      </c>
      <c r="I670" s="7" t="s">
        <v>14478</v>
      </c>
      <c r="J670" s="7" t="s">
        <v>177</v>
      </c>
      <c r="K670" s="7" t="s">
        <v>14479</v>
      </c>
      <c r="L670" s="12">
        <v>1</v>
      </c>
      <c r="M670" s="7" t="s">
        <v>12491</v>
      </c>
    </row>
    <row r="671" spans="2:13" ht="52.5" customHeight="1" x14ac:dyDescent="0.35">
      <c r="B671" s="11">
        <v>42</v>
      </c>
      <c r="C671" s="5" t="s">
        <v>14342</v>
      </c>
      <c r="D671" s="11">
        <v>48</v>
      </c>
      <c r="E671" s="5" t="s">
        <v>14482</v>
      </c>
      <c r="F671" s="5" t="s">
        <v>14483</v>
      </c>
      <c r="G671" s="5" t="s">
        <v>825</v>
      </c>
      <c r="H671" s="5" t="s">
        <v>36</v>
      </c>
      <c r="I671" s="5" t="s">
        <v>14478</v>
      </c>
      <c r="J671" s="5" t="s">
        <v>177</v>
      </c>
      <c r="K671" s="5" t="s">
        <v>14479</v>
      </c>
      <c r="L671" s="11">
        <v>1</v>
      </c>
      <c r="M671" s="5" t="s">
        <v>12491</v>
      </c>
    </row>
    <row r="672" spans="2:13" ht="52.5" customHeight="1" x14ac:dyDescent="0.35">
      <c r="B672" s="12">
        <v>42</v>
      </c>
      <c r="C672" s="7" t="s">
        <v>14342</v>
      </c>
      <c r="D672" s="12">
        <v>49</v>
      </c>
      <c r="E672" s="7" t="s">
        <v>14484</v>
      </c>
      <c r="F672" s="7" t="s">
        <v>14485</v>
      </c>
      <c r="G672" s="7" t="s">
        <v>3065</v>
      </c>
      <c r="H672" s="7" t="s">
        <v>36</v>
      </c>
      <c r="I672" s="7" t="s">
        <v>14486</v>
      </c>
      <c r="J672" s="7" t="s">
        <v>177</v>
      </c>
      <c r="K672" s="7" t="s">
        <v>14487</v>
      </c>
      <c r="L672" s="12">
        <v>1</v>
      </c>
      <c r="M672" s="7" t="s">
        <v>12491</v>
      </c>
    </row>
    <row r="673" spans="2:13" ht="52.5" customHeight="1" x14ac:dyDescent="0.35">
      <c r="B673" s="11">
        <v>42</v>
      </c>
      <c r="C673" s="5" t="s">
        <v>14342</v>
      </c>
      <c r="D673" s="11">
        <v>50</v>
      </c>
      <c r="E673" s="5" t="s">
        <v>14488</v>
      </c>
      <c r="F673" s="5" t="s">
        <v>14489</v>
      </c>
      <c r="G673" s="5" t="s">
        <v>648</v>
      </c>
      <c r="H673" s="5" t="s">
        <v>36</v>
      </c>
      <c r="I673" s="5" t="s">
        <v>14490</v>
      </c>
      <c r="J673" s="5" t="s">
        <v>177</v>
      </c>
      <c r="K673" s="5" t="s">
        <v>14491</v>
      </c>
      <c r="L673" s="11">
        <v>1</v>
      </c>
      <c r="M673" s="5" t="s">
        <v>12491</v>
      </c>
    </row>
    <row r="674" spans="2:13" ht="37.5" customHeight="1" x14ac:dyDescent="0.35">
      <c r="B674" s="12">
        <v>42</v>
      </c>
      <c r="C674" s="7" t="s">
        <v>14342</v>
      </c>
      <c r="D674" s="12">
        <v>51</v>
      </c>
      <c r="E674" s="7" t="s">
        <v>14492</v>
      </c>
      <c r="F674" s="7" t="s">
        <v>14493</v>
      </c>
      <c r="G674" s="7" t="s">
        <v>6658</v>
      </c>
      <c r="H674" s="7" t="s">
        <v>36</v>
      </c>
      <c r="I674" s="7" t="s">
        <v>14494</v>
      </c>
      <c r="J674" s="7" t="s">
        <v>177</v>
      </c>
      <c r="K674" s="7" t="s">
        <v>14495</v>
      </c>
      <c r="L674" s="12">
        <v>1</v>
      </c>
      <c r="M674" s="7" t="s">
        <v>12491</v>
      </c>
    </row>
    <row r="675" spans="2:13" ht="37.5" customHeight="1" x14ac:dyDescent="0.35">
      <c r="B675" s="11">
        <v>42</v>
      </c>
      <c r="C675" s="5" t="s">
        <v>14342</v>
      </c>
      <c r="D675" s="11">
        <v>52</v>
      </c>
      <c r="E675" s="5" t="s">
        <v>14496</v>
      </c>
      <c r="F675" s="5" t="s">
        <v>14497</v>
      </c>
      <c r="G675" s="5" t="s">
        <v>670</v>
      </c>
      <c r="H675" s="5" t="s">
        <v>36</v>
      </c>
      <c r="I675" s="5" t="s">
        <v>14494</v>
      </c>
      <c r="J675" s="5" t="s">
        <v>177</v>
      </c>
      <c r="K675" s="5" t="s">
        <v>14495</v>
      </c>
      <c r="L675" s="11">
        <v>1</v>
      </c>
      <c r="M675" s="5" t="s">
        <v>12491</v>
      </c>
    </row>
    <row r="676" spans="2:13" ht="37.5" customHeight="1" x14ac:dyDescent="0.35">
      <c r="B676" s="12">
        <v>42</v>
      </c>
      <c r="C676" s="7" t="s">
        <v>14342</v>
      </c>
      <c r="D676" s="12">
        <v>53</v>
      </c>
      <c r="E676" s="7" t="s">
        <v>14498</v>
      </c>
      <c r="F676" s="7" t="s">
        <v>14499</v>
      </c>
      <c r="G676" s="7" t="s">
        <v>552</v>
      </c>
      <c r="H676" s="7" t="s">
        <v>36</v>
      </c>
      <c r="I676" s="7" t="s">
        <v>14494</v>
      </c>
      <c r="J676" s="7" t="s">
        <v>177</v>
      </c>
      <c r="K676" s="7" t="s">
        <v>14495</v>
      </c>
      <c r="L676" s="12">
        <v>1</v>
      </c>
      <c r="M676" s="7" t="s">
        <v>12491</v>
      </c>
    </row>
    <row r="677" spans="2:13" ht="37.5" customHeight="1" x14ac:dyDescent="0.35">
      <c r="B677" s="11">
        <v>42</v>
      </c>
      <c r="C677" s="5" t="s">
        <v>14342</v>
      </c>
      <c r="D677" s="11">
        <v>54</v>
      </c>
      <c r="E677" s="5" t="s">
        <v>14500</v>
      </c>
      <c r="F677" s="5" t="s">
        <v>14501</v>
      </c>
      <c r="G677" s="5" t="s">
        <v>212</v>
      </c>
      <c r="H677" s="5" t="s">
        <v>36</v>
      </c>
      <c r="I677" s="5" t="s">
        <v>14494</v>
      </c>
      <c r="J677" s="5" t="s">
        <v>177</v>
      </c>
      <c r="K677" s="5" t="s">
        <v>14495</v>
      </c>
      <c r="L677" s="11">
        <v>1</v>
      </c>
      <c r="M677" s="5" t="s">
        <v>12491</v>
      </c>
    </row>
    <row r="678" spans="2:13" ht="52.5" customHeight="1" x14ac:dyDescent="0.35">
      <c r="B678" s="12">
        <v>42</v>
      </c>
      <c r="C678" s="7" t="s">
        <v>14342</v>
      </c>
      <c r="D678" s="12">
        <v>55</v>
      </c>
      <c r="E678" s="7" t="s">
        <v>14502</v>
      </c>
      <c r="F678" s="7" t="s">
        <v>14503</v>
      </c>
      <c r="G678" s="7" t="s">
        <v>14504</v>
      </c>
      <c r="H678" s="7" t="s">
        <v>36</v>
      </c>
      <c r="I678" s="7" t="s">
        <v>14494</v>
      </c>
      <c r="J678" s="7" t="s">
        <v>177</v>
      </c>
      <c r="K678" s="7" t="s">
        <v>14505</v>
      </c>
      <c r="L678" s="12">
        <v>2</v>
      </c>
      <c r="M678" s="7" t="s">
        <v>12491</v>
      </c>
    </row>
    <row r="679" spans="2:13" ht="52.5" customHeight="1" x14ac:dyDescent="0.35">
      <c r="B679" s="11">
        <v>42</v>
      </c>
      <c r="C679" s="5" t="s">
        <v>14342</v>
      </c>
      <c r="D679" s="11">
        <v>56</v>
      </c>
      <c r="E679" s="5" t="s">
        <v>14506</v>
      </c>
      <c r="F679" s="5" t="s">
        <v>14507</v>
      </c>
      <c r="G679" s="5" t="s">
        <v>4634</v>
      </c>
      <c r="H679" s="5" t="s">
        <v>36</v>
      </c>
      <c r="I679" s="5" t="s">
        <v>14508</v>
      </c>
      <c r="J679" s="5"/>
      <c r="K679" s="5" t="s">
        <v>14509</v>
      </c>
      <c r="L679" s="11">
        <v>2</v>
      </c>
      <c r="M679" s="5" t="s">
        <v>12491</v>
      </c>
    </row>
    <row r="680" spans="2:13" ht="52.5" customHeight="1" x14ac:dyDescent="0.35">
      <c r="B680" s="12">
        <v>42</v>
      </c>
      <c r="C680" s="7" t="s">
        <v>14342</v>
      </c>
      <c r="D680" s="12">
        <v>57</v>
      </c>
      <c r="E680" s="7" t="s">
        <v>14510</v>
      </c>
      <c r="F680" s="7" t="s">
        <v>14511</v>
      </c>
      <c r="G680" s="7" t="s">
        <v>7474</v>
      </c>
      <c r="H680" s="7" t="s">
        <v>36</v>
      </c>
      <c r="I680" s="7" t="s">
        <v>14512</v>
      </c>
      <c r="J680" s="7" t="s">
        <v>177</v>
      </c>
      <c r="K680" s="7" t="s">
        <v>14513</v>
      </c>
      <c r="L680" s="12">
        <v>1</v>
      </c>
      <c r="M680" s="7" t="s">
        <v>12491</v>
      </c>
    </row>
    <row r="681" spans="2:13" ht="52.5" customHeight="1" x14ac:dyDescent="0.35">
      <c r="B681" s="11">
        <v>42</v>
      </c>
      <c r="C681" s="5" t="s">
        <v>14342</v>
      </c>
      <c r="D681" s="11">
        <v>58</v>
      </c>
      <c r="E681" s="5" t="s">
        <v>14514</v>
      </c>
      <c r="F681" s="5" t="s">
        <v>14515</v>
      </c>
      <c r="G681" s="5" t="s">
        <v>14516</v>
      </c>
      <c r="H681" s="5" t="s">
        <v>36</v>
      </c>
      <c r="I681" s="5" t="s">
        <v>14508</v>
      </c>
      <c r="J681" s="5" t="s">
        <v>177</v>
      </c>
      <c r="K681" s="5" t="s">
        <v>14517</v>
      </c>
      <c r="L681" s="11">
        <v>1</v>
      </c>
      <c r="M681" s="5" t="s">
        <v>12491</v>
      </c>
    </row>
    <row r="682" spans="2:13" ht="52.5" customHeight="1" x14ac:dyDescent="0.35">
      <c r="B682" s="12">
        <v>42</v>
      </c>
      <c r="C682" s="7" t="s">
        <v>14342</v>
      </c>
      <c r="D682" s="12">
        <v>59</v>
      </c>
      <c r="E682" s="7" t="s">
        <v>14518</v>
      </c>
      <c r="F682" s="7" t="s">
        <v>14519</v>
      </c>
      <c r="G682" s="7" t="s">
        <v>727</v>
      </c>
      <c r="H682" s="7" t="s">
        <v>36</v>
      </c>
      <c r="I682" s="7" t="s">
        <v>14508</v>
      </c>
      <c r="J682" s="7" t="s">
        <v>177</v>
      </c>
      <c r="K682" s="7" t="s">
        <v>14517</v>
      </c>
      <c r="L682" s="12">
        <v>1</v>
      </c>
      <c r="M682" s="7" t="s">
        <v>12491</v>
      </c>
    </row>
    <row r="683" spans="2:13" ht="52.5" customHeight="1" x14ac:dyDescent="0.35">
      <c r="B683" s="11">
        <v>42</v>
      </c>
      <c r="C683" s="5" t="s">
        <v>14342</v>
      </c>
      <c r="D683" s="11">
        <v>60</v>
      </c>
      <c r="E683" s="5" t="s">
        <v>14520</v>
      </c>
      <c r="F683" s="5" t="s">
        <v>14521</v>
      </c>
      <c r="G683" s="5" t="s">
        <v>1226</v>
      </c>
      <c r="H683" s="5" t="s">
        <v>36</v>
      </c>
      <c r="I683" s="5" t="s">
        <v>14522</v>
      </c>
      <c r="J683" s="5" t="s">
        <v>177</v>
      </c>
      <c r="K683" s="5" t="s">
        <v>14523</v>
      </c>
      <c r="L683" s="11">
        <v>1</v>
      </c>
      <c r="M683" s="5" t="s">
        <v>12491</v>
      </c>
    </row>
    <row r="684" spans="2:13" ht="52.5" customHeight="1" x14ac:dyDescent="0.35">
      <c r="B684" s="12">
        <v>42</v>
      </c>
      <c r="C684" s="7" t="s">
        <v>14342</v>
      </c>
      <c r="D684" s="12">
        <v>61</v>
      </c>
      <c r="E684" s="7" t="s">
        <v>14524</v>
      </c>
      <c r="F684" s="7" t="s">
        <v>14525</v>
      </c>
      <c r="G684" s="7" t="s">
        <v>733</v>
      </c>
      <c r="H684" s="7" t="s">
        <v>36</v>
      </c>
      <c r="I684" s="7" t="s">
        <v>14522</v>
      </c>
      <c r="J684" s="7" t="s">
        <v>177</v>
      </c>
      <c r="K684" s="7" t="s">
        <v>14523</v>
      </c>
      <c r="L684" s="12">
        <v>1</v>
      </c>
      <c r="M684" s="7" t="s">
        <v>12491</v>
      </c>
    </row>
    <row r="685" spans="2:13" ht="52.5" customHeight="1" x14ac:dyDescent="0.35">
      <c r="B685" s="11">
        <v>42</v>
      </c>
      <c r="C685" s="5" t="s">
        <v>14342</v>
      </c>
      <c r="D685" s="11">
        <v>62</v>
      </c>
      <c r="E685" s="5" t="s">
        <v>14526</v>
      </c>
      <c r="F685" s="5" t="s">
        <v>14527</v>
      </c>
      <c r="G685" s="5" t="s">
        <v>198</v>
      </c>
      <c r="H685" s="5" t="s">
        <v>36</v>
      </c>
      <c r="I685" s="5" t="s">
        <v>14522</v>
      </c>
      <c r="J685" s="5" t="s">
        <v>177</v>
      </c>
      <c r="K685" s="5" t="s">
        <v>14523</v>
      </c>
      <c r="L685" s="11">
        <v>1</v>
      </c>
      <c r="M685" s="5" t="s">
        <v>12491</v>
      </c>
    </row>
    <row r="686" spans="2:13" ht="37.5" customHeight="1" x14ac:dyDescent="0.35">
      <c r="B686" s="12">
        <v>42</v>
      </c>
      <c r="C686" s="7" t="s">
        <v>14342</v>
      </c>
      <c r="D686" s="12">
        <v>63</v>
      </c>
      <c r="E686" s="7" t="s">
        <v>14528</v>
      </c>
      <c r="F686" s="7" t="s">
        <v>14529</v>
      </c>
      <c r="G686" s="7" t="s">
        <v>2837</v>
      </c>
      <c r="H686" s="7" t="s">
        <v>36</v>
      </c>
      <c r="I686" s="7" t="s">
        <v>12640</v>
      </c>
      <c r="J686" s="7" t="s">
        <v>177</v>
      </c>
      <c r="K686" s="7" t="s">
        <v>14530</v>
      </c>
      <c r="L686" s="12">
        <v>1</v>
      </c>
      <c r="M686" s="7" t="s">
        <v>12491</v>
      </c>
    </row>
    <row r="687" spans="2:13" ht="37.5" customHeight="1" x14ac:dyDescent="0.35">
      <c r="B687" s="11">
        <v>42</v>
      </c>
      <c r="C687" s="5" t="s">
        <v>14342</v>
      </c>
      <c r="D687" s="11">
        <v>64</v>
      </c>
      <c r="E687" s="5" t="s">
        <v>14531</v>
      </c>
      <c r="F687" s="5" t="s">
        <v>14532</v>
      </c>
      <c r="G687" s="5" t="s">
        <v>828</v>
      </c>
      <c r="H687" s="5" t="s">
        <v>36</v>
      </c>
      <c r="I687" s="5" t="s">
        <v>12640</v>
      </c>
      <c r="J687" s="5" t="s">
        <v>177</v>
      </c>
      <c r="K687" s="5" t="s">
        <v>14530</v>
      </c>
      <c r="L687" s="11">
        <v>1</v>
      </c>
      <c r="M687" s="5" t="s">
        <v>12491</v>
      </c>
    </row>
    <row r="688" spans="2:13" ht="37.5" customHeight="1" x14ac:dyDescent="0.35">
      <c r="B688" s="12">
        <v>42</v>
      </c>
      <c r="C688" s="7" t="s">
        <v>14342</v>
      </c>
      <c r="D688" s="12">
        <v>65</v>
      </c>
      <c r="E688" s="7" t="s">
        <v>14533</v>
      </c>
      <c r="F688" s="7" t="s">
        <v>14534</v>
      </c>
      <c r="G688" s="7" t="s">
        <v>1244</v>
      </c>
      <c r="H688" s="7" t="s">
        <v>36</v>
      </c>
      <c r="I688" s="7" t="s">
        <v>14535</v>
      </c>
      <c r="J688" s="7" t="s">
        <v>177</v>
      </c>
      <c r="K688" s="7" t="s">
        <v>14536</v>
      </c>
      <c r="L688" s="12">
        <v>1</v>
      </c>
      <c r="M688" s="7" t="s">
        <v>12491</v>
      </c>
    </row>
    <row r="689" spans="2:13" ht="37.5" customHeight="1" x14ac:dyDescent="0.35">
      <c r="B689" s="11">
        <v>42</v>
      </c>
      <c r="C689" s="5" t="s">
        <v>14342</v>
      </c>
      <c r="D689" s="11">
        <v>66</v>
      </c>
      <c r="E689" s="5" t="s">
        <v>14537</v>
      </c>
      <c r="F689" s="5" t="s">
        <v>14538</v>
      </c>
      <c r="G689" s="5" t="s">
        <v>891</v>
      </c>
      <c r="H689" s="5" t="s">
        <v>36</v>
      </c>
      <c r="I689" s="5" t="s">
        <v>14535</v>
      </c>
      <c r="J689" s="5" t="s">
        <v>177</v>
      </c>
      <c r="K689" s="5" t="s">
        <v>14536</v>
      </c>
      <c r="L689" s="11">
        <v>1</v>
      </c>
      <c r="M689" s="5" t="s">
        <v>12491</v>
      </c>
    </row>
    <row r="690" spans="2:13" ht="37.5" customHeight="1" x14ac:dyDescent="0.35">
      <c r="B690" s="12">
        <v>42</v>
      </c>
      <c r="C690" s="7" t="s">
        <v>14342</v>
      </c>
      <c r="D690" s="12">
        <v>67</v>
      </c>
      <c r="E690" s="7" t="s">
        <v>14539</v>
      </c>
      <c r="F690" s="7" t="s">
        <v>14540</v>
      </c>
      <c r="G690" s="7" t="s">
        <v>4719</v>
      </c>
      <c r="H690" s="7" t="s">
        <v>36</v>
      </c>
      <c r="I690" s="7" t="s">
        <v>12605</v>
      </c>
      <c r="J690" s="7" t="s">
        <v>177</v>
      </c>
      <c r="K690" s="7" t="s">
        <v>14541</v>
      </c>
      <c r="L690" s="12">
        <v>1</v>
      </c>
      <c r="M690" s="7" t="s">
        <v>12491</v>
      </c>
    </row>
    <row r="691" spans="2:13" ht="37.5" customHeight="1" x14ac:dyDescent="0.35">
      <c r="B691" s="11">
        <v>42</v>
      </c>
      <c r="C691" s="5" t="s">
        <v>14342</v>
      </c>
      <c r="D691" s="11">
        <v>68</v>
      </c>
      <c r="E691" s="5" t="s">
        <v>14542</v>
      </c>
      <c r="F691" s="5" t="s">
        <v>14543</v>
      </c>
      <c r="G691" s="5" t="s">
        <v>358</v>
      </c>
      <c r="H691" s="5" t="s">
        <v>36</v>
      </c>
      <c r="I691" s="5" t="s">
        <v>14544</v>
      </c>
      <c r="J691" s="5" t="s">
        <v>177</v>
      </c>
      <c r="K691" s="5" t="s">
        <v>14545</v>
      </c>
      <c r="L691" s="11">
        <v>1</v>
      </c>
      <c r="M691" s="5" t="s">
        <v>12491</v>
      </c>
    </row>
    <row r="692" spans="2:13" ht="37.5" customHeight="1" x14ac:dyDescent="0.35">
      <c r="B692" s="12">
        <v>42</v>
      </c>
      <c r="C692" s="7" t="s">
        <v>14342</v>
      </c>
      <c r="D692" s="12">
        <v>69</v>
      </c>
      <c r="E692" s="7" t="s">
        <v>14546</v>
      </c>
      <c r="F692" s="7" t="s">
        <v>14547</v>
      </c>
      <c r="G692" s="7" t="s">
        <v>837</v>
      </c>
      <c r="H692" s="7" t="s">
        <v>36</v>
      </c>
      <c r="I692" s="7" t="s">
        <v>14544</v>
      </c>
      <c r="J692" s="7" t="s">
        <v>177</v>
      </c>
      <c r="K692" s="7" t="s">
        <v>14545</v>
      </c>
      <c r="L692" s="12">
        <v>1</v>
      </c>
      <c r="M692" s="7" t="s">
        <v>12491</v>
      </c>
    </row>
    <row r="693" spans="2:13" ht="37.5" customHeight="1" x14ac:dyDescent="0.35">
      <c r="B693" s="11">
        <v>42</v>
      </c>
      <c r="C693" s="5" t="s">
        <v>14342</v>
      </c>
      <c r="D693" s="11">
        <v>70</v>
      </c>
      <c r="E693" s="5" t="s">
        <v>14548</v>
      </c>
      <c r="F693" s="5" t="s">
        <v>14549</v>
      </c>
      <c r="G693" s="5" t="s">
        <v>4634</v>
      </c>
      <c r="H693" s="5" t="s">
        <v>36</v>
      </c>
      <c r="I693" s="5" t="s">
        <v>14544</v>
      </c>
      <c r="J693" s="5" t="s">
        <v>177</v>
      </c>
      <c r="K693" s="5" t="s">
        <v>14545</v>
      </c>
      <c r="L693" s="11">
        <v>1</v>
      </c>
      <c r="M693" s="5" t="s">
        <v>12491</v>
      </c>
    </row>
    <row r="694" spans="2:13" ht="52.5" customHeight="1" x14ac:dyDescent="0.35">
      <c r="B694" s="12">
        <v>42</v>
      </c>
      <c r="C694" s="7" t="s">
        <v>14342</v>
      </c>
      <c r="D694" s="12">
        <v>71</v>
      </c>
      <c r="E694" s="7" t="s">
        <v>14550</v>
      </c>
      <c r="F694" s="7" t="s">
        <v>14551</v>
      </c>
      <c r="G694" s="7" t="s">
        <v>14552</v>
      </c>
      <c r="H694" s="7" t="s">
        <v>36</v>
      </c>
      <c r="I694" s="7" t="s">
        <v>14553</v>
      </c>
      <c r="J694" s="7" t="s">
        <v>177</v>
      </c>
      <c r="K694" s="7" t="s">
        <v>14554</v>
      </c>
      <c r="L694" s="12">
        <v>1</v>
      </c>
      <c r="M694" s="7" t="s">
        <v>12491</v>
      </c>
    </row>
    <row r="695" spans="2:13" ht="37.5" customHeight="1" x14ac:dyDescent="0.35">
      <c r="B695" s="11">
        <v>42</v>
      </c>
      <c r="C695" s="5" t="s">
        <v>14342</v>
      </c>
      <c r="D695" s="11">
        <v>72</v>
      </c>
      <c r="E695" s="5" t="s">
        <v>14555</v>
      </c>
      <c r="F695" s="5" t="s">
        <v>14556</v>
      </c>
      <c r="G695" s="5" t="s">
        <v>950</v>
      </c>
      <c r="H695" s="5" t="s">
        <v>36</v>
      </c>
      <c r="I695" s="5" t="s">
        <v>14544</v>
      </c>
      <c r="J695" s="5" t="s">
        <v>177</v>
      </c>
      <c r="K695" s="5" t="s">
        <v>14545</v>
      </c>
      <c r="L695" s="11">
        <v>1</v>
      </c>
      <c r="M695" s="5" t="s">
        <v>12491</v>
      </c>
    </row>
    <row r="696" spans="2:13" ht="52.5" customHeight="1" x14ac:dyDescent="0.35">
      <c r="B696" s="12">
        <v>42</v>
      </c>
      <c r="C696" s="7" t="s">
        <v>14342</v>
      </c>
      <c r="D696" s="12">
        <v>73</v>
      </c>
      <c r="E696" s="7" t="s">
        <v>14557</v>
      </c>
      <c r="F696" s="7" t="s">
        <v>14558</v>
      </c>
      <c r="G696" s="7" t="s">
        <v>953</v>
      </c>
      <c r="H696" s="7" t="s">
        <v>36</v>
      </c>
      <c r="I696" s="7" t="s">
        <v>14553</v>
      </c>
      <c r="J696" s="7" t="s">
        <v>177</v>
      </c>
      <c r="K696" s="7" t="s">
        <v>14554</v>
      </c>
      <c r="L696" s="12">
        <v>1</v>
      </c>
      <c r="M696" s="7" t="s">
        <v>12491</v>
      </c>
    </row>
    <row r="697" spans="2:13" ht="52.5" customHeight="1" x14ac:dyDescent="0.35">
      <c r="B697" s="11">
        <v>42</v>
      </c>
      <c r="C697" s="5" t="s">
        <v>14342</v>
      </c>
      <c r="D697" s="11">
        <v>74</v>
      </c>
      <c r="E697" s="5" t="s">
        <v>14559</v>
      </c>
      <c r="F697" s="5" t="s">
        <v>14560</v>
      </c>
      <c r="G697" s="5" t="s">
        <v>14561</v>
      </c>
      <c r="H697" s="5" t="s">
        <v>36</v>
      </c>
      <c r="I697" s="5" t="s">
        <v>14553</v>
      </c>
      <c r="J697" s="5" t="s">
        <v>177</v>
      </c>
      <c r="K697" s="5" t="s">
        <v>14554</v>
      </c>
      <c r="L697" s="11">
        <v>1</v>
      </c>
      <c r="M697" s="5" t="s">
        <v>12491</v>
      </c>
    </row>
    <row r="698" spans="2:13" ht="37.5" customHeight="1" x14ac:dyDescent="0.35">
      <c r="B698" s="12">
        <v>42</v>
      </c>
      <c r="C698" s="7" t="s">
        <v>14342</v>
      </c>
      <c r="D698" s="12">
        <v>75</v>
      </c>
      <c r="E698" s="7" t="s">
        <v>14562</v>
      </c>
      <c r="F698" s="7" t="s">
        <v>14563</v>
      </c>
      <c r="G698" s="7" t="s">
        <v>1784</v>
      </c>
      <c r="H698" s="7" t="s">
        <v>36</v>
      </c>
      <c r="I698" s="7" t="s">
        <v>14564</v>
      </c>
      <c r="J698" s="7" t="s">
        <v>177</v>
      </c>
      <c r="K698" s="7" t="s">
        <v>14565</v>
      </c>
      <c r="L698" s="12">
        <v>1</v>
      </c>
      <c r="M698" s="7" t="s">
        <v>12491</v>
      </c>
    </row>
    <row r="699" spans="2:13" ht="52.5" customHeight="1" x14ac:dyDescent="0.35">
      <c r="B699" s="11">
        <v>42</v>
      </c>
      <c r="C699" s="5" t="s">
        <v>14342</v>
      </c>
      <c r="D699" s="11">
        <v>76</v>
      </c>
      <c r="E699" s="5" t="s">
        <v>14566</v>
      </c>
      <c r="F699" s="5" t="s">
        <v>14567</v>
      </c>
      <c r="G699" s="5" t="s">
        <v>14568</v>
      </c>
      <c r="H699" s="5" t="s">
        <v>36</v>
      </c>
      <c r="I699" s="5" t="s">
        <v>14553</v>
      </c>
      <c r="J699" s="5" t="s">
        <v>9380</v>
      </c>
      <c r="K699" s="5" t="s">
        <v>14569</v>
      </c>
      <c r="L699" s="11">
        <v>1</v>
      </c>
      <c r="M699" s="5" t="s">
        <v>12491</v>
      </c>
    </row>
    <row r="700" spans="2:13" ht="52.5" customHeight="1" x14ac:dyDescent="0.35">
      <c r="B700" s="12">
        <v>42</v>
      </c>
      <c r="C700" s="7" t="s">
        <v>14342</v>
      </c>
      <c r="D700" s="12">
        <v>77</v>
      </c>
      <c r="E700" s="7" t="s">
        <v>14570</v>
      </c>
      <c r="F700" s="7" t="s">
        <v>14571</v>
      </c>
      <c r="G700" s="7" t="s">
        <v>14572</v>
      </c>
      <c r="H700" s="7" t="s">
        <v>36</v>
      </c>
      <c r="I700" s="7" t="s">
        <v>14553</v>
      </c>
      <c r="J700" s="7" t="s">
        <v>331</v>
      </c>
      <c r="K700" s="7" t="s">
        <v>14573</v>
      </c>
      <c r="L700" s="12">
        <v>1</v>
      </c>
      <c r="M700" s="7" t="s">
        <v>12491</v>
      </c>
    </row>
    <row r="701" spans="2:13" ht="21.75" customHeight="1" x14ac:dyDescent="0.35">
      <c r="B701" s="11">
        <v>43</v>
      </c>
      <c r="C701" s="5" t="s">
        <v>14574</v>
      </c>
      <c r="D701" s="11">
        <v>1</v>
      </c>
      <c r="E701" s="5" t="s">
        <v>14575</v>
      </c>
      <c r="F701" s="5" t="s">
        <v>14576</v>
      </c>
      <c r="G701" s="5" t="s">
        <v>365</v>
      </c>
      <c r="H701" s="5" t="s">
        <v>36</v>
      </c>
      <c r="I701" s="5" t="s">
        <v>14577</v>
      </c>
      <c r="J701" s="5" t="s">
        <v>5394</v>
      </c>
      <c r="K701" s="5" t="s">
        <v>14578</v>
      </c>
      <c r="L701" s="11">
        <v>1</v>
      </c>
      <c r="M701" s="5" t="s">
        <v>12497</v>
      </c>
    </row>
    <row r="702" spans="2:13" ht="67.5" customHeight="1" x14ac:dyDescent="0.35">
      <c r="B702" s="12">
        <v>43</v>
      </c>
      <c r="C702" s="7" t="s">
        <v>14574</v>
      </c>
      <c r="D702" s="12">
        <v>2</v>
      </c>
      <c r="E702" s="7" t="s">
        <v>14579</v>
      </c>
      <c r="F702" s="7" t="s">
        <v>14580</v>
      </c>
      <c r="G702" s="7" t="s">
        <v>1294</v>
      </c>
      <c r="H702" s="7" t="s">
        <v>36</v>
      </c>
      <c r="I702" s="7" t="s">
        <v>14581</v>
      </c>
      <c r="J702" s="7" t="s">
        <v>5531</v>
      </c>
      <c r="K702" s="7" t="s">
        <v>14582</v>
      </c>
      <c r="L702" s="12">
        <v>1</v>
      </c>
      <c r="M702" s="7" t="s">
        <v>12497</v>
      </c>
    </row>
    <row r="703" spans="2:13" ht="37.5" customHeight="1" x14ac:dyDescent="0.35">
      <c r="B703" s="11">
        <v>43</v>
      </c>
      <c r="C703" s="5" t="s">
        <v>14574</v>
      </c>
      <c r="D703" s="11">
        <v>3</v>
      </c>
      <c r="E703" s="5" t="s">
        <v>14583</v>
      </c>
      <c r="F703" s="5" t="s">
        <v>14584</v>
      </c>
      <c r="G703" s="5" t="s">
        <v>566</v>
      </c>
      <c r="H703" s="5" t="s">
        <v>36</v>
      </c>
      <c r="I703" s="5" t="s">
        <v>12840</v>
      </c>
      <c r="J703" s="5" t="s">
        <v>5531</v>
      </c>
      <c r="K703" s="5" t="s">
        <v>13784</v>
      </c>
      <c r="L703" s="11">
        <v>1</v>
      </c>
      <c r="M703" s="5" t="s">
        <v>12497</v>
      </c>
    </row>
    <row r="704" spans="2:13" ht="37.5" customHeight="1" x14ac:dyDescent="0.35">
      <c r="B704" s="12">
        <v>43</v>
      </c>
      <c r="C704" s="7" t="s">
        <v>14574</v>
      </c>
      <c r="D704" s="12">
        <v>4</v>
      </c>
      <c r="E704" s="7" t="s">
        <v>14585</v>
      </c>
      <c r="F704" s="7" t="s">
        <v>14586</v>
      </c>
      <c r="G704" s="7" t="s">
        <v>185</v>
      </c>
      <c r="H704" s="7" t="s">
        <v>36</v>
      </c>
      <c r="I704" s="7" t="s">
        <v>12840</v>
      </c>
      <c r="J704" s="7" t="s">
        <v>5531</v>
      </c>
      <c r="K704" s="7" t="s">
        <v>13784</v>
      </c>
      <c r="L704" s="12">
        <v>1</v>
      </c>
      <c r="M704" s="7" t="s">
        <v>12497</v>
      </c>
    </row>
    <row r="705" spans="2:13" ht="37.5" customHeight="1" x14ac:dyDescent="0.35">
      <c r="B705" s="11">
        <v>43</v>
      </c>
      <c r="C705" s="5" t="s">
        <v>14574</v>
      </c>
      <c r="D705" s="11">
        <v>5</v>
      </c>
      <c r="E705" s="5" t="s">
        <v>14587</v>
      </c>
      <c r="F705" s="5" t="s">
        <v>14588</v>
      </c>
      <c r="G705" s="5" t="s">
        <v>805</v>
      </c>
      <c r="H705" s="5" t="s">
        <v>36</v>
      </c>
      <c r="I705" s="5" t="s">
        <v>12840</v>
      </c>
      <c r="J705" s="5" t="s">
        <v>5531</v>
      </c>
      <c r="K705" s="5" t="s">
        <v>13784</v>
      </c>
      <c r="L705" s="11">
        <v>1</v>
      </c>
      <c r="M705" s="5" t="s">
        <v>12497</v>
      </c>
    </row>
    <row r="706" spans="2:13" ht="21.75" customHeight="1" x14ac:dyDescent="0.35">
      <c r="B706" s="12">
        <v>43</v>
      </c>
      <c r="C706" s="7" t="s">
        <v>14574</v>
      </c>
      <c r="D706" s="12">
        <v>6</v>
      </c>
      <c r="E706" s="7" t="s">
        <v>14589</v>
      </c>
      <c r="F706" s="7" t="s">
        <v>14590</v>
      </c>
      <c r="G706" s="7" t="s">
        <v>1373</v>
      </c>
      <c r="H706" s="7" t="s">
        <v>36</v>
      </c>
      <c r="I706" s="7" t="s">
        <v>12840</v>
      </c>
      <c r="J706" s="7" t="s">
        <v>5531</v>
      </c>
      <c r="K706" s="7" t="s">
        <v>13784</v>
      </c>
      <c r="L706" s="12">
        <v>1</v>
      </c>
      <c r="M706" s="7" t="s">
        <v>12497</v>
      </c>
    </row>
    <row r="707" spans="2:13" ht="67.5" customHeight="1" x14ac:dyDescent="0.35">
      <c r="B707" s="11">
        <v>43</v>
      </c>
      <c r="C707" s="5" t="s">
        <v>14574</v>
      </c>
      <c r="D707" s="11">
        <v>7</v>
      </c>
      <c r="E707" s="5" t="s">
        <v>14591</v>
      </c>
      <c r="F707" s="5" t="s">
        <v>14592</v>
      </c>
      <c r="G707" s="5" t="s">
        <v>32</v>
      </c>
      <c r="H707" s="5" t="s">
        <v>36</v>
      </c>
      <c r="I707" s="5" t="s">
        <v>14593</v>
      </c>
      <c r="J707" s="5" t="s">
        <v>5531</v>
      </c>
      <c r="K707" s="5" t="s">
        <v>14594</v>
      </c>
      <c r="L707" s="11">
        <v>1</v>
      </c>
      <c r="M707" s="5" t="s">
        <v>12497</v>
      </c>
    </row>
    <row r="708" spans="2:13" ht="67.5" customHeight="1" x14ac:dyDescent="0.35">
      <c r="B708" s="12">
        <v>43</v>
      </c>
      <c r="C708" s="7" t="s">
        <v>14574</v>
      </c>
      <c r="D708" s="12">
        <v>8</v>
      </c>
      <c r="E708" s="7" t="s">
        <v>14595</v>
      </c>
      <c r="F708" s="7" t="s">
        <v>14596</v>
      </c>
      <c r="G708" s="7" t="s">
        <v>24</v>
      </c>
      <c r="H708" s="7" t="s">
        <v>36</v>
      </c>
      <c r="I708" s="7" t="s">
        <v>14593</v>
      </c>
      <c r="J708" s="7" t="s">
        <v>5531</v>
      </c>
      <c r="K708" s="7" t="s">
        <v>14594</v>
      </c>
      <c r="L708" s="12">
        <v>1</v>
      </c>
      <c r="M708" s="7" t="s">
        <v>12497</v>
      </c>
    </row>
    <row r="709" spans="2:13" ht="37.5" customHeight="1" x14ac:dyDescent="0.35">
      <c r="B709" s="11">
        <v>43</v>
      </c>
      <c r="C709" s="5" t="s">
        <v>14574</v>
      </c>
      <c r="D709" s="11">
        <v>9</v>
      </c>
      <c r="E709" s="5" t="s">
        <v>14597</v>
      </c>
      <c r="F709" s="5" t="s">
        <v>14598</v>
      </c>
      <c r="G709" s="5" t="s">
        <v>761</v>
      </c>
      <c r="H709" s="5" t="s">
        <v>36</v>
      </c>
      <c r="I709" s="5" t="s">
        <v>14599</v>
      </c>
      <c r="J709" s="5" t="s">
        <v>5531</v>
      </c>
      <c r="K709" s="5" t="s">
        <v>14600</v>
      </c>
      <c r="L709" s="11">
        <v>1</v>
      </c>
      <c r="M709" s="5" t="s">
        <v>12497</v>
      </c>
    </row>
    <row r="710" spans="2:13" ht="37.5" customHeight="1" x14ac:dyDescent="0.35">
      <c r="B710" s="12">
        <v>43</v>
      </c>
      <c r="C710" s="7" t="s">
        <v>14574</v>
      </c>
      <c r="D710" s="12">
        <v>10</v>
      </c>
      <c r="E710" s="7" t="s">
        <v>14601</v>
      </c>
      <c r="F710" s="7" t="s">
        <v>14602</v>
      </c>
      <c r="G710" s="7" t="s">
        <v>27</v>
      </c>
      <c r="H710" s="7" t="s">
        <v>36</v>
      </c>
      <c r="I710" s="7" t="s">
        <v>14599</v>
      </c>
      <c r="J710" s="7" t="s">
        <v>5531</v>
      </c>
      <c r="K710" s="7" t="s">
        <v>14600</v>
      </c>
      <c r="L710" s="12">
        <v>1</v>
      </c>
      <c r="M710" s="7" t="s">
        <v>12497</v>
      </c>
    </row>
    <row r="711" spans="2:13" ht="37.5" customHeight="1" x14ac:dyDescent="0.35">
      <c r="B711" s="11">
        <v>43</v>
      </c>
      <c r="C711" s="5" t="s">
        <v>14574</v>
      </c>
      <c r="D711" s="11">
        <v>11</v>
      </c>
      <c r="E711" s="5" t="s">
        <v>14603</v>
      </c>
      <c r="F711" s="5" t="s">
        <v>14604</v>
      </c>
      <c r="G711" s="5" t="s">
        <v>576</v>
      </c>
      <c r="H711" s="5" t="s">
        <v>36</v>
      </c>
      <c r="I711" s="5" t="s">
        <v>13067</v>
      </c>
      <c r="J711" s="5" t="s">
        <v>5531</v>
      </c>
      <c r="K711" s="5" t="s">
        <v>14605</v>
      </c>
      <c r="L711" s="11">
        <v>1</v>
      </c>
      <c r="M711" s="5" t="s">
        <v>12497</v>
      </c>
    </row>
    <row r="712" spans="2:13" ht="21.75" customHeight="1" x14ac:dyDescent="0.35">
      <c r="B712" s="12">
        <v>43</v>
      </c>
      <c r="C712" s="7" t="s">
        <v>14574</v>
      </c>
      <c r="D712" s="12">
        <v>12</v>
      </c>
      <c r="E712" s="7" t="s">
        <v>14606</v>
      </c>
      <c r="F712" s="7" t="s">
        <v>14607</v>
      </c>
      <c r="G712" s="7" t="s">
        <v>1164</v>
      </c>
      <c r="H712" s="7" t="s">
        <v>36</v>
      </c>
      <c r="I712" s="7" t="s">
        <v>14608</v>
      </c>
      <c r="J712" s="7" t="s">
        <v>5531</v>
      </c>
      <c r="K712" s="7" t="s">
        <v>14609</v>
      </c>
      <c r="L712" s="12">
        <v>1</v>
      </c>
      <c r="M712" s="7" t="s">
        <v>12497</v>
      </c>
    </row>
    <row r="713" spans="2:13" ht="52.5" customHeight="1" x14ac:dyDescent="0.35">
      <c r="B713" s="11">
        <v>43</v>
      </c>
      <c r="C713" s="5" t="s">
        <v>14574</v>
      </c>
      <c r="D713" s="11">
        <v>13</v>
      </c>
      <c r="E713" s="5" t="s">
        <v>14610</v>
      </c>
      <c r="F713" s="5" t="s">
        <v>14611</v>
      </c>
      <c r="G713" s="5" t="s">
        <v>531</v>
      </c>
      <c r="H713" s="5" t="s">
        <v>36</v>
      </c>
      <c r="I713" s="5" t="s">
        <v>14612</v>
      </c>
      <c r="J713" s="5" t="s">
        <v>5394</v>
      </c>
      <c r="K713" s="5" t="s">
        <v>14613</v>
      </c>
      <c r="L713" s="11">
        <v>1</v>
      </c>
      <c r="M713" s="5" t="s">
        <v>12497</v>
      </c>
    </row>
    <row r="714" spans="2:13" ht="52.5" customHeight="1" x14ac:dyDescent="0.35">
      <c r="B714" s="12">
        <v>43</v>
      </c>
      <c r="C714" s="7" t="s">
        <v>14574</v>
      </c>
      <c r="D714" s="12">
        <v>14</v>
      </c>
      <c r="E714" s="7" t="s">
        <v>14614</v>
      </c>
      <c r="F714" s="7" t="s">
        <v>14615</v>
      </c>
      <c r="G714" s="7" t="s">
        <v>625</v>
      </c>
      <c r="H714" s="7" t="s">
        <v>36</v>
      </c>
      <c r="I714" s="7" t="s">
        <v>14612</v>
      </c>
      <c r="J714" s="7" t="s">
        <v>5394</v>
      </c>
      <c r="K714" s="7" t="s">
        <v>14613</v>
      </c>
      <c r="L714" s="12">
        <v>1</v>
      </c>
      <c r="M714" s="7" t="s">
        <v>12497</v>
      </c>
    </row>
    <row r="715" spans="2:13" ht="52.5" customHeight="1" x14ac:dyDescent="0.35">
      <c r="B715" s="11">
        <v>43</v>
      </c>
      <c r="C715" s="5" t="s">
        <v>14574</v>
      </c>
      <c r="D715" s="11">
        <v>15</v>
      </c>
      <c r="E715" s="5" t="s">
        <v>14616</v>
      </c>
      <c r="F715" s="5" t="s">
        <v>14617</v>
      </c>
      <c r="G715" s="5" t="s">
        <v>653</v>
      </c>
      <c r="H715" s="5" t="s">
        <v>36</v>
      </c>
      <c r="I715" s="5" t="s">
        <v>14612</v>
      </c>
      <c r="J715" s="5" t="s">
        <v>5394</v>
      </c>
      <c r="K715" s="5" t="s">
        <v>14613</v>
      </c>
      <c r="L715" s="11">
        <v>1</v>
      </c>
      <c r="M715" s="5" t="s">
        <v>12497</v>
      </c>
    </row>
    <row r="716" spans="2:13" ht="37.5" customHeight="1" x14ac:dyDescent="0.35">
      <c r="B716" s="12">
        <v>43</v>
      </c>
      <c r="C716" s="7" t="s">
        <v>14574</v>
      </c>
      <c r="D716" s="12">
        <v>16</v>
      </c>
      <c r="E716" s="7" t="s">
        <v>14618</v>
      </c>
      <c r="F716" s="7" t="s">
        <v>14619</v>
      </c>
      <c r="G716" s="7" t="s">
        <v>25</v>
      </c>
      <c r="H716" s="7" t="s">
        <v>36</v>
      </c>
      <c r="I716" s="7" t="s">
        <v>14620</v>
      </c>
      <c r="J716" s="7" t="s">
        <v>5394</v>
      </c>
      <c r="K716" s="7" t="s">
        <v>14621</v>
      </c>
      <c r="L716" s="12">
        <v>1</v>
      </c>
      <c r="M716" s="7" t="s">
        <v>12497</v>
      </c>
    </row>
    <row r="717" spans="2:13" ht="52.5" customHeight="1" x14ac:dyDescent="0.35">
      <c r="B717" s="11">
        <v>43</v>
      </c>
      <c r="C717" s="5" t="s">
        <v>14574</v>
      </c>
      <c r="D717" s="11">
        <v>17</v>
      </c>
      <c r="E717" s="5" t="s">
        <v>14622</v>
      </c>
      <c r="F717" s="5" t="s">
        <v>14623</v>
      </c>
      <c r="G717" s="5" t="s">
        <v>457</v>
      </c>
      <c r="H717" s="5" t="s">
        <v>36</v>
      </c>
      <c r="I717" s="5" t="s">
        <v>14624</v>
      </c>
      <c r="J717" s="5" t="s">
        <v>5394</v>
      </c>
      <c r="K717" s="5" t="s">
        <v>14625</v>
      </c>
      <c r="L717" s="11">
        <v>1</v>
      </c>
      <c r="M717" s="5" t="s">
        <v>12497</v>
      </c>
    </row>
    <row r="718" spans="2:13" ht="52.5" customHeight="1" x14ac:dyDescent="0.35">
      <c r="B718" s="12">
        <v>43</v>
      </c>
      <c r="C718" s="7" t="s">
        <v>14574</v>
      </c>
      <c r="D718" s="12">
        <v>18</v>
      </c>
      <c r="E718" s="7" t="s">
        <v>14626</v>
      </c>
      <c r="F718" s="7" t="s">
        <v>14627</v>
      </c>
      <c r="G718" s="7" t="s">
        <v>442</v>
      </c>
      <c r="H718" s="7" t="s">
        <v>36</v>
      </c>
      <c r="I718" s="7" t="s">
        <v>14624</v>
      </c>
      <c r="J718" s="7" t="s">
        <v>5394</v>
      </c>
      <c r="K718" s="7" t="s">
        <v>14625</v>
      </c>
      <c r="L718" s="12">
        <v>1</v>
      </c>
      <c r="M718" s="7" t="s">
        <v>12497</v>
      </c>
    </row>
    <row r="719" spans="2:13" ht="52.5" customHeight="1" x14ac:dyDescent="0.35">
      <c r="B719" s="11">
        <v>43</v>
      </c>
      <c r="C719" s="5" t="s">
        <v>14574</v>
      </c>
      <c r="D719" s="11">
        <v>19</v>
      </c>
      <c r="E719" s="5" t="s">
        <v>14628</v>
      </c>
      <c r="F719" s="5" t="s">
        <v>14629</v>
      </c>
      <c r="G719" s="5" t="s">
        <v>421</v>
      </c>
      <c r="H719" s="5" t="s">
        <v>36</v>
      </c>
      <c r="I719" s="5" t="s">
        <v>14624</v>
      </c>
      <c r="J719" s="5" t="s">
        <v>5394</v>
      </c>
      <c r="K719" s="5" t="s">
        <v>14625</v>
      </c>
      <c r="L719" s="11">
        <v>1</v>
      </c>
      <c r="M719" s="5" t="s">
        <v>12497</v>
      </c>
    </row>
    <row r="720" spans="2:13" ht="52.5" customHeight="1" x14ac:dyDescent="0.35">
      <c r="B720" s="12">
        <v>43</v>
      </c>
      <c r="C720" s="7" t="s">
        <v>14574</v>
      </c>
      <c r="D720" s="12">
        <v>20</v>
      </c>
      <c r="E720" s="7" t="s">
        <v>14630</v>
      </c>
      <c r="F720" s="7" t="s">
        <v>14631</v>
      </c>
      <c r="G720" s="7" t="s">
        <v>279</v>
      </c>
      <c r="H720" s="7" t="s">
        <v>36</v>
      </c>
      <c r="I720" s="7" t="s">
        <v>14624</v>
      </c>
      <c r="J720" s="7" t="s">
        <v>5394</v>
      </c>
      <c r="K720" s="7" t="s">
        <v>14625</v>
      </c>
      <c r="L720" s="12">
        <v>1</v>
      </c>
      <c r="M720" s="7" t="s">
        <v>12497</v>
      </c>
    </row>
    <row r="721" spans="2:13" ht="52.5" customHeight="1" x14ac:dyDescent="0.35">
      <c r="B721" s="11">
        <v>43</v>
      </c>
      <c r="C721" s="5" t="s">
        <v>14574</v>
      </c>
      <c r="D721" s="11">
        <v>21</v>
      </c>
      <c r="E721" s="5" t="s">
        <v>14632</v>
      </c>
      <c r="F721" s="5" t="s">
        <v>14633</v>
      </c>
      <c r="G721" s="5" t="s">
        <v>206</v>
      </c>
      <c r="H721" s="5" t="s">
        <v>36</v>
      </c>
      <c r="I721" s="5" t="s">
        <v>14634</v>
      </c>
      <c r="J721" s="5" t="s">
        <v>5394</v>
      </c>
      <c r="K721" s="5" t="s">
        <v>14635</v>
      </c>
      <c r="L721" s="11">
        <v>1</v>
      </c>
      <c r="M721" s="5" t="s">
        <v>12497</v>
      </c>
    </row>
    <row r="722" spans="2:13" ht="52.5" customHeight="1" x14ac:dyDescent="0.35">
      <c r="B722" s="12">
        <v>43</v>
      </c>
      <c r="C722" s="7" t="s">
        <v>14574</v>
      </c>
      <c r="D722" s="12">
        <v>22</v>
      </c>
      <c r="E722" s="7" t="s">
        <v>14636</v>
      </c>
      <c r="F722" s="7" t="s">
        <v>14637</v>
      </c>
      <c r="G722" s="7" t="s">
        <v>810</v>
      </c>
      <c r="H722" s="7" t="s">
        <v>36</v>
      </c>
      <c r="I722" s="7" t="s">
        <v>14634</v>
      </c>
      <c r="J722" s="7" t="s">
        <v>5394</v>
      </c>
      <c r="K722" s="7" t="s">
        <v>14635</v>
      </c>
      <c r="L722" s="12">
        <v>1</v>
      </c>
      <c r="M722" s="7" t="s">
        <v>12497</v>
      </c>
    </row>
    <row r="723" spans="2:13" ht="52.5" customHeight="1" x14ac:dyDescent="0.35">
      <c r="B723" s="11">
        <v>43</v>
      </c>
      <c r="C723" s="5" t="s">
        <v>14574</v>
      </c>
      <c r="D723" s="11">
        <v>23</v>
      </c>
      <c r="E723" s="5" t="s">
        <v>14638</v>
      </c>
      <c r="F723" s="5" t="s">
        <v>14639</v>
      </c>
      <c r="G723" s="5" t="s">
        <v>678</v>
      </c>
      <c r="H723" s="5" t="s">
        <v>36</v>
      </c>
      <c r="I723" s="5" t="s">
        <v>14634</v>
      </c>
      <c r="J723" s="5" t="s">
        <v>5394</v>
      </c>
      <c r="K723" s="5" t="s">
        <v>14635</v>
      </c>
      <c r="L723" s="11">
        <v>1</v>
      </c>
      <c r="M723" s="5" t="s">
        <v>12497</v>
      </c>
    </row>
    <row r="724" spans="2:13" ht="52.5" customHeight="1" x14ac:dyDescent="0.35">
      <c r="B724" s="12">
        <v>43</v>
      </c>
      <c r="C724" s="7" t="s">
        <v>14574</v>
      </c>
      <c r="D724" s="12">
        <v>24</v>
      </c>
      <c r="E724" s="7" t="s">
        <v>14640</v>
      </c>
      <c r="F724" s="7" t="s">
        <v>14641</v>
      </c>
      <c r="G724" s="7" t="s">
        <v>656</v>
      </c>
      <c r="H724" s="7" t="s">
        <v>36</v>
      </c>
      <c r="I724" s="7" t="s">
        <v>14634</v>
      </c>
      <c r="J724" s="7" t="s">
        <v>5394</v>
      </c>
      <c r="K724" s="7" t="s">
        <v>14635</v>
      </c>
      <c r="L724" s="12">
        <v>1</v>
      </c>
      <c r="M724" s="7" t="s">
        <v>12497</v>
      </c>
    </row>
    <row r="725" spans="2:13" ht="52.5" customHeight="1" x14ac:dyDescent="0.35">
      <c r="B725" s="11">
        <v>43</v>
      </c>
      <c r="C725" s="5" t="s">
        <v>14574</v>
      </c>
      <c r="D725" s="11">
        <v>25</v>
      </c>
      <c r="E725" s="5" t="s">
        <v>14642</v>
      </c>
      <c r="F725" s="5" t="s">
        <v>14643</v>
      </c>
      <c r="G725" s="5" t="s">
        <v>28</v>
      </c>
      <c r="H725" s="5" t="s">
        <v>36</v>
      </c>
      <c r="I725" s="5" t="s">
        <v>14634</v>
      </c>
      <c r="J725" s="5" t="s">
        <v>5394</v>
      </c>
      <c r="K725" s="5" t="s">
        <v>14635</v>
      </c>
      <c r="L725" s="11">
        <v>1</v>
      </c>
      <c r="M725" s="5" t="s">
        <v>12497</v>
      </c>
    </row>
    <row r="726" spans="2:13" ht="52.5" customHeight="1" x14ac:dyDescent="0.35">
      <c r="B726" s="12">
        <v>43</v>
      </c>
      <c r="C726" s="7" t="s">
        <v>14574</v>
      </c>
      <c r="D726" s="12">
        <v>26</v>
      </c>
      <c r="E726" s="7" t="s">
        <v>14644</v>
      </c>
      <c r="F726" s="7" t="s">
        <v>14645</v>
      </c>
      <c r="G726" s="7" t="s">
        <v>880</v>
      </c>
      <c r="H726" s="7" t="s">
        <v>36</v>
      </c>
      <c r="I726" s="7" t="s">
        <v>14634</v>
      </c>
      <c r="J726" s="7" t="s">
        <v>5394</v>
      </c>
      <c r="K726" s="7" t="s">
        <v>14635</v>
      </c>
      <c r="L726" s="12">
        <v>1</v>
      </c>
      <c r="M726" s="7" t="s">
        <v>12497</v>
      </c>
    </row>
    <row r="727" spans="2:13" ht="37.5" customHeight="1" x14ac:dyDescent="0.35">
      <c r="B727" s="11">
        <v>43</v>
      </c>
      <c r="C727" s="5" t="s">
        <v>14574</v>
      </c>
      <c r="D727" s="11">
        <v>27</v>
      </c>
      <c r="E727" s="5" t="s">
        <v>14646</v>
      </c>
      <c r="F727" s="5" t="s">
        <v>14647</v>
      </c>
      <c r="G727" s="5" t="s">
        <v>3946</v>
      </c>
      <c r="H727" s="5" t="s">
        <v>36</v>
      </c>
      <c r="I727" s="5" t="s">
        <v>14648</v>
      </c>
      <c r="J727" s="5" t="s">
        <v>5394</v>
      </c>
      <c r="K727" s="5" t="s">
        <v>14649</v>
      </c>
      <c r="L727" s="11">
        <v>1</v>
      </c>
      <c r="M727" s="5" t="s">
        <v>12497</v>
      </c>
    </row>
    <row r="728" spans="2:13" ht="37.5" customHeight="1" x14ac:dyDescent="0.35">
      <c r="B728" s="12">
        <v>43</v>
      </c>
      <c r="C728" s="7" t="s">
        <v>14574</v>
      </c>
      <c r="D728" s="12">
        <v>28</v>
      </c>
      <c r="E728" s="7" t="s">
        <v>14650</v>
      </c>
      <c r="F728" s="7" t="s">
        <v>14651</v>
      </c>
      <c r="G728" s="7" t="s">
        <v>428</v>
      </c>
      <c r="H728" s="7" t="s">
        <v>36</v>
      </c>
      <c r="I728" s="7" t="s">
        <v>14648</v>
      </c>
      <c r="J728" s="7" t="s">
        <v>5394</v>
      </c>
      <c r="K728" s="7" t="s">
        <v>14649</v>
      </c>
      <c r="L728" s="12">
        <v>1</v>
      </c>
      <c r="M728" s="7" t="s">
        <v>12497</v>
      </c>
    </row>
    <row r="729" spans="2:13" ht="37.5" customHeight="1" x14ac:dyDescent="0.35">
      <c r="B729" s="11">
        <v>43</v>
      </c>
      <c r="C729" s="5" t="s">
        <v>14574</v>
      </c>
      <c r="D729" s="11">
        <v>29</v>
      </c>
      <c r="E729" s="5" t="s">
        <v>14652</v>
      </c>
      <c r="F729" s="5" t="s">
        <v>14653</v>
      </c>
      <c r="G729" s="5" t="s">
        <v>3135</v>
      </c>
      <c r="H729" s="5" t="s">
        <v>36</v>
      </c>
      <c r="I729" s="5" t="s">
        <v>14654</v>
      </c>
      <c r="J729" s="5" t="s">
        <v>5394</v>
      </c>
      <c r="K729" s="5" t="s">
        <v>14655</v>
      </c>
      <c r="L729" s="11">
        <v>1</v>
      </c>
      <c r="M729" s="5" t="s">
        <v>12497</v>
      </c>
    </row>
    <row r="730" spans="2:13" ht="67.5" customHeight="1" x14ac:dyDescent="0.35">
      <c r="B730" s="12">
        <v>43</v>
      </c>
      <c r="C730" s="7" t="s">
        <v>14574</v>
      </c>
      <c r="D730" s="12">
        <v>30</v>
      </c>
      <c r="E730" s="7" t="s">
        <v>14656</v>
      </c>
      <c r="F730" s="7" t="s">
        <v>14657</v>
      </c>
      <c r="G730" s="7" t="s">
        <v>1145</v>
      </c>
      <c r="H730" s="7" t="s">
        <v>36</v>
      </c>
      <c r="I730" s="7" t="s">
        <v>14658</v>
      </c>
      <c r="J730" s="7" t="s">
        <v>5394</v>
      </c>
      <c r="K730" s="7" t="s">
        <v>14659</v>
      </c>
      <c r="L730" s="12">
        <v>1</v>
      </c>
      <c r="M730" s="7" t="s">
        <v>12497</v>
      </c>
    </row>
    <row r="731" spans="2:13" ht="37.5" customHeight="1" x14ac:dyDescent="0.35">
      <c r="B731" s="11">
        <v>43</v>
      </c>
      <c r="C731" s="5" t="s">
        <v>14574</v>
      </c>
      <c r="D731" s="11">
        <v>31</v>
      </c>
      <c r="E731" s="5" t="s">
        <v>14660</v>
      </c>
      <c r="F731" s="5" t="s">
        <v>14661</v>
      </c>
      <c r="G731" s="5" t="s">
        <v>402</v>
      </c>
      <c r="H731" s="5" t="s">
        <v>36</v>
      </c>
      <c r="I731" s="5" t="s">
        <v>14662</v>
      </c>
      <c r="J731" s="5" t="s">
        <v>5394</v>
      </c>
      <c r="K731" s="5" t="s">
        <v>14663</v>
      </c>
      <c r="L731" s="11">
        <v>1</v>
      </c>
      <c r="M731" s="5" t="s">
        <v>12497</v>
      </c>
    </row>
    <row r="732" spans="2:13" ht="52.5" customHeight="1" x14ac:dyDescent="0.35">
      <c r="B732" s="12">
        <v>43</v>
      </c>
      <c r="C732" s="7" t="s">
        <v>14574</v>
      </c>
      <c r="D732" s="12">
        <v>32</v>
      </c>
      <c r="E732" s="7" t="s">
        <v>14664</v>
      </c>
      <c r="F732" s="7" t="s">
        <v>14665</v>
      </c>
      <c r="G732" s="7" t="s">
        <v>395</v>
      </c>
      <c r="H732" s="7" t="s">
        <v>36</v>
      </c>
      <c r="I732" s="7" t="s">
        <v>14666</v>
      </c>
      <c r="J732" s="7" t="s">
        <v>5394</v>
      </c>
      <c r="K732" s="7" t="s">
        <v>14667</v>
      </c>
      <c r="L732" s="12">
        <v>1</v>
      </c>
      <c r="M732" s="7" t="s">
        <v>12497</v>
      </c>
    </row>
    <row r="733" spans="2:13" ht="37.5" customHeight="1" x14ac:dyDescent="0.35">
      <c r="B733" s="11">
        <v>43</v>
      </c>
      <c r="C733" s="5" t="s">
        <v>14574</v>
      </c>
      <c r="D733" s="11">
        <v>33</v>
      </c>
      <c r="E733" s="5" t="s">
        <v>14668</v>
      </c>
      <c r="F733" s="5" t="s">
        <v>14669</v>
      </c>
      <c r="G733" s="5" t="s">
        <v>33</v>
      </c>
      <c r="H733" s="5" t="s">
        <v>36</v>
      </c>
      <c r="I733" s="5" t="s">
        <v>14670</v>
      </c>
      <c r="J733" s="5" t="s">
        <v>5394</v>
      </c>
      <c r="K733" s="5" t="s">
        <v>14671</v>
      </c>
      <c r="L733" s="11">
        <v>1</v>
      </c>
      <c r="M733" s="5" t="s">
        <v>12497</v>
      </c>
    </row>
    <row r="734" spans="2:13" ht="37.5" customHeight="1" x14ac:dyDescent="0.35">
      <c r="B734" s="12">
        <v>43</v>
      </c>
      <c r="C734" s="7" t="s">
        <v>14574</v>
      </c>
      <c r="D734" s="12">
        <v>34</v>
      </c>
      <c r="E734" s="7" t="s">
        <v>14672</v>
      </c>
      <c r="F734" s="7" t="s">
        <v>14673</v>
      </c>
      <c r="G734" s="7" t="s">
        <v>536</v>
      </c>
      <c r="H734" s="7" t="s">
        <v>36</v>
      </c>
      <c r="I734" s="7" t="s">
        <v>14670</v>
      </c>
      <c r="J734" s="7" t="s">
        <v>5394</v>
      </c>
      <c r="K734" s="7" t="s">
        <v>14671</v>
      </c>
      <c r="L734" s="12">
        <v>1</v>
      </c>
      <c r="M734" s="7" t="s">
        <v>12497</v>
      </c>
    </row>
    <row r="735" spans="2:13" ht="52.5" customHeight="1" x14ac:dyDescent="0.35">
      <c r="B735" s="11">
        <v>43</v>
      </c>
      <c r="C735" s="5" t="s">
        <v>14574</v>
      </c>
      <c r="D735" s="11">
        <v>35</v>
      </c>
      <c r="E735" s="5" t="s">
        <v>14674</v>
      </c>
      <c r="F735" s="5" t="s">
        <v>14675</v>
      </c>
      <c r="G735" s="5" t="s">
        <v>1680</v>
      </c>
      <c r="H735" s="5" t="s">
        <v>36</v>
      </c>
      <c r="I735" s="5" t="s">
        <v>14676</v>
      </c>
      <c r="J735" s="5" t="s">
        <v>5394</v>
      </c>
      <c r="K735" s="5" t="s">
        <v>14677</v>
      </c>
      <c r="L735" s="11">
        <v>1</v>
      </c>
      <c r="M735" s="5" t="s">
        <v>12497</v>
      </c>
    </row>
    <row r="736" spans="2:13" ht="37.5" customHeight="1" x14ac:dyDescent="0.35">
      <c r="B736" s="12">
        <v>43</v>
      </c>
      <c r="C736" s="7" t="s">
        <v>14574</v>
      </c>
      <c r="D736" s="12">
        <v>36</v>
      </c>
      <c r="E736" s="7" t="s">
        <v>14678</v>
      </c>
      <c r="F736" s="7" t="s">
        <v>14679</v>
      </c>
      <c r="G736" s="7" t="s">
        <v>590</v>
      </c>
      <c r="H736" s="7" t="s">
        <v>36</v>
      </c>
      <c r="I736" s="7" t="s">
        <v>14680</v>
      </c>
      <c r="J736" s="7" t="s">
        <v>5394</v>
      </c>
      <c r="K736" s="7" t="s">
        <v>14681</v>
      </c>
      <c r="L736" s="12">
        <v>1</v>
      </c>
      <c r="M736" s="7" t="s">
        <v>12497</v>
      </c>
    </row>
    <row r="737" spans="2:13" ht="37.5" customHeight="1" x14ac:dyDescent="0.35">
      <c r="B737" s="11">
        <v>43</v>
      </c>
      <c r="C737" s="5" t="s">
        <v>14574</v>
      </c>
      <c r="D737" s="11">
        <v>37</v>
      </c>
      <c r="E737" s="5" t="s">
        <v>14682</v>
      </c>
      <c r="F737" s="5" t="s">
        <v>14683</v>
      </c>
      <c r="G737" s="5" t="s">
        <v>26</v>
      </c>
      <c r="H737" s="5" t="s">
        <v>36</v>
      </c>
      <c r="I737" s="5" t="s">
        <v>14680</v>
      </c>
      <c r="J737" s="5" t="s">
        <v>5394</v>
      </c>
      <c r="K737" s="5" t="s">
        <v>14681</v>
      </c>
      <c r="L737" s="11">
        <v>1</v>
      </c>
      <c r="M737" s="5" t="s">
        <v>12497</v>
      </c>
    </row>
    <row r="738" spans="2:13" ht="37.5" customHeight="1" x14ac:dyDescent="0.35">
      <c r="B738" s="12">
        <v>43</v>
      </c>
      <c r="C738" s="7" t="s">
        <v>14574</v>
      </c>
      <c r="D738" s="12">
        <v>38</v>
      </c>
      <c r="E738" s="7" t="s">
        <v>14684</v>
      </c>
      <c r="F738" s="7" t="s">
        <v>14685</v>
      </c>
      <c r="G738" s="7" t="s">
        <v>752</v>
      </c>
      <c r="H738" s="7" t="s">
        <v>36</v>
      </c>
      <c r="I738" s="7" t="s">
        <v>14686</v>
      </c>
      <c r="J738" s="7" t="s">
        <v>5394</v>
      </c>
      <c r="K738" s="7" t="s">
        <v>14687</v>
      </c>
      <c r="L738" s="12">
        <v>1</v>
      </c>
      <c r="M738" s="7" t="s">
        <v>12497</v>
      </c>
    </row>
    <row r="739" spans="2:13" ht="52.5" customHeight="1" x14ac:dyDescent="0.35">
      <c r="B739" s="11">
        <v>43</v>
      </c>
      <c r="C739" s="5" t="s">
        <v>14574</v>
      </c>
      <c r="D739" s="11">
        <v>39</v>
      </c>
      <c r="E739" s="5" t="s">
        <v>14688</v>
      </c>
      <c r="F739" s="5" t="s">
        <v>14689</v>
      </c>
      <c r="G739" s="5" t="s">
        <v>698</v>
      </c>
      <c r="H739" s="5" t="s">
        <v>36</v>
      </c>
      <c r="I739" s="5" t="s">
        <v>14690</v>
      </c>
      <c r="J739" s="5" t="s">
        <v>5394</v>
      </c>
      <c r="K739" s="5" t="s">
        <v>14691</v>
      </c>
      <c r="L739" s="11">
        <v>1</v>
      </c>
      <c r="M739" s="5" t="s">
        <v>12497</v>
      </c>
    </row>
    <row r="740" spans="2:13" ht="52.5" customHeight="1" x14ac:dyDescent="0.35">
      <c r="B740" s="12">
        <v>43</v>
      </c>
      <c r="C740" s="7" t="s">
        <v>14574</v>
      </c>
      <c r="D740" s="12">
        <v>40</v>
      </c>
      <c r="E740" s="7" t="s">
        <v>14692</v>
      </c>
      <c r="F740" s="7" t="s">
        <v>14693</v>
      </c>
      <c r="G740" s="7" t="s">
        <v>686</v>
      </c>
      <c r="H740" s="7" t="s">
        <v>36</v>
      </c>
      <c r="I740" s="7" t="s">
        <v>14694</v>
      </c>
      <c r="J740" s="7" t="s">
        <v>5394</v>
      </c>
      <c r="K740" s="7" t="s">
        <v>14695</v>
      </c>
      <c r="L740" s="12">
        <v>1</v>
      </c>
      <c r="M740" s="7" t="s">
        <v>12497</v>
      </c>
    </row>
    <row r="741" spans="2:13" ht="37.5" customHeight="1" x14ac:dyDescent="0.35">
      <c r="B741" s="11">
        <v>43</v>
      </c>
      <c r="C741" s="5" t="s">
        <v>14574</v>
      </c>
      <c r="D741" s="11">
        <v>41</v>
      </c>
      <c r="E741" s="5" t="s">
        <v>14696</v>
      </c>
      <c r="F741" s="5" t="s">
        <v>14697</v>
      </c>
      <c r="G741" s="5" t="s">
        <v>1647</v>
      </c>
      <c r="H741" s="5" t="s">
        <v>36</v>
      </c>
      <c r="I741" s="5" t="s">
        <v>14698</v>
      </c>
      <c r="J741" s="5" t="s">
        <v>5394</v>
      </c>
      <c r="K741" s="5" t="s">
        <v>14699</v>
      </c>
      <c r="L741" s="11">
        <v>1</v>
      </c>
      <c r="M741" s="5" t="s">
        <v>12497</v>
      </c>
    </row>
    <row r="742" spans="2:13" ht="37.5" customHeight="1" x14ac:dyDescent="0.35">
      <c r="B742" s="12">
        <v>43</v>
      </c>
      <c r="C742" s="7" t="s">
        <v>14574</v>
      </c>
      <c r="D742" s="12">
        <v>42</v>
      </c>
      <c r="E742" s="7" t="s">
        <v>14700</v>
      </c>
      <c r="F742" s="7" t="s">
        <v>14701</v>
      </c>
      <c r="G742" s="7" t="s">
        <v>825</v>
      </c>
      <c r="H742" s="7" t="s">
        <v>36</v>
      </c>
      <c r="I742" s="7" t="s">
        <v>14702</v>
      </c>
      <c r="J742" s="7" t="s">
        <v>5394</v>
      </c>
      <c r="K742" s="7" t="s">
        <v>14703</v>
      </c>
      <c r="L742" s="12">
        <v>1</v>
      </c>
      <c r="M742" s="7" t="s">
        <v>12497</v>
      </c>
    </row>
    <row r="743" spans="2:13" ht="37.5" customHeight="1" x14ac:dyDescent="0.35">
      <c r="B743" s="11">
        <v>43</v>
      </c>
      <c r="C743" s="5" t="s">
        <v>14574</v>
      </c>
      <c r="D743" s="11">
        <v>43</v>
      </c>
      <c r="E743" s="5" t="s">
        <v>14704</v>
      </c>
      <c r="F743" s="5" t="s">
        <v>14705</v>
      </c>
      <c r="G743" s="5" t="s">
        <v>212</v>
      </c>
      <c r="H743" s="5" t="s">
        <v>36</v>
      </c>
      <c r="I743" s="5" t="s">
        <v>14706</v>
      </c>
      <c r="J743" s="5" t="s">
        <v>5394</v>
      </c>
      <c r="K743" s="5" t="s">
        <v>14707</v>
      </c>
      <c r="L743" s="11">
        <v>1</v>
      </c>
      <c r="M743" s="5" t="s">
        <v>12497</v>
      </c>
    </row>
    <row r="744" spans="2:13" ht="37.5" customHeight="1" x14ac:dyDescent="0.35">
      <c r="B744" s="12">
        <v>43</v>
      </c>
      <c r="C744" s="7" t="s">
        <v>14574</v>
      </c>
      <c r="D744" s="12">
        <v>44</v>
      </c>
      <c r="E744" s="7" t="s">
        <v>14708</v>
      </c>
      <c r="F744" s="7" t="s">
        <v>14709</v>
      </c>
      <c r="G744" s="7" t="s">
        <v>445</v>
      </c>
      <c r="H744" s="7" t="s">
        <v>36</v>
      </c>
      <c r="I744" s="7" t="s">
        <v>14710</v>
      </c>
      <c r="J744" s="7" t="s">
        <v>5394</v>
      </c>
      <c r="K744" s="7" t="s">
        <v>14711</v>
      </c>
      <c r="L744" s="12">
        <v>1</v>
      </c>
      <c r="M744" s="7" t="s">
        <v>12497</v>
      </c>
    </row>
    <row r="745" spans="2:13" ht="37.5" customHeight="1" x14ac:dyDescent="0.35">
      <c r="B745" s="11">
        <v>43</v>
      </c>
      <c r="C745" s="5" t="s">
        <v>14574</v>
      </c>
      <c r="D745" s="11">
        <v>45</v>
      </c>
      <c r="E745" s="5" t="s">
        <v>14712</v>
      </c>
      <c r="F745" s="5" t="s">
        <v>14713</v>
      </c>
      <c r="G745" s="5" t="s">
        <v>202</v>
      </c>
      <c r="H745" s="5" t="s">
        <v>36</v>
      </c>
      <c r="I745" s="5" t="s">
        <v>14714</v>
      </c>
      <c r="J745" s="5" t="s">
        <v>5394</v>
      </c>
      <c r="K745" s="5" t="s">
        <v>14715</v>
      </c>
      <c r="L745" s="11">
        <v>1</v>
      </c>
      <c r="M745" s="5" t="s">
        <v>12497</v>
      </c>
    </row>
    <row r="746" spans="2:13" ht="52.5" customHeight="1" x14ac:dyDescent="0.35">
      <c r="B746" s="12">
        <v>43</v>
      </c>
      <c r="C746" s="7" t="s">
        <v>14574</v>
      </c>
      <c r="D746" s="12">
        <v>46</v>
      </c>
      <c r="E746" s="7" t="s">
        <v>14716</v>
      </c>
      <c r="F746" s="7" t="s">
        <v>14717</v>
      </c>
      <c r="G746" s="7" t="s">
        <v>11119</v>
      </c>
      <c r="H746" s="7" t="s">
        <v>36</v>
      </c>
      <c r="I746" s="7" t="s">
        <v>14718</v>
      </c>
      <c r="J746" s="7" t="s">
        <v>5394</v>
      </c>
      <c r="K746" s="7" t="s">
        <v>14719</v>
      </c>
      <c r="L746" s="12">
        <v>1</v>
      </c>
      <c r="M746" s="7" t="s">
        <v>12497</v>
      </c>
    </row>
    <row r="747" spans="2:13" ht="37.5" customHeight="1" x14ac:dyDescent="0.35">
      <c r="B747" s="11">
        <v>43</v>
      </c>
      <c r="C747" s="5" t="s">
        <v>14574</v>
      </c>
      <c r="D747" s="11">
        <v>47</v>
      </c>
      <c r="E747" s="5" t="s">
        <v>14720</v>
      </c>
      <c r="F747" s="5" t="s">
        <v>14721</v>
      </c>
      <c r="G747" s="5" t="s">
        <v>749</v>
      </c>
      <c r="H747" s="5" t="s">
        <v>36</v>
      </c>
      <c r="I747" s="5" t="s">
        <v>14722</v>
      </c>
      <c r="J747" s="5" t="s">
        <v>5394</v>
      </c>
      <c r="K747" s="5" t="s">
        <v>14723</v>
      </c>
      <c r="L747" s="11">
        <v>1</v>
      </c>
      <c r="M747" s="5" t="s">
        <v>12497</v>
      </c>
    </row>
    <row r="748" spans="2:13" ht="37.5" customHeight="1" x14ac:dyDescent="0.35">
      <c r="B748" s="12">
        <v>43</v>
      </c>
      <c r="C748" s="7" t="s">
        <v>14574</v>
      </c>
      <c r="D748" s="12">
        <v>48</v>
      </c>
      <c r="E748" s="7" t="s">
        <v>14724</v>
      </c>
      <c r="F748" s="7" t="s">
        <v>14725</v>
      </c>
      <c r="G748" s="7" t="s">
        <v>733</v>
      </c>
      <c r="H748" s="7" t="s">
        <v>36</v>
      </c>
      <c r="I748" s="7" t="s">
        <v>14726</v>
      </c>
      <c r="J748" s="7" t="s">
        <v>5394</v>
      </c>
      <c r="K748" s="7" t="s">
        <v>14727</v>
      </c>
      <c r="L748" s="12">
        <v>1</v>
      </c>
      <c r="M748" s="7" t="s">
        <v>12497</v>
      </c>
    </row>
    <row r="749" spans="2:13" ht="37.5" customHeight="1" x14ac:dyDescent="0.35">
      <c r="B749" s="11">
        <v>43</v>
      </c>
      <c r="C749" s="5" t="s">
        <v>14574</v>
      </c>
      <c r="D749" s="11">
        <v>49</v>
      </c>
      <c r="E749" s="5" t="s">
        <v>14728</v>
      </c>
      <c r="F749" s="5" t="s">
        <v>14729</v>
      </c>
      <c r="G749" s="5" t="s">
        <v>742</v>
      </c>
      <c r="H749" s="5" t="s">
        <v>36</v>
      </c>
      <c r="I749" s="5" t="s">
        <v>12509</v>
      </c>
      <c r="J749" s="5" t="s">
        <v>5394</v>
      </c>
      <c r="K749" s="5" t="s">
        <v>14730</v>
      </c>
      <c r="L749" s="11">
        <v>1</v>
      </c>
      <c r="M749" s="5" t="s">
        <v>12497</v>
      </c>
    </row>
    <row r="750" spans="2:13" ht="37.5" customHeight="1" x14ac:dyDescent="0.35">
      <c r="B750" s="12">
        <v>43</v>
      </c>
      <c r="C750" s="7" t="s">
        <v>14574</v>
      </c>
      <c r="D750" s="12">
        <v>50</v>
      </c>
      <c r="E750" s="7" t="s">
        <v>14731</v>
      </c>
      <c r="F750" s="7" t="s">
        <v>14732</v>
      </c>
      <c r="G750" s="7" t="s">
        <v>6266</v>
      </c>
      <c r="H750" s="7" t="s">
        <v>36</v>
      </c>
      <c r="I750" s="7" t="s">
        <v>14733</v>
      </c>
      <c r="J750" s="7" t="s">
        <v>14734</v>
      </c>
      <c r="K750" s="7" t="s">
        <v>14735</v>
      </c>
      <c r="L750" s="12">
        <v>1</v>
      </c>
      <c r="M750" s="7" t="s">
        <v>12497</v>
      </c>
    </row>
    <row r="751" spans="2:13" ht="37.5" customHeight="1" x14ac:dyDescent="0.35">
      <c r="B751" s="11">
        <v>43</v>
      </c>
      <c r="C751" s="5" t="s">
        <v>14574</v>
      </c>
      <c r="D751" s="11">
        <v>51</v>
      </c>
      <c r="E751" s="5" t="s">
        <v>14736</v>
      </c>
      <c r="F751" s="5" t="s">
        <v>14737</v>
      </c>
      <c r="G751" s="5" t="s">
        <v>244</v>
      </c>
      <c r="H751" s="5" t="s">
        <v>36</v>
      </c>
      <c r="I751" s="5" t="s">
        <v>14733</v>
      </c>
      <c r="J751" s="5" t="s">
        <v>5394</v>
      </c>
      <c r="K751" s="5" t="s">
        <v>14738</v>
      </c>
      <c r="L751" s="11">
        <v>1</v>
      </c>
      <c r="M751" s="5" t="s">
        <v>12497</v>
      </c>
    </row>
    <row r="752" spans="2:13" ht="37.5" customHeight="1" x14ac:dyDescent="0.35">
      <c r="B752" s="12">
        <v>43</v>
      </c>
      <c r="C752" s="7" t="s">
        <v>14574</v>
      </c>
      <c r="D752" s="12">
        <v>52</v>
      </c>
      <c r="E752" s="7" t="s">
        <v>14739</v>
      </c>
      <c r="F752" s="7" t="s">
        <v>14740</v>
      </c>
      <c r="G752" s="7" t="s">
        <v>778</v>
      </c>
      <c r="H752" s="7" t="s">
        <v>36</v>
      </c>
      <c r="I752" s="7" t="s">
        <v>14733</v>
      </c>
      <c r="J752" s="7" t="s">
        <v>5394</v>
      </c>
      <c r="K752" s="7" t="s">
        <v>14738</v>
      </c>
      <c r="L752" s="12">
        <v>1</v>
      </c>
      <c r="M752" s="7" t="s">
        <v>12497</v>
      </c>
    </row>
    <row r="753" spans="2:13" ht="37.5" customHeight="1" x14ac:dyDescent="0.35">
      <c r="B753" s="11">
        <v>43</v>
      </c>
      <c r="C753" s="5" t="s">
        <v>14574</v>
      </c>
      <c r="D753" s="11">
        <v>53</v>
      </c>
      <c r="E753" s="5" t="s">
        <v>14741</v>
      </c>
      <c r="F753" s="5" t="s">
        <v>14742</v>
      </c>
      <c r="G753" s="5" t="s">
        <v>701</v>
      </c>
      <c r="H753" s="5" t="s">
        <v>36</v>
      </c>
      <c r="I753" s="5" t="s">
        <v>14733</v>
      </c>
      <c r="J753" s="5" t="s">
        <v>5394</v>
      </c>
      <c r="K753" s="5" t="s">
        <v>14738</v>
      </c>
      <c r="L753" s="11">
        <v>1</v>
      </c>
      <c r="M753" s="5" t="s">
        <v>12497</v>
      </c>
    </row>
    <row r="754" spans="2:13" ht="52.5" customHeight="1" x14ac:dyDescent="0.35">
      <c r="B754" s="12">
        <v>43</v>
      </c>
      <c r="C754" s="7" t="s">
        <v>14574</v>
      </c>
      <c r="D754" s="12">
        <v>54</v>
      </c>
      <c r="E754" s="7" t="s">
        <v>14743</v>
      </c>
      <c r="F754" s="7" t="s">
        <v>14744</v>
      </c>
      <c r="G754" s="7" t="s">
        <v>300</v>
      </c>
      <c r="H754" s="7" t="s">
        <v>36</v>
      </c>
      <c r="I754" s="7" t="s">
        <v>14745</v>
      </c>
      <c r="J754" s="7" t="s">
        <v>5394</v>
      </c>
      <c r="K754" s="7" t="s">
        <v>14746</v>
      </c>
      <c r="L754" s="12">
        <v>1</v>
      </c>
      <c r="M754" s="7" t="s">
        <v>12497</v>
      </c>
    </row>
    <row r="755" spans="2:13" ht="52.5" customHeight="1" x14ac:dyDescent="0.35">
      <c r="B755" s="11">
        <v>43</v>
      </c>
      <c r="C755" s="5" t="s">
        <v>14574</v>
      </c>
      <c r="D755" s="11">
        <v>55</v>
      </c>
      <c r="E755" s="5" t="s">
        <v>14747</v>
      </c>
      <c r="F755" s="5" t="s">
        <v>14748</v>
      </c>
      <c r="G755" s="5" t="s">
        <v>877</v>
      </c>
      <c r="H755" s="5" t="s">
        <v>36</v>
      </c>
      <c r="I755" s="5" t="s">
        <v>14749</v>
      </c>
      <c r="J755" s="5" t="s">
        <v>5394</v>
      </c>
      <c r="K755" s="5" t="s">
        <v>14750</v>
      </c>
      <c r="L755" s="11">
        <v>1</v>
      </c>
      <c r="M755" s="5" t="s">
        <v>12497</v>
      </c>
    </row>
    <row r="756" spans="2:13" ht="52.5" customHeight="1" x14ac:dyDescent="0.35">
      <c r="B756" s="12">
        <v>43</v>
      </c>
      <c r="C756" s="7" t="s">
        <v>14574</v>
      </c>
      <c r="D756" s="12">
        <v>56</v>
      </c>
      <c r="E756" s="7" t="s">
        <v>14751</v>
      </c>
      <c r="F756" s="7" t="s">
        <v>14752</v>
      </c>
      <c r="G756" s="7" t="s">
        <v>891</v>
      </c>
      <c r="H756" s="7" t="s">
        <v>36</v>
      </c>
      <c r="I756" s="7" t="s">
        <v>14753</v>
      </c>
      <c r="J756" s="7" t="s">
        <v>5394</v>
      </c>
      <c r="K756" s="7" t="s">
        <v>14754</v>
      </c>
      <c r="L756" s="12">
        <v>1</v>
      </c>
      <c r="M756" s="7" t="s">
        <v>12497</v>
      </c>
    </row>
    <row r="757" spans="2:13" ht="37.5" customHeight="1" x14ac:dyDescent="0.35">
      <c r="B757" s="11">
        <v>43</v>
      </c>
      <c r="C757" s="5" t="s">
        <v>14574</v>
      </c>
      <c r="D757" s="11">
        <v>57</v>
      </c>
      <c r="E757" s="5" t="s">
        <v>14755</v>
      </c>
      <c r="F757" s="5" t="s">
        <v>14756</v>
      </c>
      <c r="G757" s="5" t="s">
        <v>953</v>
      </c>
      <c r="H757" s="5" t="s">
        <v>36</v>
      </c>
      <c r="I757" s="5" t="s">
        <v>12605</v>
      </c>
      <c r="J757" s="5" t="s">
        <v>5394</v>
      </c>
      <c r="K757" s="5" t="s">
        <v>14757</v>
      </c>
      <c r="L757" s="11">
        <v>1</v>
      </c>
      <c r="M757" s="5" t="s">
        <v>12497</v>
      </c>
    </row>
    <row r="758" spans="2:13" ht="67.5" customHeight="1" x14ac:dyDescent="0.35">
      <c r="B758" s="12">
        <v>43</v>
      </c>
      <c r="C758" s="7" t="s">
        <v>14574</v>
      </c>
      <c r="D758" s="12">
        <v>58</v>
      </c>
      <c r="E758" s="7" t="s">
        <v>14758</v>
      </c>
      <c r="F758" s="7" t="s">
        <v>14759</v>
      </c>
      <c r="G758" s="7" t="s">
        <v>856</v>
      </c>
      <c r="H758" s="7" t="s">
        <v>36</v>
      </c>
      <c r="I758" s="7" t="s">
        <v>14760</v>
      </c>
      <c r="J758" s="7" t="s">
        <v>5394</v>
      </c>
      <c r="K758" s="7" t="s">
        <v>14761</v>
      </c>
      <c r="L758" s="12">
        <v>1</v>
      </c>
      <c r="M758" s="7" t="s">
        <v>12497</v>
      </c>
    </row>
    <row r="759" spans="2:13" ht="67.5" customHeight="1" x14ac:dyDescent="0.35">
      <c r="B759" s="11">
        <v>43</v>
      </c>
      <c r="C759" s="5" t="s">
        <v>14574</v>
      </c>
      <c r="D759" s="11">
        <v>59</v>
      </c>
      <c r="E759" s="5" t="s">
        <v>14762</v>
      </c>
      <c r="F759" s="5" t="s">
        <v>14763</v>
      </c>
      <c r="G759" s="5" t="s">
        <v>871</v>
      </c>
      <c r="H759" s="5" t="s">
        <v>36</v>
      </c>
      <c r="I759" s="5" t="s">
        <v>14760</v>
      </c>
      <c r="J759" s="5" t="s">
        <v>5394</v>
      </c>
      <c r="K759" s="5" t="s">
        <v>14761</v>
      </c>
      <c r="L759" s="11">
        <v>1</v>
      </c>
      <c r="M759" s="5" t="s">
        <v>12497</v>
      </c>
    </row>
    <row r="760" spans="2:13" ht="67.5" customHeight="1" x14ac:dyDescent="0.35">
      <c r="B760" s="12">
        <v>43</v>
      </c>
      <c r="C760" s="7" t="s">
        <v>14574</v>
      </c>
      <c r="D760" s="12">
        <v>60</v>
      </c>
      <c r="E760" s="7" t="s">
        <v>14764</v>
      </c>
      <c r="F760" s="7" t="s">
        <v>14765</v>
      </c>
      <c r="G760" s="7" t="s">
        <v>1269</v>
      </c>
      <c r="H760" s="7" t="s">
        <v>36</v>
      </c>
      <c r="I760" s="7" t="s">
        <v>14760</v>
      </c>
      <c r="J760" s="7" t="s">
        <v>5394</v>
      </c>
      <c r="K760" s="7" t="s">
        <v>14761</v>
      </c>
      <c r="L760" s="12">
        <v>1</v>
      </c>
      <c r="M760" s="7" t="s">
        <v>12497</v>
      </c>
    </row>
    <row r="761" spans="2:13" ht="37.5" customHeight="1" x14ac:dyDescent="0.35">
      <c r="B761" s="11">
        <v>43</v>
      </c>
      <c r="C761" s="5" t="s">
        <v>14574</v>
      </c>
      <c r="D761" s="11">
        <v>61</v>
      </c>
      <c r="E761" s="5" t="s">
        <v>14766</v>
      </c>
      <c r="F761" s="5" t="s">
        <v>14767</v>
      </c>
      <c r="G761" s="5" t="s">
        <v>865</v>
      </c>
      <c r="H761" s="5" t="s">
        <v>36</v>
      </c>
      <c r="I761" s="5" t="s">
        <v>14768</v>
      </c>
      <c r="J761" s="5" t="s">
        <v>5394</v>
      </c>
      <c r="K761" s="5" t="s">
        <v>14769</v>
      </c>
      <c r="L761" s="11">
        <v>1</v>
      </c>
      <c r="M761" s="5" t="s">
        <v>12497</v>
      </c>
    </row>
    <row r="762" spans="2:13" ht="37.5" customHeight="1" x14ac:dyDescent="0.35">
      <c r="B762" s="12">
        <v>43</v>
      </c>
      <c r="C762" s="7" t="s">
        <v>14574</v>
      </c>
      <c r="D762" s="12">
        <v>62</v>
      </c>
      <c r="E762" s="7" t="s">
        <v>14770</v>
      </c>
      <c r="F762" s="7" t="s">
        <v>14771</v>
      </c>
      <c r="G762" s="7" t="s">
        <v>845</v>
      </c>
      <c r="H762" s="7" t="s">
        <v>36</v>
      </c>
      <c r="I762" s="7" t="s">
        <v>14768</v>
      </c>
      <c r="J762" s="7" t="s">
        <v>5394</v>
      </c>
      <c r="K762" s="7" t="s">
        <v>14769</v>
      </c>
      <c r="L762" s="12">
        <v>1</v>
      </c>
      <c r="M762" s="7" t="s">
        <v>12497</v>
      </c>
    </row>
    <row r="763" spans="2:13" ht="37.5" customHeight="1" x14ac:dyDescent="0.35">
      <c r="B763" s="11">
        <v>43</v>
      </c>
      <c r="C763" s="5" t="s">
        <v>14574</v>
      </c>
      <c r="D763" s="11" t="s">
        <v>14772</v>
      </c>
      <c r="E763" s="5" t="s">
        <v>14773</v>
      </c>
      <c r="F763" s="5" t="s">
        <v>14774</v>
      </c>
      <c r="G763" s="5" t="s">
        <v>552</v>
      </c>
      <c r="H763" s="5" t="s">
        <v>36</v>
      </c>
      <c r="I763" s="5" t="s">
        <v>14775</v>
      </c>
      <c r="J763" s="5" t="s">
        <v>5394</v>
      </c>
      <c r="K763" s="5" t="s">
        <v>14776</v>
      </c>
      <c r="L763" s="11">
        <v>1</v>
      </c>
      <c r="M763" s="5" t="s">
        <v>12497</v>
      </c>
    </row>
    <row r="764" spans="2:13" ht="37.5" customHeight="1" x14ac:dyDescent="0.35">
      <c r="B764" s="12">
        <v>43</v>
      </c>
      <c r="C764" s="7" t="s">
        <v>14574</v>
      </c>
      <c r="D764" s="12"/>
      <c r="E764" s="7" t="s">
        <v>14777</v>
      </c>
      <c r="F764" s="7" t="s">
        <v>14778</v>
      </c>
      <c r="G764" s="7" t="s">
        <v>905</v>
      </c>
      <c r="H764" s="7" t="s">
        <v>36</v>
      </c>
      <c r="I764" s="7" t="s">
        <v>14779</v>
      </c>
      <c r="J764" s="7" t="s">
        <v>5394</v>
      </c>
      <c r="K764" s="7" t="s">
        <v>14780</v>
      </c>
      <c r="L764" s="12">
        <v>1</v>
      </c>
      <c r="M764" s="7" t="s">
        <v>12497</v>
      </c>
    </row>
    <row r="765" spans="2:13" ht="37.5" customHeight="1" x14ac:dyDescent="0.35">
      <c r="B765" s="11">
        <v>43</v>
      </c>
      <c r="C765" s="5" t="s">
        <v>14574</v>
      </c>
      <c r="D765" s="11">
        <v>65</v>
      </c>
      <c r="E765" s="5" t="s">
        <v>14781</v>
      </c>
      <c r="F765" s="5" t="s">
        <v>14782</v>
      </c>
      <c r="G765" s="5" t="s">
        <v>9719</v>
      </c>
      <c r="H765" s="5" t="s">
        <v>36</v>
      </c>
      <c r="I765" s="5" t="s">
        <v>14783</v>
      </c>
      <c r="J765" s="5" t="s">
        <v>5394</v>
      </c>
      <c r="K765" s="5" t="s">
        <v>14784</v>
      </c>
      <c r="L765" s="11">
        <v>1</v>
      </c>
      <c r="M765" s="5" t="s">
        <v>12497</v>
      </c>
    </row>
    <row r="766" spans="2:13" ht="37.5" customHeight="1" x14ac:dyDescent="0.35">
      <c r="B766" s="12">
        <v>43</v>
      </c>
      <c r="C766" s="7" t="s">
        <v>14574</v>
      </c>
      <c r="D766" s="12">
        <v>66</v>
      </c>
      <c r="E766" s="7" t="s">
        <v>14785</v>
      </c>
      <c r="F766" s="7" t="s">
        <v>14786</v>
      </c>
      <c r="G766" s="7" t="s">
        <v>7501</v>
      </c>
      <c r="H766" s="7" t="s">
        <v>36</v>
      </c>
      <c r="I766" s="7" t="s">
        <v>14783</v>
      </c>
      <c r="J766" s="7" t="s">
        <v>5394</v>
      </c>
      <c r="K766" s="7" t="s">
        <v>14784</v>
      </c>
      <c r="L766" s="12">
        <v>1</v>
      </c>
      <c r="M766" s="7" t="s">
        <v>12497</v>
      </c>
    </row>
    <row r="767" spans="2:13" ht="37.5" customHeight="1" x14ac:dyDescent="0.35">
      <c r="B767" s="11">
        <v>43</v>
      </c>
      <c r="C767" s="5" t="s">
        <v>14574</v>
      </c>
      <c r="D767" s="11">
        <v>67</v>
      </c>
      <c r="E767" s="5" t="s">
        <v>14787</v>
      </c>
      <c r="F767" s="5" t="s">
        <v>14788</v>
      </c>
      <c r="G767" s="5" t="s">
        <v>2603</v>
      </c>
      <c r="H767" s="5" t="s">
        <v>36</v>
      </c>
      <c r="I767" s="5" t="s">
        <v>14789</v>
      </c>
      <c r="J767" s="5" t="s">
        <v>5394</v>
      </c>
      <c r="K767" s="5" t="s">
        <v>14790</v>
      </c>
      <c r="L767" s="11">
        <v>1</v>
      </c>
      <c r="M767" s="5" t="s">
        <v>12497</v>
      </c>
    </row>
    <row r="768" spans="2:13" ht="37.5" customHeight="1" x14ac:dyDescent="0.35">
      <c r="B768" s="12">
        <v>43</v>
      </c>
      <c r="C768" s="7" t="s">
        <v>14574</v>
      </c>
      <c r="D768" s="12">
        <v>68</v>
      </c>
      <c r="E768" s="7" t="s">
        <v>14791</v>
      </c>
      <c r="F768" s="7" t="s">
        <v>14792</v>
      </c>
      <c r="G768" s="7" t="s">
        <v>939</v>
      </c>
      <c r="H768" s="7" t="s">
        <v>36</v>
      </c>
      <c r="I768" s="7" t="s">
        <v>14783</v>
      </c>
      <c r="J768" s="7" t="s">
        <v>5394</v>
      </c>
      <c r="K768" s="7" t="s">
        <v>14784</v>
      </c>
      <c r="L768" s="12">
        <v>1</v>
      </c>
      <c r="M768" s="7" t="s">
        <v>12497</v>
      </c>
    </row>
    <row r="769" spans="2:13" ht="37.5" customHeight="1" x14ac:dyDescent="0.35">
      <c r="B769" s="11">
        <v>43</v>
      </c>
      <c r="C769" s="5" t="s">
        <v>14574</v>
      </c>
      <c r="D769" s="11">
        <v>69</v>
      </c>
      <c r="E769" s="5" t="s">
        <v>14793</v>
      </c>
      <c r="F769" s="5" t="s">
        <v>14794</v>
      </c>
      <c r="G769" s="5" t="s">
        <v>14795</v>
      </c>
      <c r="H769" s="5" t="s">
        <v>36</v>
      </c>
      <c r="I769" s="5" t="s">
        <v>14783</v>
      </c>
      <c r="J769" s="5" t="s">
        <v>5394</v>
      </c>
      <c r="K769" s="5" t="s">
        <v>14784</v>
      </c>
      <c r="L769" s="11">
        <v>1</v>
      </c>
      <c r="M769" s="5" t="s">
        <v>12497</v>
      </c>
    </row>
    <row r="770" spans="2:13" ht="37.5" customHeight="1" x14ac:dyDescent="0.35">
      <c r="B770" s="12">
        <v>43</v>
      </c>
      <c r="C770" s="7" t="s">
        <v>14574</v>
      </c>
      <c r="D770" s="12">
        <v>70</v>
      </c>
      <c r="E770" s="7" t="s">
        <v>14796</v>
      </c>
      <c r="F770" s="7" t="s">
        <v>14797</v>
      </c>
      <c r="G770" s="7" t="s">
        <v>7534</v>
      </c>
      <c r="H770" s="7" t="s">
        <v>36</v>
      </c>
      <c r="I770" s="7" t="s">
        <v>14783</v>
      </c>
      <c r="J770" s="7" t="s">
        <v>5394</v>
      </c>
      <c r="K770" s="7" t="s">
        <v>14784</v>
      </c>
      <c r="L770" s="12">
        <v>1</v>
      </c>
      <c r="M770" s="7" t="s">
        <v>12497</v>
      </c>
    </row>
    <row r="771" spans="2:13" ht="37.5" customHeight="1" x14ac:dyDescent="0.35">
      <c r="B771" s="11">
        <v>43</v>
      </c>
      <c r="C771" s="5" t="s">
        <v>14574</v>
      </c>
      <c r="D771" s="11">
        <v>71</v>
      </c>
      <c r="E771" s="5" t="s">
        <v>14798</v>
      </c>
      <c r="F771" s="5" t="s">
        <v>14799</v>
      </c>
      <c r="G771" s="5" t="s">
        <v>851</v>
      </c>
      <c r="H771" s="5" t="s">
        <v>36</v>
      </c>
      <c r="I771" s="5" t="s">
        <v>14783</v>
      </c>
      <c r="J771" s="5" t="s">
        <v>5394</v>
      </c>
      <c r="K771" s="5" t="s">
        <v>14784</v>
      </c>
      <c r="L771" s="11">
        <v>1</v>
      </c>
      <c r="M771" s="5" t="s">
        <v>12497</v>
      </c>
    </row>
    <row r="772" spans="2:13" ht="52.5" customHeight="1" x14ac:dyDescent="0.35">
      <c r="B772" s="12">
        <v>43</v>
      </c>
      <c r="C772" s="7" t="s">
        <v>14574</v>
      </c>
      <c r="D772" s="12">
        <v>72</v>
      </c>
      <c r="E772" s="7" t="s">
        <v>14800</v>
      </c>
      <c r="F772" s="7" t="s">
        <v>14801</v>
      </c>
      <c r="G772" s="7" t="s">
        <v>14802</v>
      </c>
      <c r="H772" s="7" t="s">
        <v>36</v>
      </c>
      <c r="I772" s="7" t="s">
        <v>14803</v>
      </c>
      <c r="J772" s="7" t="s">
        <v>5394</v>
      </c>
      <c r="K772" s="7" t="s">
        <v>14804</v>
      </c>
      <c r="L772" s="12">
        <v>1</v>
      </c>
      <c r="M772" s="7" t="s">
        <v>12497</v>
      </c>
    </row>
    <row r="773" spans="2:13" ht="52.5" customHeight="1" x14ac:dyDescent="0.35">
      <c r="B773" s="11">
        <v>43</v>
      </c>
      <c r="C773" s="5" t="s">
        <v>14574</v>
      </c>
      <c r="D773" s="11">
        <v>73</v>
      </c>
      <c r="E773" s="5" t="s">
        <v>14805</v>
      </c>
      <c r="F773" s="5" t="s">
        <v>14806</v>
      </c>
      <c r="G773" s="5" t="s">
        <v>967</v>
      </c>
      <c r="H773" s="5" t="s">
        <v>36</v>
      </c>
      <c r="I773" s="5" t="s">
        <v>14803</v>
      </c>
      <c r="J773" s="5" t="s">
        <v>5394</v>
      </c>
      <c r="K773" s="5" t="s">
        <v>14804</v>
      </c>
      <c r="L773" s="11">
        <v>1</v>
      </c>
      <c r="M773" s="5" t="s">
        <v>12497</v>
      </c>
    </row>
    <row r="774" spans="2:13" ht="52.5" customHeight="1" x14ac:dyDescent="0.35">
      <c r="B774" s="12">
        <v>43</v>
      </c>
      <c r="C774" s="7" t="s">
        <v>14574</v>
      </c>
      <c r="D774" s="12">
        <v>74</v>
      </c>
      <c r="E774" s="7" t="s">
        <v>14807</v>
      </c>
      <c r="F774" s="7" t="s">
        <v>14808</v>
      </c>
      <c r="G774" s="7" t="s">
        <v>755</v>
      </c>
      <c r="H774" s="7" t="s">
        <v>36</v>
      </c>
      <c r="I774" s="7" t="s">
        <v>14803</v>
      </c>
      <c r="J774" s="7" t="s">
        <v>5394</v>
      </c>
      <c r="K774" s="7" t="s">
        <v>14804</v>
      </c>
      <c r="L774" s="12">
        <v>1</v>
      </c>
      <c r="M774" s="7" t="s">
        <v>12497</v>
      </c>
    </row>
    <row r="775" spans="2:13" ht="52.5" customHeight="1" x14ac:dyDescent="0.35">
      <c r="B775" s="11">
        <v>43</v>
      </c>
      <c r="C775" s="5" t="s">
        <v>14574</v>
      </c>
      <c r="D775" s="11">
        <v>75</v>
      </c>
      <c r="E775" s="5" t="s">
        <v>14809</v>
      </c>
      <c r="F775" s="5" t="s">
        <v>14810</v>
      </c>
      <c r="G775" s="5" t="s">
        <v>1045</v>
      </c>
      <c r="H775" s="5" t="s">
        <v>36</v>
      </c>
      <c r="I775" s="5" t="s">
        <v>14803</v>
      </c>
      <c r="J775" s="5" t="s">
        <v>5394</v>
      </c>
      <c r="K775" s="5" t="s">
        <v>14804</v>
      </c>
      <c r="L775" s="11">
        <v>1</v>
      </c>
      <c r="M775" s="5" t="s">
        <v>12497</v>
      </c>
    </row>
    <row r="776" spans="2:13" ht="52.5" customHeight="1" x14ac:dyDescent="0.35">
      <c r="B776" s="12">
        <v>43</v>
      </c>
      <c r="C776" s="7" t="s">
        <v>14574</v>
      </c>
      <c r="D776" s="12">
        <v>76</v>
      </c>
      <c r="E776" s="7" t="s">
        <v>14811</v>
      </c>
      <c r="F776" s="7" t="s">
        <v>14812</v>
      </c>
      <c r="G776" s="7" t="s">
        <v>1829</v>
      </c>
      <c r="H776" s="7" t="s">
        <v>36</v>
      </c>
      <c r="I776" s="7" t="s">
        <v>14803</v>
      </c>
      <c r="J776" s="7" t="s">
        <v>5394</v>
      </c>
      <c r="K776" s="7" t="s">
        <v>14804</v>
      </c>
      <c r="L776" s="12">
        <v>1</v>
      </c>
      <c r="M776" s="7" t="s">
        <v>12497</v>
      </c>
    </row>
    <row r="777" spans="2:13" ht="52.5" customHeight="1" x14ac:dyDescent="0.35">
      <c r="B777" s="11">
        <v>43</v>
      </c>
      <c r="C777" s="5" t="s">
        <v>14574</v>
      </c>
      <c r="D777" s="11">
        <v>77</v>
      </c>
      <c r="E777" s="5" t="s">
        <v>14813</v>
      </c>
      <c r="F777" s="5" t="s">
        <v>14814</v>
      </c>
      <c r="G777" s="5" t="s">
        <v>944</v>
      </c>
      <c r="H777" s="5" t="s">
        <v>36</v>
      </c>
      <c r="I777" s="5" t="s">
        <v>14803</v>
      </c>
      <c r="J777" s="5" t="s">
        <v>5394</v>
      </c>
      <c r="K777" s="5" t="s">
        <v>14804</v>
      </c>
      <c r="L777" s="11">
        <v>1</v>
      </c>
      <c r="M777" s="5" t="s">
        <v>12497</v>
      </c>
    </row>
    <row r="778" spans="2:13" ht="52.5" customHeight="1" x14ac:dyDescent="0.35">
      <c r="B778" s="12">
        <v>43</v>
      </c>
      <c r="C778" s="7" t="s">
        <v>14574</v>
      </c>
      <c r="D778" s="12">
        <v>78</v>
      </c>
      <c r="E778" s="7" t="s">
        <v>14815</v>
      </c>
      <c r="F778" s="7" t="s">
        <v>14816</v>
      </c>
      <c r="G778" s="7" t="s">
        <v>7296</v>
      </c>
      <c r="H778" s="7" t="s">
        <v>36</v>
      </c>
      <c r="I778" s="7" t="s">
        <v>14803</v>
      </c>
      <c r="J778" s="7" t="s">
        <v>5404</v>
      </c>
      <c r="K778" s="7" t="s">
        <v>14817</v>
      </c>
      <c r="L778" s="12">
        <v>1</v>
      </c>
      <c r="M778" s="7" t="s">
        <v>12497</v>
      </c>
    </row>
    <row r="779" spans="2:13" ht="37.5" customHeight="1" x14ac:dyDescent="0.35">
      <c r="B779" s="11">
        <v>43</v>
      </c>
      <c r="C779" s="5" t="s">
        <v>14574</v>
      </c>
      <c r="D779" s="11">
        <v>79</v>
      </c>
      <c r="E779" s="5" t="s">
        <v>14818</v>
      </c>
      <c r="F779" s="5" t="s">
        <v>14819</v>
      </c>
      <c r="G779" s="5" t="s">
        <v>1742</v>
      </c>
      <c r="H779" s="5" t="s">
        <v>36</v>
      </c>
      <c r="I779" s="5" t="s">
        <v>14820</v>
      </c>
      <c r="J779" s="5" t="s">
        <v>5394</v>
      </c>
      <c r="K779" s="5" t="s">
        <v>14821</v>
      </c>
      <c r="L779" s="11">
        <v>1</v>
      </c>
      <c r="M779" s="5" t="s">
        <v>12497</v>
      </c>
    </row>
    <row r="780" spans="2:13" ht="52.5" customHeight="1" x14ac:dyDescent="0.35">
      <c r="B780" s="12">
        <v>43</v>
      </c>
      <c r="C780" s="7" t="s">
        <v>14574</v>
      </c>
      <c r="D780" s="12">
        <v>80</v>
      </c>
      <c r="E780" s="7" t="s">
        <v>14822</v>
      </c>
      <c r="F780" s="7" t="s">
        <v>14823</v>
      </c>
      <c r="G780" s="7" t="s">
        <v>791</v>
      </c>
      <c r="H780" s="7" t="s">
        <v>36</v>
      </c>
      <c r="I780" s="7" t="s">
        <v>14803</v>
      </c>
      <c r="J780" s="7" t="s">
        <v>5394</v>
      </c>
      <c r="K780" s="7" t="s">
        <v>14804</v>
      </c>
      <c r="L780" s="12">
        <v>1</v>
      </c>
      <c r="M780" s="7" t="s">
        <v>12497</v>
      </c>
    </row>
    <row r="781" spans="2:13" ht="37.5" customHeight="1" x14ac:dyDescent="0.35">
      <c r="B781" s="11">
        <v>43</v>
      </c>
      <c r="C781" s="5" t="s">
        <v>14574</v>
      </c>
      <c r="D781" s="11">
        <v>81</v>
      </c>
      <c r="E781" s="5" t="s">
        <v>14824</v>
      </c>
      <c r="F781" s="5" t="s">
        <v>14825</v>
      </c>
      <c r="G781" s="5" t="s">
        <v>868</v>
      </c>
      <c r="H781" s="5" t="s">
        <v>36</v>
      </c>
      <c r="I781" s="5" t="s">
        <v>14826</v>
      </c>
      <c r="J781" s="5" t="s">
        <v>5394</v>
      </c>
      <c r="K781" s="5" t="s">
        <v>14827</v>
      </c>
      <c r="L781" s="11">
        <v>1</v>
      </c>
      <c r="M781" s="5" t="s">
        <v>12497</v>
      </c>
    </row>
    <row r="782" spans="2:13" ht="37.5" customHeight="1" x14ac:dyDescent="0.35">
      <c r="B782" s="12">
        <v>43</v>
      </c>
      <c r="C782" s="7" t="s">
        <v>14574</v>
      </c>
      <c r="D782" s="12">
        <v>82</v>
      </c>
      <c r="E782" s="7" t="s">
        <v>14828</v>
      </c>
      <c r="F782" s="7" t="s">
        <v>14829</v>
      </c>
      <c r="G782" s="7" t="s">
        <v>1667</v>
      </c>
      <c r="H782" s="7" t="s">
        <v>36</v>
      </c>
      <c r="I782" s="7" t="s">
        <v>14826</v>
      </c>
      <c r="J782" s="7" t="s">
        <v>5394</v>
      </c>
      <c r="K782" s="7" t="s">
        <v>14827</v>
      </c>
      <c r="L782" s="12">
        <v>1</v>
      </c>
      <c r="M782" s="7" t="s">
        <v>12497</v>
      </c>
    </row>
    <row r="783" spans="2:13" ht="37.5" customHeight="1" x14ac:dyDescent="0.35">
      <c r="B783" s="11">
        <v>43</v>
      </c>
      <c r="C783" s="5" t="s">
        <v>14574</v>
      </c>
      <c r="D783" s="11">
        <v>83</v>
      </c>
      <c r="E783" s="5" t="s">
        <v>14830</v>
      </c>
      <c r="F783" s="5" t="s">
        <v>14831</v>
      </c>
      <c r="G783" s="5" t="s">
        <v>1790</v>
      </c>
      <c r="H783" s="5" t="s">
        <v>36</v>
      </c>
      <c r="I783" s="5" t="s">
        <v>14832</v>
      </c>
      <c r="J783" s="5" t="s">
        <v>5394</v>
      </c>
      <c r="K783" s="5" t="s">
        <v>14833</v>
      </c>
      <c r="L783" s="11">
        <v>1</v>
      </c>
      <c r="M783" s="5" t="s">
        <v>12497</v>
      </c>
    </row>
    <row r="784" spans="2:13" ht="37.5" customHeight="1" x14ac:dyDescent="0.35">
      <c r="B784" s="12">
        <v>43</v>
      </c>
      <c r="C784" s="7" t="s">
        <v>14574</v>
      </c>
      <c r="D784" s="12">
        <v>84</v>
      </c>
      <c r="E784" s="7" t="s">
        <v>14834</v>
      </c>
      <c r="F784" s="7" t="s">
        <v>14835</v>
      </c>
      <c r="G784" s="7" t="s">
        <v>645</v>
      </c>
      <c r="H784" s="7" t="s">
        <v>36</v>
      </c>
      <c r="I784" s="7" t="s">
        <v>14826</v>
      </c>
      <c r="J784" s="7" t="s">
        <v>5394</v>
      </c>
      <c r="K784" s="7" t="s">
        <v>14827</v>
      </c>
      <c r="L784" s="12">
        <v>1</v>
      </c>
      <c r="M784" s="7" t="s">
        <v>12497</v>
      </c>
    </row>
    <row r="785" spans="2:13" ht="52.5" customHeight="1" x14ac:dyDescent="0.35">
      <c r="B785" s="11">
        <v>43</v>
      </c>
      <c r="C785" s="5" t="s">
        <v>14574</v>
      </c>
      <c r="D785" s="11">
        <v>85</v>
      </c>
      <c r="E785" s="5" t="s">
        <v>14836</v>
      </c>
      <c r="F785" s="5" t="s">
        <v>14837</v>
      </c>
      <c r="G785" s="5" t="s">
        <v>816</v>
      </c>
      <c r="H785" s="5" t="s">
        <v>36</v>
      </c>
      <c r="I785" s="5" t="s">
        <v>14838</v>
      </c>
      <c r="J785" s="5" t="s">
        <v>5394</v>
      </c>
      <c r="K785" s="5" t="s">
        <v>14839</v>
      </c>
      <c r="L785" s="11">
        <v>1</v>
      </c>
      <c r="M785" s="5" t="s">
        <v>12497</v>
      </c>
    </row>
    <row r="786" spans="2:13" ht="37.5" customHeight="1" x14ac:dyDescent="0.35">
      <c r="B786" s="12">
        <v>43</v>
      </c>
      <c r="C786" s="7" t="s">
        <v>14574</v>
      </c>
      <c r="D786" s="12">
        <v>86</v>
      </c>
      <c r="E786" s="7" t="s">
        <v>14840</v>
      </c>
      <c r="F786" s="7" t="s">
        <v>14841</v>
      </c>
      <c r="G786" s="7" t="s">
        <v>549</v>
      </c>
      <c r="H786" s="7" t="s">
        <v>36</v>
      </c>
      <c r="I786" s="7" t="s">
        <v>14826</v>
      </c>
      <c r="J786" s="7" t="s">
        <v>5394</v>
      </c>
      <c r="K786" s="7" t="s">
        <v>14827</v>
      </c>
      <c r="L786" s="12">
        <v>1</v>
      </c>
      <c r="M786" s="7" t="s">
        <v>12497</v>
      </c>
    </row>
    <row r="787" spans="2:13" ht="37.5" customHeight="1" x14ac:dyDescent="0.35">
      <c r="B787" s="11">
        <v>43</v>
      </c>
      <c r="C787" s="5" t="s">
        <v>14574</v>
      </c>
      <c r="D787" s="11">
        <v>87</v>
      </c>
      <c r="E787" s="5" t="s">
        <v>14842</v>
      </c>
      <c r="F787" s="5" t="s">
        <v>14843</v>
      </c>
      <c r="G787" s="5" t="s">
        <v>837</v>
      </c>
      <c r="H787" s="5" t="s">
        <v>36</v>
      </c>
      <c r="I787" s="5" t="s">
        <v>14826</v>
      </c>
      <c r="J787" s="5" t="s">
        <v>5531</v>
      </c>
      <c r="K787" s="5" t="s">
        <v>14844</v>
      </c>
      <c r="L787" s="11">
        <v>1</v>
      </c>
      <c r="M787" s="5" t="s">
        <v>12497</v>
      </c>
    </row>
    <row r="788" spans="2:13" ht="52.5" customHeight="1" x14ac:dyDescent="0.35">
      <c r="B788" s="12">
        <v>43</v>
      </c>
      <c r="C788" s="7" t="s">
        <v>14574</v>
      </c>
      <c r="D788" s="12">
        <v>88</v>
      </c>
      <c r="E788" s="7" t="s">
        <v>14845</v>
      </c>
      <c r="F788" s="7" t="s">
        <v>14846</v>
      </c>
      <c r="G788" s="7" t="s">
        <v>10852</v>
      </c>
      <c r="H788" s="7" t="s">
        <v>36</v>
      </c>
      <c r="I788" s="7" t="s">
        <v>14838</v>
      </c>
      <c r="J788" s="7" t="s">
        <v>5404</v>
      </c>
      <c r="K788" s="7" t="s">
        <v>14847</v>
      </c>
      <c r="L788" s="12">
        <v>1</v>
      </c>
      <c r="M788" s="7" t="s">
        <v>12497</v>
      </c>
    </row>
    <row r="789" spans="2:13" ht="52.5" customHeight="1" x14ac:dyDescent="0.35">
      <c r="B789" s="11">
        <v>43</v>
      </c>
      <c r="C789" s="5" t="s">
        <v>14574</v>
      </c>
      <c r="D789" s="11">
        <v>89</v>
      </c>
      <c r="E789" s="5" t="s">
        <v>14848</v>
      </c>
      <c r="F789" s="5" t="s">
        <v>14849</v>
      </c>
      <c r="G789" s="5" t="s">
        <v>14850</v>
      </c>
      <c r="H789" s="5" t="s">
        <v>36</v>
      </c>
      <c r="I789" s="5" t="s">
        <v>14838</v>
      </c>
      <c r="J789" s="5" t="s">
        <v>5404</v>
      </c>
      <c r="K789" s="5" t="s">
        <v>14847</v>
      </c>
      <c r="L789" s="11">
        <v>1</v>
      </c>
      <c r="M789" s="5" t="s">
        <v>12497</v>
      </c>
    </row>
    <row r="790" spans="2:13" ht="52.5" customHeight="1" x14ac:dyDescent="0.35">
      <c r="B790" s="12">
        <v>44</v>
      </c>
      <c r="C790" s="7" t="s">
        <v>14851</v>
      </c>
      <c r="D790" s="12">
        <v>1</v>
      </c>
      <c r="E790" s="7" t="s">
        <v>14852</v>
      </c>
      <c r="F790" s="7" t="s">
        <v>14853</v>
      </c>
      <c r="G790" s="7" t="s">
        <v>1076</v>
      </c>
      <c r="H790" s="7" t="s">
        <v>36</v>
      </c>
      <c r="I790" s="7" t="s">
        <v>14826</v>
      </c>
      <c r="J790" s="7" t="s">
        <v>6351</v>
      </c>
      <c r="K790" s="7" t="s">
        <v>14854</v>
      </c>
      <c r="L790" s="12">
        <v>1</v>
      </c>
      <c r="M790" s="7" t="s">
        <v>12497</v>
      </c>
    </row>
    <row r="791" spans="2:13" ht="52.5" customHeight="1" x14ac:dyDescent="0.35">
      <c r="B791" s="11">
        <v>44</v>
      </c>
      <c r="C791" s="5" t="s">
        <v>14851</v>
      </c>
      <c r="D791" s="11">
        <v>2</v>
      </c>
      <c r="E791" s="5" t="s">
        <v>14855</v>
      </c>
      <c r="F791" s="5" t="s">
        <v>14856</v>
      </c>
      <c r="G791" s="5" t="s">
        <v>656</v>
      </c>
      <c r="H791" s="5" t="s">
        <v>36</v>
      </c>
      <c r="I791" s="5" t="s">
        <v>14857</v>
      </c>
      <c r="J791" s="5" t="s">
        <v>6351</v>
      </c>
      <c r="K791" s="5" t="s">
        <v>14858</v>
      </c>
      <c r="L791" s="11">
        <v>1</v>
      </c>
      <c r="M791" s="5" t="s">
        <v>12497</v>
      </c>
    </row>
    <row r="792" spans="2:13" ht="52.5" customHeight="1" x14ac:dyDescent="0.35">
      <c r="B792" s="12">
        <v>44</v>
      </c>
      <c r="C792" s="7" t="s">
        <v>14851</v>
      </c>
      <c r="D792" s="12">
        <v>3</v>
      </c>
      <c r="E792" s="7" t="s">
        <v>14859</v>
      </c>
      <c r="F792" s="7" t="s">
        <v>14860</v>
      </c>
      <c r="G792" s="7" t="s">
        <v>713</v>
      </c>
      <c r="H792" s="7" t="s">
        <v>36</v>
      </c>
      <c r="I792" s="7" t="s">
        <v>14861</v>
      </c>
      <c r="J792" s="7" t="s">
        <v>6351</v>
      </c>
      <c r="K792" s="7" t="s">
        <v>14862</v>
      </c>
      <c r="L792" s="12">
        <v>1</v>
      </c>
      <c r="M792" s="7" t="s">
        <v>12497</v>
      </c>
    </row>
    <row r="793" spans="2:13" ht="67.5" customHeight="1" x14ac:dyDescent="0.35">
      <c r="B793" s="11">
        <v>44</v>
      </c>
      <c r="C793" s="5" t="s">
        <v>14851</v>
      </c>
      <c r="D793" s="11">
        <v>4</v>
      </c>
      <c r="E793" s="5" t="s">
        <v>14863</v>
      </c>
      <c r="F793" s="5" t="s">
        <v>14864</v>
      </c>
      <c r="G793" s="5" t="s">
        <v>582</v>
      </c>
      <c r="H793" s="5" t="s">
        <v>36</v>
      </c>
      <c r="I793" s="5" t="s">
        <v>14865</v>
      </c>
      <c r="J793" s="5" t="s">
        <v>6351</v>
      </c>
      <c r="K793" s="5" t="s">
        <v>14866</v>
      </c>
      <c r="L793" s="11">
        <v>1</v>
      </c>
      <c r="M793" s="5" t="s">
        <v>12497</v>
      </c>
    </row>
    <row r="794" spans="2:13" ht="52.5" customHeight="1" x14ac:dyDescent="0.35">
      <c r="B794" s="12">
        <v>44</v>
      </c>
      <c r="C794" s="7" t="s">
        <v>14851</v>
      </c>
      <c r="D794" s="12">
        <v>5</v>
      </c>
      <c r="E794" s="7" t="s">
        <v>14867</v>
      </c>
      <c r="F794" s="7" t="s">
        <v>14868</v>
      </c>
      <c r="G794" s="7" t="s">
        <v>831</v>
      </c>
      <c r="H794" s="7" t="s">
        <v>36</v>
      </c>
      <c r="I794" s="7" t="s">
        <v>14869</v>
      </c>
      <c r="J794" s="7" t="s">
        <v>6351</v>
      </c>
      <c r="K794" s="7" t="s">
        <v>14870</v>
      </c>
      <c r="L794" s="12">
        <v>1</v>
      </c>
      <c r="M794" s="7" t="s">
        <v>12497</v>
      </c>
    </row>
    <row r="795" spans="2:13" ht="52.5" customHeight="1" x14ac:dyDescent="0.35">
      <c r="B795" s="11">
        <v>44</v>
      </c>
      <c r="C795" s="5" t="s">
        <v>14851</v>
      </c>
      <c r="D795" s="11">
        <v>6</v>
      </c>
      <c r="E795" s="5" t="s">
        <v>14871</v>
      </c>
      <c r="F795" s="5" t="s">
        <v>14872</v>
      </c>
      <c r="G795" s="5" t="s">
        <v>14873</v>
      </c>
      <c r="H795" s="5" t="s">
        <v>36</v>
      </c>
      <c r="I795" s="5" t="s">
        <v>14869</v>
      </c>
      <c r="J795" s="5" t="s">
        <v>6351</v>
      </c>
      <c r="K795" s="5" t="s">
        <v>14870</v>
      </c>
      <c r="L795" s="11">
        <v>1</v>
      </c>
      <c r="M795" s="5" t="s">
        <v>12497</v>
      </c>
    </row>
    <row r="796" spans="2:13" ht="52.5" customHeight="1" x14ac:dyDescent="0.35">
      <c r="B796" s="12">
        <v>44</v>
      </c>
      <c r="C796" s="7" t="s">
        <v>14851</v>
      </c>
      <c r="D796" s="12">
        <v>7</v>
      </c>
      <c r="E796" s="7" t="s">
        <v>14874</v>
      </c>
      <c r="F796" s="7" t="s">
        <v>14875</v>
      </c>
      <c r="G796" s="7" t="s">
        <v>625</v>
      </c>
      <c r="H796" s="7" t="s">
        <v>36</v>
      </c>
      <c r="I796" s="7" t="s">
        <v>14432</v>
      </c>
      <c r="J796" s="7" t="s">
        <v>6351</v>
      </c>
      <c r="K796" s="7" t="s">
        <v>14876</v>
      </c>
      <c r="L796" s="12">
        <v>1</v>
      </c>
      <c r="M796" s="7" t="s">
        <v>12497</v>
      </c>
    </row>
    <row r="797" spans="2:13" ht="52.5" customHeight="1" x14ac:dyDescent="0.35">
      <c r="B797" s="11">
        <v>44</v>
      </c>
      <c r="C797" s="5" t="s">
        <v>14851</v>
      </c>
      <c r="D797" s="11">
        <v>8</v>
      </c>
      <c r="E797" s="5" t="s">
        <v>14877</v>
      </c>
      <c r="F797" s="5" t="s">
        <v>14878</v>
      </c>
      <c r="G797" s="5" t="s">
        <v>30</v>
      </c>
      <c r="H797" s="5" t="s">
        <v>36</v>
      </c>
      <c r="I797" s="5" t="s">
        <v>14432</v>
      </c>
      <c r="J797" s="5" t="s">
        <v>6351</v>
      </c>
      <c r="K797" s="5" t="s">
        <v>14876</v>
      </c>
      <c r="L797" s="11">
        <v>1</v>
      </c>
      <c r="M797" s="5" t="s">
        <v>12497</v>
      </c>
    </row>
    <row r="798" spans="2:13" ht="52.5" customHeight="1" x14ac:dyDescent="0.35">
      <c r="B798" s="12">
        <v>44</v>
      </c>
      <c r="C798" s="7" t="s">
        <v>14851</v>
      </c>
      <c r="D798" s="12">
        <v>9</v>
      </c>
      <c r="E798" s="7" t="s">
        <v>14879</v>
      </c>
      <c r="F798" s="7" t="s">
        <v>14880</v>
      </c>
      <c r="G798" s="7" t="s">
        <v>1252</v>
      </c>
      <c r="H798" s="7" t="s">
        <v>36</v>
      </c>
      <c r="I798" s="7" t="s">
        <v>14881</v>
      </c>
      <c r="J798" s="7" t="s">
        <v>6351</v>
      </c>
      <c r="K798" s="7" t="s">
        <v>14882</v>
      </c>
      <c r="L798" s="12">
        <v>1</v>
      </c>
      <c r="M798" s="7" t="s">
        <v>12497</v>
      </c>
    </row>
    <row r="799" spans="2:13" ht="52.5" customHeight="1" x14ac:dyDescent="0.35">
      <c r="B799" s="11">
        <v>44</v>
      </c>
      <c r="C799" s="5" t="s">
        <v>14851</v>
      </c>
      <c r="D799" s="11">
        <v>10</v>
      </c>
      <c r="E799" s="5" t="s">
        <v>14883</v>
      </c>
      <c r="F799" s="5" t="s">
        <v>14884</v>
      </c>
      <c r="G799" s="5" t="s">
        <v>1263</v>
      </c>
      <c r="H799" s="5" t="s">
        <v>36</v>
      </c>
      <c r="I799" s="5" t="s">
        <v>14885</v>
      </c>
      <c r="J799" s="5" t="s">
        <v>6351</v>
      </c>
      <c r="K799" s="5" t="s">
        <v>14886</v>
      </c>
      <c r="L799" s="11">
        <v>1</v>
      </c>
      <c r="M799" s="5" t="s">
        <v>12497</v>
      </c>
    </row>
    <row r="800" spans="2:13" ht="52.5" customHeight="1" x14ac:dyDescent="0.35">
      <c r="B800" s="12">
        <v>44</v>
      </c>
      <c r="C800" s="7" t="s">
        <v>14851</v>
      </c>
      <c r="D800" s="12">
        <v>11</v>
      </c>
      <c r="E800" s="7" t="s">
        <v>14887</v>
      </c>
      <c r="F800" s="7" t="s">
        <v>14888</v>
      </c>
      <c r="G800" s="7" t="s">
        <v>862</v>
      </c>
      <c r="H800" s="7" t="s">
        <v>36</v>
      </c>
      <c r="I800" s="7" t="s">
        <v>14889</v>
      </c>
      <c r="J800" s="7" t="s">
        <v>6351</v>
      </c>
      <c r="K800" s="7" t="s">
        <v>14890</v>
      </c>
      <c r="L800" s="12">
        <v>1</v>
      </c>
      <c r="M800" s="7" t="s">
        <v>12497</v>
      </c>
    </row>
    <row r="801" spans="2:13" ht="52.5" customHeight="1" x14ac:dyDescent="0.35">
      <c r="B801" s="11">
        <v>44</v>
      </c>
      <c r="C801" s="5" t="s">
        <v>14851</v>
      </c>
      <c r="D801" s="11">
        <v>12</v>
      </c>
      <c r="E801" s="5" t="s">
        <v>14891</v>
      </c>
      <c r="F801" s="5" t="s">
        <v>14892</v>
      </c>
      <c r="G801" s="5" t="s">
        <v>956</v>
      </c>
      <c r="H801" s="5" t="s">
        <v>36</v>
      </c>
      <c r="I801" s="5" t="s">
        <v>14881</v>
      </c>
      <c r="J801" s="5" t="s">
        <v>6351</v>
      </c>
      <c r="K801" s="5" t="s">
        <v>14882</v>
      </c>
      <c r="L801" s="11">
        <v>1</v>
      </c>
      <c r="M801" s="5" t="s">
        <v>12497</v>
      </c>
    </row>
    <row r="802" spans="2:13" ht="52.5" customHeight="1" x14ac:dyDescent="0.35">
      <c r="B802" s="12">
        <v>44</v>
      </c>
      <c r="C802" s="7" t="s">
        <v>14851</v>
      </c>
      <c r="D802" s="12">
        <v>13</v>
      </c>
      <c r="E802" s="7" t="s">
        <v>14893</v>
      </c>
      <c r="F802" s="7" t="s">
        <v>14894</v>
      </c>
      <c r="G802" s="7" t="s">
        <v>653</v>
      </c>
      <c r="H802" s="7" t="s">
        <v>36</v>
      </c>
      <c r="I802" s="7" t="s">
        <v>14432</v>
      </c>
      <c r="J802" s="7" t="s">
        <v>6351</v>
      </c>
      <c r="K802" s="7" t="s">
        <v>14876</v>
      </c>
      <c r="L802" s="12">
        <v>1</v>
      </c>
      <c r="M802" s="7" t="s">
        <v>12497</v>
      </c>
    </row>
    <row r="803" spans="2:13" ht="52.5" customHeight="1" x14ac:dyDescent="0.35">
      <c r="B803" s="11">
        <v>44</v>
      </c>
      <c r="C803" s="5" t="s">
        <v>14851</v>
      </c>
      <c r="D803" s="11">
        <v>14</v>
      </c>
      <c r="E803" s="5" t="s">
        <v>14895</v>
      </c>
      <c r="F803" s="5" t="s">
        <v>14896</v>
      </c>
      <c r="G803" s="5" t="s">
        <v>25</v>
      </c>
      <c r="H803" s="5" t="s">
        <v>36</v>
      </c>
      <c r="I803" s="5" t="s">
        <v>14897</v>
      </c>
      <c r="J803" s="5" t="s">
        <v>6351</v>
      </c>
      <c r="K803" s="5" t="s">
        <v>14898</v>
      </c>
      <c r="L803" s="11">
        <v>1</v>
      </c>
      <c r="M803" s="5" t="s">
        <v>12497</v>
      </c>
    </row>
    <row r="804" spans="2:13" ht="52.5" customHeight="1" x14ac:dyDescent="0.35">
      <c r="B804" s="12"/>
      <c r="C804" s="7" t="s">
        <v>14899</v>
      </c>
      <c r="D804" s="12">
        <v>15</v>
      </c>
      <c r="E804" s="7" t="s">
        <v>14900</v>
      </c>
      <c r="F804" s="7" t="s">
        <v>14901</v>
      </c>
      <c r="G804" s="7" t="s">
        <v>1045</v>
      </c>
      <c r="H804" s="7" t="s">
        <v>36</v>
      </c>
      <c r="I804" s="7" t="s">
        <v>14889</v>
      </c>
      <c r="J804" s="7" t="s">
        <v>6351</v>
      </c>
      <c r="K804" s="7" t="s">
        <v>14890</v>
      </c>
      <c r="L804" s="12">
        <v>1</v>
      </c>
      <c r="M804" s="7"/>
    </row>
    <row r="805" spans="2:13" ht="37.5" customHeight="1" x14ac:dyDescent="0.35">
      <c r="B805" s="11"/>
      <c r="C805" s="5" t="s">
        <v>14899</v>
      </c>
      <c r="D805" s="11">
        <v>16</v>
      </c>
      <c r="E805" s="5" t="s">
        <v>14902</v>
      </c>
      <c r="F805" s="5" t="s">
        <v>14903</v>
      </c>
      <c r="G805" s="5" t="s">
        <v>1720</v>
      </c>
      <c r="H805" s="5" t="s">
        <v>36</v>
      </c>
      <c r="I805" s="5" t="s">
        <v>14904</v>
      </c>
      <c r="J805" s="5" t="s">
        <v>6351</v>
      </c>
      <c r="K805" s="5" t="s">
        <v>14905</v>
      </c>
      <c r="L805" s="11">
        <v>1</v>
      </c>
      <c r="M805" s="5"/>
    </row>
    <row r="806" spans="2:13" ht="37.5" customHeight="1" x14ac:dyDescent="0.35">
      <c r="B806" s="12"/>
      <c r="C806" s="7" t="s">
        <v>14906</v>
      </c>
      <c r="D806" s="12">
        <v>17</v>
      </c>
      <c r="E806" s="7" t="s">
        <v>14907</v>
      </c>
      <c r="F806" s="7" t="s">
        <v>14908</v>
      </c>
      <c r="G806" s="7" t="s">
        <v>2685</v>
      </c>
      <c r="H806" s="7" t="s">
        <v>36</v>
      </c>
      <c r="I806" s="7" t="s">
        <v>14904</v>
      </c>
      <c r="J806" s="7" t="s">
        <v>6351</v>
      </c>
      <c r="K806" s="7" t="s">
        <v>14905</v>
      </c>
      <c r="L806" s="12">
        <v>1</v>
      </c>
      <c r="M806" s="7"/>
    </row>
    <row r="807" spans="2:13" ht="52.5" customHeight="1" x14ac:dyDescent="0.35">
      <c r="B807" s="11"/>
      <c r="C807" s="5" t="s">
        <v>14909</v>
      </c>
      <c r="D807" s="11">
        <v>18</v>
      </c>
      <c r="E807" s="5" t="s">
        <v>14910</v>
      </c>
      <c r="F807" s="5" t="s">
        <v>14911</v>
      </c>
      <c r="G807" s="5" t="s">
        <v>3283</v>
      </c>
      <c r="H807" s="5" t="s">
        <v>36</v>
      </c>
      <c r="I807" s="5" t="s">
        <v>14889</v>
      </c>
      <c r="J807" s="5" t="s">
        <v>6351</v>
      </c>
      <c r="K807" s="5" t="s">
        <v>14890</v>
      </c>
      <c r="L807" s="11">
        <v>1</v>
      </c>
      <c r="M807" s="5"/>
    </row>
    <row r="808" spans="2:13" ht="52.5" customHeight="1" x14ac:dyDescent="0.35">
      <c r="B808" s="12"/>
      <c r="C808" s="7" t="s">
        <v>14912</v>
      </c>
      <c r="D808" s="12">
        <v>19</v>
      </c>
      <c r="E808" s="7" t="s">
        <v>14913</v>
      </c>
      <c r="F808" s="7" t="s">
        <v>14914</v>
      </c>
      <c r="G808" s="7" t="s">
        <v>1073</v>
      </c>
      <c r="H808" s="7" t="s">
        <v>36</v>
      </c>
      <c r="I808" s="7" t="s">
        <v>14889</v>
      </c>
      <c r="J808" s="7" t="s">
        <v>14915</v>
      </c>
      <c r="K808" s="7" t="s">
        <v>14916</v>
      </c>
      <c r="L808" s="12">
        <v>1</v>
      </c>
      <c r="M808" s="7"/>
    </row>
    <row r="809" spans="2:13" ht="52.5" customHeight="1" x14ac:dyDescent="0.35">
      <c r="B809" s="11"/>
      <c r="C809" s="5" t="s">
        <v>14912</v>
      </c>
      <c r="D809" s="11">
        <v>20</v>
      </c>
      <c r="E809" s="5" t="s">
        <v>14917</v>
      </c>
      <c r="F809" s="5" t="s">
        <v>14918</v>
      </c>
      <c r="G809" s="5" t="s">
        <v>3283</v>
      </c>
      <c r="H809" s="5" t="s">
        <v>36</v>
      </c>
      <c r="I809" s="5" t="s">
        <v>14889</v>
      </c>
      <c r="J809" s="5" t="s">
        <v>14915</v>
      </c>
      <c r="K809" s="5" t="s">
        <v>14916</v>
      </c>
      <c r="L809" s="11">
        <v>1</v>
      </c>
      <c r="M809" s="5"/>
    </row>
    <row r="810" spans="2:13" ht="52.5" customHeight="1" x14ac:dyDescent="0.35">
      <c r="B810" s="12"/>
      <c r="C810" s="7" t="s">
        <v>14912</v>
      </c>
      <c r="D810" s="12">
        <v>21</v>
      </c>
      <c r="E810" s="7" t="s">
        <v>14919</v>
      </c>
      <c r="F810" s="7" t="s">
        <v>14920</v>
      </c>
      <c r="G810" s="7" t="s">
        <v>358</v>
      </c>
      <c r="H810" s="7" t="s">
        <v>36</v>
      </c>
      <c r="I810" s="7" t="s">
        <v>14889</v>
      </c>
      <c r="J810" s="7" t="s">
        <v>14921</v>
      </c>
      <c r="K810" s="7" t="s">
        <v>14922</v>
      </c>
      <c r="L810" s="12">
        <v>1</v>
      </c>
      <c r="M810" s="7"/>
    </row>
    <row r="811" spans="2:13" ht="67.5" customHeight="1" x14ac:dyDescent="0.35">
      <c r="B811" s="11"/>
      <c r="C811" s="5" t="s">
        <v>14912</v>
      </c>
      <c r="D811" s="11">
        <v>22</v>
      </c>
      <c r="E811" s="5" t="s">
        <v>14923</v>
      </c>
      <c r="F811" s="5" t="s">
        <v>14924</v>
      </c>
      <c r="G811" s="5" t="s">
        <v>244</v>
      </c>
      <c r="H811" s="5" t="s">
        <v>4662</v>
      </c>
      <c r="I811" s="5" t="s">
        <v>14925</v>
      </c>
      <c r="J811" s="5" t="s">
        <v>14926</v>
      </c>
      <c r="K811" s="5" t="s">
        <v>14927</v>
      </c>
      <c r="L811" s="11">
        <v>2</v>
      </c>
      <c r="M811" s="5"/>
    </row>
    <row r="812" spans="2:13" ht="52.5" customHeight="1" x14ac:dyDescent="0.35">
      <c r="B812" s="12">
        <v>45</v>
      </c>
      <c r="C812" s="7" t="s">
        <v>14928</v>
      </c>
      <c r="D812" s="12">
        <v>1</v>
      </c>
      <c r="E812" s="7" t="s">
        <v>14929</v>
      </c>
      <c r="F812" s="7" t="s">
        <v>14930</v>
      </c>
      <c r="G812" s="7" t="s">
        <v>28</v>
      </c>
      <c r="H812" s="7" t="s">
        <v>36</v>
      </c>
      <c r="I812" s="7" t="s">
        <v>14889</v>
      </c>
      <c r="J812" s="7" t="s">
        <v>1192</v>
      </c>
      <c r="K812" s="7" t="s">
        <v>14931</v>
      </c>
      <c r="L812" s="12">
        <v>1</v>
      </c>
      <c r="M812" s="7" t="s">
        <v>12491</v>
      </c>
    </row>
    <row r="813" spans="2:13" ht="52.5" customHeight="1" x14ac:dyDescent="0.35">
      <c r="B813" s="11">
        <v>45</v>
      </c>
      <c r="C813" s="5" t="s">
        <v>14928</v>
      </c>
      <c r="D813" s="11">
        <v>2</v>
      </c>
      <c r="E813" s="5" t="s">
        <v>14932</v>
      </c>
      <c r="F813" s="5" t="s">
        <v>14933</v>
      </c>
      <c r="G813" s="5" t="s">
        <v>395</v>
      </c>
      <c r="H813" s="5" t="s">
        <v>36</v>
      </c>
      <c r="I813" s="5" t="s">
        <v>14889</v>
      </c>
      <c r="J813" s="5" t="s">
        <v>1192</v>
      </c>
      <c r="K813" s="5" t="s">
        <v>14931</v>
      </c>
      <c r="L813" s="11">
        <v>1</v>
      </c>
      <c r="M813" s="5" t="s">
        <v>12491</v>
      </c>
    </row>
    <row r="814" spans="2:13" ht="52.5" customHeight="1" x14ac:dyDescent="0.35">
      <c r="B814" s="12">
        <v>46</v>
      </c>
      <c r="C814" s="7" t="s">
        <v>14934</v>
      </c>
      <c r="D814" s="12">
        <v>1</v>
      </c>
      <c r="E814" s="7" t="s">
        <v>14935</v>
      </c>
      <c r="F814" s="7" t="s">
        <v>14936</v>
      </c>
      <c r="G814" s="7" t="s">
        <v>1813</v>
      </c>
      <c r="H814" s="7" t="s">
        <v>36</v>
      </c>
      <c r="I814" s="7" t="s">
        <v>14937</v>
      </c>
      <c r="J814" s="7" t="s">
        <v>6351</v>
      </c>
      <c r="K814" s="7" t="s">
        <v>14938</v>
      </c>
      <c r="L814" s="12">
        <v>1</v>
      </c>
      <c r="M814" s="7" t="s">
        <v>12497</v>
      </c>
    </row>
    <row r="815" spans="2:13" ht="37.5" customHeight="1" x14ac:dyDescent="0.35">
      <c r="B815" s="11">
        <v>47</v>
      </c>
      <c r="C815" s="5" t="s">
        <v>14939</v>
      </c>
      <c r="D815" s="11">
        <v>1</v>
      </c>
      <c r="E815" s="5" t="s">
        <v>14940</v>
      </c>
      <c r="F815" s="5" t="s">
        <v>14941</v>
      </c>
      <c r="G815" s="5" t="s">
        <v>778</v>
      </c>
      <c r="H815" s="5" t="s">
        <v>36</v>
      </c>
      <c r="I815" s="5" t="s">
        <v>14942</v>
      </c>
      <c r="J815" s="5" t="s">
        <v>9046</v>
      </c>
      <c r="K815" s="5" t="s">
        <v>14943</v>
      </c>
      <c r="L815" s="11">
        <v>1</v>
      </c>
      <c r="M815" s="5" t="s">
        <v>12497</v>
      </c>
    </row>
    <row r="816" spans="2:13" ht="37.5" customHeight="1" x14ac:dyDescent="0.35">
      <c r="B816" s="12">
        <v>48</v>
      </c>
      <c r="C816" s="7" t="s">
        <v>14944</v>
      </c>
      <c r="D816" s="12">
        <v>1</v>
      </c>
      <c r="E816" s="7" t="s">
        <v>14945</v>
      </c>
      <c r="F816" s="7" t="s">
        <v>14946</v>
      </c>
      <c r="G816" s="7" t="s">
        <v>24</v>
      </c>
      <c r="H816" s="7" t="s">
        <v>39</v>
      </c>
      <c r="I816" s="7" t="s">
        <v>14947</v>
      </c>
      <c r="J816" s="7" t="s">
        <v>258</v>
      </c>
      <c r="K816" s="7" t="s">
        <v>14948</v>
      </c>
      <c r="L816" s="12">
        <v>1</v>
      </c>
      <c r="M816" s="7" t="s">
        <v>13143</v>
      </c>
    </row>
    <row r="817" spans="2:13" ht="37.5" customHeight="1" x14ac:dyDescent="0.35">
      <c r="B817" s="11">
        <v>48</v>
      </c>
      <c r="C817" s="5" t="s">
        <v>14944</v>
      </c>
      <c r="D817" s="11">
        <v>2</v>
      </c>
      <c r="E817" s="5" t="s">
        <v>14949</v>
      </c>
      <c r="F817" s="5" t="s">
        <v>14950</v>
      </c>
      <c r="G817" s="5" t="s">
        <v>212</v>
      </c>
      <c r="H817" s="5" t="s">
        <v>39</v>
      </c>
      <c r="I817" s="5" t="s">
        <v>14951</v>
      </c>
      <c r="J817" s="5" t="s">
        <v>258</v>
      </c>
      <c r="K817" s="5" t="s">
        <v>14952</v>
      </c>
      <c r="L817" s="11">
        <v>1</v>
      </c>
      <c r="M817" s="5" t="s">
        <v>13143</v>
      </c>
    </row>
    <row r="818" spans="2:13" ht="37.5" customHeight="1" x14ac:dyDescent="0.35">
      <c r="B818" s="12">
        <v>48</v>
      </c>
      <c r="C818" s="7" t="s">
        <v>14944</v>
      </c>
      <c r="D818" s="12">
        <v>3</v>
      </c>
      <c r="E818" s="7" t="s">
        <v>14953</v>
      </c>
      <c r="F818" s="7" t="s">
        <v>14954</v>
      </c>
      <c r="G818" s="7" t="s">
        <v>198</v>
      </c>
      <c r="H818" s="7" t="s">
        <v>39</v>
      </c>
      <c r="I818" s="7" t="s">
        <v>14951</v>
      </c>
      <c r="J818" s="7" t="s">
        <v>258</v>
      </c>
      <c r="K818" s="7" t="s">
        <v>14952</v>
      </c>
      <c r="L818" s="12">
        <v>1</v>
      </c>
      <c r="M818" s="7" t="s">
        <v>13143</v>
      </c>
    </row>
    <row r="819" spans="2:13" ht="37.5" customHeight="1" x14ac:dyDescent="0.35">
      <c r="B819" s="11">
        <v>48</v>
      </c>
      <c r="C819" s="5" t="s">
        <v>14944</v>
      </c>
      <c r="D819" s="11">
        <v>4</v>
      </c>
      <c r="E819" s="5" t="s">
        <v>14955</v>
      </c>
      <c r="F819" s="5" t="s">
        <v>14956</v>
      </c>
      <c r="G819" s="5" t="s">
        <v>457</v>
      </c>
      <c r="H819" s="5" t="s">
        <v>14957</v>
      </c>
      <c r="I819" s="5" t="s">
        <v>14958</v>
      </c>
      <c r="J819" s="5" t="s">
        <v>14959</v>
      </c>
      <c r="K819" s="5" t="s">
        <v>14960</v>
      </c>
      <c r="L819" s="11">
        <v>2</v>
      </c>
      <c r="M819" s="5" t="s">
        <v>13143</v>
      </c>
    </row>
    <row r="820" spans="2:13" ht="37.5" customHeight="1" x14ac:dyDescent="0.35">
      <c r="B820" s="12">
        <v>48</v>
      </c>
      <c r="C820" s="7" t="s">
        <v>14944</v>
      </c>
      <c r="D820" s="12">
        <v>5</v>
      </c>
      <c r="E820" s="7" t="s">
        <v>14961</v>
      </c>
      <c r="F820" s="7" t="s">
        <v>14962</v>
      </c>
      <c r="G820" s="7" t="s">
        <v>28</v>
      </c>
      <c r="H820" s="7" t="s">
        <v>39</v>
      </c>
      <c r="I820" s="7" t="s">
        <v>14951</v>
      </c>
      <c r="J820" s="7" t="s">
        <v>258</v>
      </c>
      <c r="K820" s="7" t="s">
        <v>14952</v>
      </c>
      <c r="L820" s="12">
        <v>1</v>
      </c>
      <c r="M820" s="7" t="s">
        <v>13143</v>
      </c>
    </row>
    <row r="821" spans="2:13" ht="21.75" customHeight="1" x14ac:dyDescent="0.35">
      <c r="B821" s="11">
        <v>48</v>
      </c>
      <c r="C821" s="5" t="s">
        <v>14944</v>
      </c>
      <c r="D821" s="11">
        <v>6</v>
      </c>
      <c r="E821" s="5" t="s">
        <v>14963</v>
      </c>
      <c r="F821" s="5" t="s">
        <v>14964</v>
      </c>
      <c r="G821" s="5" t="s">
        <v>918</v>
      </c>
      <c r="H821" s="5" t="s">
        <v>39</v>
      </c>
      <c r="I821" s="5" t="s">
        <v>14965</v>
      </c>
      <c r="J821" s="5" t="s">
        <v>258</v>
      </c>
      <c r="K821" s="5" t="s">
        <v>14966</v>
      </c>
      <c r="L821" s="11">
        <v>1</v>
      </c>
      <c r="M821" s="5" t="s">
        <v>13143</v>
      </c>
    </row>
    <row r="822" spans="2:13" ht="37.5" customHeight="1" x14ac:dyDescent="0.35">
      <c r="B822" s="12">
        <v>48</v>
      </c>
      <c r="C822" s="7" t="s">
        <v>14944</v>
      </c>
      <c r="D822" s="12">
        <v>7</v>
      </c>
      <c r="E822" s="7" t="s">
        <v>14967</v>
      </c>
      <c r="F822" s="7" t="s">
        <v>14968</v>
      </c>
      <c r="G822" s="7" t="s">
        <v>766</v>
      </c>
      <c r="H822" s="7" t="s">
        <v>39</v>
      </c>
      <c r="I822" s="7" t="s">
        <v>14965</v>
      </c>
      <c r="J822" s="7" t="s">
        <v>258</v>
      </c>
      <c r="K822" s="7" t="s">
        <v>14966</v>
      </c>
      <c r="L822" s="12">
        <v>1</v>
      </c>
      <c r="M822" s="7" t="s">
        <v>13143</v>
      </c>
    </row>
    <row r="823" spans="2:13" ht="37.5" customHeight="1" x14ac:dyDescent="0.35">
      <c r="B823" s="11">
        <v>48</v>
      </c>
      <c r="C823" s="5" t="s">
        <v>14944</v>
      </c>
      <c r="D823" s="11">
        <v>8</v>
      </c>
      <c r="E823" s="5" t="s">
        <v>14969</v>
      </c>
      <c r="F823" s="5" t="s">
        <v>14970</v>
      </c>
      <c r="G823" s="5" t="s">
        <v>26</v>
      </c>
      <c r="H823" s="5" t="s">
        <v>39</v>
      </c>
      <c r="I823" s="5" t="s">
        <v>14951</v>
      </c>
      <c r="J823" s="5" t="s">
        <v>258</v>
      </c>
      <c r="K823" s="5" t="s">
        <v>14952</v>
      </c>
      <c r="L823" s="11">
        <v>1</v>
      </c>
      <c r="M823" s="5" t="s">
        <v>13143</v>
      </c>
    </row>
    <row r="824" spans="2:13" ht="52.5" customHeight="1" x14ac:dyDescent="0.35">
      <c r="B824" s="12">
        <v>48</v>
      </c>
      <c r="C824" s="7" t="s">
        <v>14944</v>
      </c>
      <c r="D824" s="12">
        <v>9</v>
      </c>
      <c r="E824" s="7" t="s">
        <v>14971</v>
      </c>
      <c r="F824" s="7" t="s">
        <v>14972</v>
      </c>
      <c r="G824" s="7" t="s">
        <v>428</v>
      </c>
      <c r="H824" s="7" t="s">
        <v>39</v>
      </c>
      <c r="I824" s="7" t="s">
        <v>14973</v>
      </c>
      <c r="J824" s="7" t="s">
        <v>258</v>
      </c>
      <c r="K824" s="7" t="s">
        <v>14974</v>
      </c>
      <c r="L824" s="12">
        <v>1</v>
      </c>
      <c r="M824" s="7" t="s">
        <v>13143</v>
      </c>
    </row>
    <row r="825" spans="2:13" ht="37.5" customHeight="1" x14ac:dyDescent="0.35">
      <c r="B825" s="11">
        <v>48</v>
      </c>
      <c r="C825" s="5" t="s">
        <v>14944</v>
      </c>
      <c r="D825" s="11">
        <v>10</v>
      </c>
      <c r="E825" s="5" t="s">
        <v>14975</v>
      </c>
      <c r="F825" s="5" t="s">
        <v>14976</v>
      </c>
      <c r="G825" s="5" t="s">
        <v>736</v>
      </c>
      <c r="H825" s="5" t="s">
        <v>39</v>
      </c>
      <c r="I825" s="5" t="s">
        <v>14977</v>
      </c>
      <c r="J825" s="5" t="s">
        <v>258</v>
      </c>
      <c r="K825" s="5" t="s">
        <v>14978</v>
      </c>
      <c r="L825" s="11">
        <v>1</v>
      </c>
      <c r="M825" s="5" t="s">
        <v>13143</v>
      </c>
    </row>
    <row r="826" spans="2:13" ht="37.5" customHeight="1" x14ac:dyDescent="0.35">
      <c r="B826" s="12">
        <v>48</v>
      </c>
      <c r="C826" s="7" t="s">
        <v>14944</v>
      </c>
      <c r="D826" s="12">
        <v>11</v>
      </c>
      <c r="E826" s="7" t="s">
        <v>14979</v>
      </c>
      <c r="F826" s="7" t="s">
        <v>14980</v>
      </c>
      <c r="G826" s="7" t="s">
        <v>788</v>
      </c>
      <c r="H826" s="7" t="s">
        <v>39</v>
      </c>
      <c r="I826" s="7" t="s">
        <v>14977</v>
      </c>
      <c r="J826" s="7" t="s">
        <v>258</v>
      </c>
      <c r="K826" s="7" t="s">
        <v>14978</v>
      </c>
      <c r="L826" s="12">
        <v>1</v>
      </c>
      <c r="M826" s="7" t="s">
        <v>13143</v>
      </c>
    </row>
    <row r="827" spans="2:13" ht="52.5" customHeight="1" x14ac:dyDescent="0.35">
      <c r="B827" s="11">
        <v>48</v>
      </c>
      <c r="C827" s="5" t="s">
        <v>14944</v>
      </c>
      <c r="D827" s="11">
        <v>12</v>
      </c>
      <c r="E827" s="5" t="s">
        <v>14981</v>
      </c>
      <c r="F827" s="5" t="s">
        <v>14982</v>
      </c>
      <c r="G827" s="5" t="s">
        <v>733</v>
      </c>
      <c r="H827" s="5" t="s">
        <v>37</v>
      </c>
      <c r="I827" s="5" t="s">
        <v>14983</v>
      </c>
      <c r="J827" s="5" t="s">
        <v>14984</v>
      </c>
      <c r="K827" s="5" t="s">
        <v>14985</v>
      </c>
      <c r="L827" s="11">
        <v>1</v>
      </c>
      <c r="M827" s="5" t="s">
        <v>13143</v>
      </c>
    </row>
    <row r="828" spans="2:13" ht="37.5" customHeight="1" x14ac:dyDescent="0.35">
      <c r="B828" s="12">
        <v>48</v>
      </c>
      <c r="C828" s="7" t="s">
        <v>14944</v>
      </c>
      <c r="D828" s="12">
        <v>13</v>
      </c>
      <c r="E828" s="7" t="s">
        <v>14986</v>
      </c>
      <c r="F828" s="7" t="s">
        <v>14987</v>
      </c>
      <c r="G828" s="7" t="s">
        <v>761</v>
      </c>
      <c r="H828" s="7" t="s">
        <v>37</v>
      </c>
      <c r="I828" s="7" t="s">
        <v>13485</v>
      </c>
      <c r="J828" s="7" t="s">
        <v>14984</v>
      </c>
      <c r="K828" s="7" t="s">
        <v>14988</v>
      </c>
      <c r="L828" s="12">
        <v>1</v>
      </c>
      <c r="M828" s="7" t="s">
        <v>13143</v>
      </c>
    </row>
    <row r="829" spans="2:13" ht="52.5" customHeight="1" x14ac:dyDescent="0.35">
      <c r="B829" s="11">
        <v>48</v>
      </c>
      <c r="C829" s="5" t="s">
        <v>14944</v>
      </c>
      <c r="D829" s="11">
        <v>14</v>
      </c>
      <c r="E829" s="5" t="s">
        <v>14989</v>
      </c>
      <c r="F829" s="5" t="s">
        <v>14990</v>
      </c>
      <c r="G829" s="5" t="s">
        <v>800</v>
      </c>
      <c r="H829" s="5" t="s">
        <v>301</v>
      </c>
      <c r="I829" s="5" t="s">
        <v>14991</v>
      </c>
      <c r="J829" s="5" t="s">
        <v>14992</v>
      </c>
      <c r="K829" s="5" t="s">
        <v>14993</v>
      </c>
      <c r="L829" s="11">
        <v>2</v>
      </c>
      <c r="M829" s="5" t="s">
        <v>13143</v>
      </c>
    </row>
    <row r="830" spans="2:13" ht="52.5" customHeight="1" x14ac:dyDescent="0.35">
      <c r="B830" s="12">
        <v>48</v>
      </c>
      <c r="C830" s="7" t="s">
        <v>14944</v>
      </c>
      <c r="D830" s="12">
        <v>15</v>
      </c>
      <c r="E830" s="7" t="s">
        <v>14994</v>
      </c>
      <c r="F830" s="7" t="s">
        <v>14995</v>
      </c>
      <c r="G830" s="7" t="s">
        <v>188</v>
      </c>
      <c r="H830" s="7" t="s">
        <v>38</v>
      </c>
      <c r="I830" s="7" t="s">
        <v>14996</v>
      </c>
      <c r="J830" s="7" t="s">
        <v>14984</v>
      </c>
      <c r="K830" s="7" t="s">
        <v>14997</v>
      </c>
      <c r="L830" s="12">
        <v>1</v>
      </c>
      <c r="M830" s="7" t="s">
        <v>13143</v>
      </c>
    </row>
    <row r="831" spans="2:13" ht="67.5" customHeight="1" x14ac:dyDescent="0.35">
      <c r="B831" s="11">
        <v>48</v>
      </c>
      <c r="C831" s="5" t="s">
        <v>14944</v>
      </c>
      <c r="D831" s="11">
        <v>16</v>
      </c>
      <c r="E831" s="5" t="s">
        <v>14998</v>
      </c>
      <c r="F831" s="5" t="s">
        <v>14999</v>
      </c>
      <c r="G831" s="5" t="s">
        <v>497</v>
      </c>
      <c r="H831" s="5" t="s">
        <v>15000</v>
      </c>
      <c r="I831" s="5" t="s">
        <v>15001</v>
      </c>
      <c r="J831" s="5" t="s">
        <v>15002</v>
      </c>
      <c r="K831" s="5" t="s">
        <v>15003</v>
      </c>
      <c r="L831" s="11">
        <v>2</v>
      </c>
      <c r="M831" s="5" t="s">
        <v>13143</v>
      </c>
    </row>
    <row r="832" spans="2:13" ht="67.5" customHeight="1" x14ac:dyDescent="0.35">
      <c r="B832" s="12">
        <v>48</v>
      </c>
      <c r="C832" s="7" t="s">
        <v>14944</v>
      </c>
      <c r="D832" s="12">
        <v>17</v>
      </c>
      <c r="E832" s="7" t="s">
        <v>15004</v>
      </c>
      <c r="F832" s="7" t="s">
        <v>15005</v>
      </c>
      <c r="G832" s="7" t="s">
        <v>993</v>
      </c>
      <c r="H832" s="7" t="s">
        <v>301</v>
      </c>
      <c r="I832" s="7" t="s">
        <v>15006</v>
      </c>
      <c r="J832" s="7" t="s">
        <v>15007</v>
      </c>
      <c r="K832" s="7" t="s">
        <v>15008</v>
      </c>
      <c r="L832" s="12">
        <v>2</v>
      </c>
      <c r="M832" s="7" t="s">
        <v>13143</v>
      </c>
    </row>
    <row r="833" spans="2:13" ht="37.5" customHeight="1" x14ac:dyDescent="0.35">
      <c r="B833" s="11">
        <v>48</v>
      </c>
      <c r="C833" s="5" t="s">
        <v>14944</v>
      </c>
      <c r="D833" s="11">
        <v>18</v>
      </c>
      <c r="E833" s="5" t="s">
        <v>15009</v>
      </c>
      <c r="F833" s="5" t="s">
        <v>15010</v>
      </c>
      <c r="G833" s="5" t="s">
        <v>32</v>
      </c>
      <c r="H833" s="5" t="s">
        <v>39</v>
      </c>
      <c r="I833" s="5" t="s">
        <v>13316</v>
      </c>
      <c r="J833" s="5" t="s">
        <v>258</v>
      </c>
      <c r="K833" s="5" t="s">
        <v>13317</v>
      </c>
      <c r="L833" s="11">
        <v>1</v>
      </c>
      <c r="M833" s="5" t="s">
        <v>13143</v>
      </c>
    </row>
    <row r="834" spans="2:13" ht="37.5" customHeight="1" x14ac:dyDescent="0.35">
      <c r="B834" s="12">
        <v>48</v>
      </c>
      <c r="C834" s="7" t="s">
        <v>14944</v>
      </c>
      <c r="D834" s="12">
        <v>19</v>
      </c>
      <c r="E834" s="7" t="s">
        <v>15011</v>
      </c>
      <c r="F834" s="7" t="s">
        <v>15012</v>
      </c>
      <c r="G834" s="7" t="s">
        <v>31</v>
      </c>
      <c r="H834" s="7" t="s">
        <v>39</v>
      </c>
      <c r="I834" s="7" t="s">
        <v>13316</v>
      </c>
      <c r="J834" s="7" t="s">
        <v>258</v>
      </c>
      <c r="K834" s="7" t="s">
        <v>13317</v>
      </c>
      <c r="L834" s="12">
        <v>1</v>
      </c>
      <c r="M834" s="7" t="s">
        <v>13143</v>
      </c>
    </row>
    <row r="835" spans="2:13" ht="37.5" customHeight="1" x14ac:dyDescent="0.35">
      <c r="B835" s="11">
        <v>48</v>
      </c>
      <c r="C835" s="5" t="s">
        <v>14944</v>
      </c>
      <c r="D835" s="11">
        <v>20</v>
      </c>
      <c r="E835" s="5" t="s">
        <v>15013</v>
      </c>
      <c r="F835" s="5" t="s">
        <v>15014</v>
      </c>
      <c r="G835" s="5" t="s">
        <v>30</v>
      </c>
      <c r="H835" s="5" t="s">
        <v>39</v>
      </c>
      <c r="I835" s="5" t="s">
        <v>13316</v>
      </c>
      <c r="J835" s="5" t="s">
        <v>258</v>
      </c>
      <c r="K835" s="5" t="s">
        <v>13317</v>
      </c>
      <c r="L835" s="11">
        <v>1</v>
      </c>
      <c r="M835" s="5" t="s">
        <v>13143</v>
      </c>
    </row>
    <row r="836" spans="2:13" ht="37.5" customHeight="1" x14ac:dyDescent="0.35">
      <c r="B836" s="12">
        <v>48</v>
      </c>
      <c r="C836" s="7" t="s">
        <v>14944</v>
      </c>
      <c r="D836" s="12">
        <v>21</v>
      </c>
      <c r="E836" s="7" t="s">
        <v>15015</v>
      </c>
      <c r="F836" s="7" t="s">
        <v>15016</v>
      </c>
      <c r="G836" s="7" t="s">
        <v>973</v>
      </c>
      <c r="H836" s="7" t="s">
        <v>41</v>
      </c>
      <c r="I836" s="7" t="s">
        <v>15017</v>
      </c>
      <c r="J836" s="7" t="s">
        <v>258</v>
      </c>
      <c r="K836" s="7" t="s">
        <v>15018</v>
      </c>
      <c r="L836" s="12">
        <v>1</v>
      </c>
      <c r="M836" s="7" t="s">
        <v>13143</v>
      </c>
    </row>
    <row r="837" spans="2:13" ht="37.5" customHeight="1" x14ac:dyDescent="0.35">
      <c r="B837" s="11">
        <v>48</v>
      </c>
      <c r="C837" s="5" t="s">
        <v>14944</v>
      </c>
      <c r="D837" s="11">
        <v>22</v>
      </c>
      <c r="E837" s="5" t="s">
        <v>15019</v>
      </c>
      <c r="F837" s="5" t="s">
        <v>15020</v>
      </c>
      <c r="G837" s="5" t="s">
        <v>557</v>
      </c>
      <c r="H837" s="5" t="s">
        <v>39</v>
      </c>
      <c r="I837" s="5" t="s">
        <v>14977</v>
      </c>
      <c r="J837" s="5" t="s">
        <v>258</v>
      </c>
      <c r="K837" s="5" t="s">
        <v>14978</v>
      </c>
      <c r="L837" s="11">
        <v>1</v>
      </c>
      <c r="M837" s="5" t="s">
        <v>13143</v>
      </c>
    </row>
    <row r="838" spans="2:13" ht="37.5" customHeight="1" x14ac:dyDescent="0.35">
      <c r="B838" s="12">
        <v>48</v>
      </c>
      <c r="C838" s="7" t="s">
        <v>14944</v>
      </c>
      <c r="D838" s="12">
        <v>23</v>
      </c>
      <c r="E838" s="7" t="s">
        <v>15021</v>
      </c>
      <c r="F838" s="7" t="s">
        <v>15022</v>
      </c>
      <c r="G838" s="7" t="s">
        <v>15023</v>
      </c>
      <c r="H838" s="7" t="s">
        <v>39</v>
      </c>
      <c r="I838" s="7" t="s">
        <v>14977</v>
      </c>
      <c r="J838" s="7" t="s">
        <v>258</v>
      </c>
      <c r="K838" s="7" t="s">
        <v>14978</v>
      </c>
      <c r="L838" s="12">
        <v>1</v>
      </c>
      <c r="M838" s="7" t="s">
        <v>13143</v>
      </c>
    </row>
    <row r="839" spans="2:13" ht="37.5" customHeight="1" x14ac:dyDescent="0.35">
      <c r="B839" s="11">
        <v>48</v>
      </c>
      <c r="C839" s="5" t="s">
        <v>14944</v>
      </c>
      <c r="D839" s="11">
        <v>24</v>
      </c>
      <c r="E839" s="5" t="s">
        <v>15024</v>
      </c>
      <c r="F839" s="5" t="s">
        <v>15025</v>
      </c>
      <c r="G839" s="5" t="s">
        <v>395</v>
      </c>
      <c r="H839" s="5" t="s">
        <v>39</v>
      </c>
      <c r="I839" s="5" t="s">
        <v>14977</v>
      </c>
      <c r="J839" s="5" t="s">
        <v>258</v>
      </c>
      <c r="K839" s="5" t="s">
        <v>14978</v>
      </c>
      <c r="L839" s="11">
        <v>1</v>
      </c>
      <c r="M839" s="5" t="s">
        <v>13143</v>
      </c>
    </row>
    <row r="840" spans="2:13" ht="21.75" customHeight="1" x14ac:dyDescent="0.35">
      <c r="B840" s="12">
        <v>48</v>
      </c>
      <c r="C840" s="7" t="s">
        <v>14944</v>
      </c>
      <c r="D840" s="12">
        <v>25</v>
      </c>
      <c r="E840" s="7" t="s">
        <v>15026</v>
      </c>
      <c r="F840" s="7" t="s">
        <v>15027</v>
      </c>
      <c r="G840" s="7" t="s">
        <v>402</v>
      </c>
      <c r="H840" s="7" t="s">
        <v>1948</v>
      </c>
      <c r="I840" s="7" t="s">
        <v>15028</v>
      </c>
      <c r="J840" s="7" t="s">
        <v>2371</v>
      </c>
      <c r="K840" s="7" t="s">
        <v>15029</v>
      </c>
      <c r="L840" s="12">
        <v>1</v>
      </c>
      <c r="M840" s="7" t="s">
        <v>13143</v>
      </c>
    </row>
    <row r="841" spans="2:13" ht="67.5" customHeight="1" x14ac:dyDescent="0.35">
      <c r="B841" s="11">
        <v>48</v>
      </c>
      <c r="C841" s="5" t="s">
        <v>14944</v>
      </c>
      <c r="D841" s="11">
        <v>26</v>
      </c>
      <c r="E841" s="5" t="s">
        <v>15030</v>
      </c>
      <c r="F841" s="5" t="s">
        <v>15031</v>
      </c>
      <c r="G841" s="5" t="s">
        <v>15032</v>
      </c>
      <c r="H841" s="5" t="s">
        <v>301</v>
      </c>
      <c r="I841" s="5" t="s">
        <v>15033</v>
      </c>
      <c r="J841" s="5" t="s">
        <v>15007</v>
      </c>
      <c r="K841" s="5" t="s">
        <v>15034</v>
      </c>
      <c r="L841" s="11">
        <v>2</v>
      </c>
      <c r="M841" s="5" t="s">
        <v>13143</v>
      </c>
    </row>
    <row r="842" spans="2:13" ht="52.5" customHeight="1" x14ac:dyDescent="0.35">
      <c r="B842" s="12">
        <v>48</v>
      </c>
      <c r="C842" s="7" t="s">
        <v>14944</v>
      </c>
      <c r="D842" s="12">
        <v>27</v>
      </c>
      <c r="E842" s="7" t="s">
        <v>15035</v>
      </c>
      <c r="F842" s="7" t="s">
        <v>15036</v>
      </c>
      <c r="G842" s="7" t="s">
        <v>877</v>
      </c>
      <c r="H842" s="7" t="s">
        <v>15000</v>
      </c>
      <c r="I842" s="7" t="s">
        <v>15037</v>
      </c>
      <c r="J842" s="7" t="s">
        <v>15038</v>
      </c>
      <c r="K842" s="7" t="s">
        <v>15039</v>
      </c>
      <c r="L842" s="12">
        <v>2</v>
      </c>
      <c r="M842" s="7" t="s">
        <v>13143</v>
      </c>
    </row>
    <row r="843" spans="2:13" ht="37.5" customHeight="1" x14ac:dyDescent="0.35">
      <c r="B843" s="11">
        <v>48</v>
      </c>
      <c r="C843" s="5" t="s">
        <v>14944</v>
      </c>
      <c r="D843" s="11">
        <v>28</v>
      </c>
      <c r="E843" s="5" t="s">
        <v>15040</v>
      </c>
      <c r="F843" s="5" t="s">
        <v>15041</v>
      </c>
      <c r="G843" s="5" t="s">
        <v>1226</v>
      </c>
      <c r="H843" s="5" t="s">
        <v>39</v>
      </c>
      <c r="I843" s="5" t="s">
        <v>15042</v>
      </c>
      <c r="J843" s="5" t="s">
        <v>258</v>
      </c>
      <c r="K843" s="5" t="s">
        <v>15043</v>
      </c>
      <c r="L843" s="11">
        <v>1</v>
      </c>
      <c r="M843" s="5" t="s">
        <v>13143</v>
      </c>
    </row>
    <row r="844" spans="2:13" ht="37.5" customHeight="1" x14ac:dyDescent="0.35">
      <c r="B844" s="12">
        <v>48</v>
      </c>
      <c r="C844" s="7" t="s">
        <v>14944</v>
      </c>
      <c r="D844" s="12">
        <v>29</v>
      </c>
      <c r="E844" s="7" t="s">
        <v>15044</v>
      </c>
      <c r="F844" s="7" t="s">
        <v>15045</v>
      </c>
      <c r="G844" s="7" t="s">
        <v>541</v>
      </c>
      <c r="H844" s="7" t="s">
        <v>39</v>
      </c>
      <c r="I844" s="7" t="s">
        <v>13251</v>
      </c>
      <c r="J844" s="7" t="s">
        <v>258</v>
      </c>
      <c r="K844" s="7" t="s">
        <v>13252</v>
      </c>
      <c r="L844" s="12">
        <v>1</v>
      </c>
      <c r="M844" s="7" t="s">
        <v>13143</v>
      </c>
    </row>
    <row r="845" spans="2:13" ht="37.5" customHeight="1" x14ac:dyDescent="0.35">
      <c r="B845" s="11">
        <v>48</v>
      </c>
      <c r="C845" s="5" t="s">
        <v>14944</v>
      </c>
      <c r="D845" s="11">
        <v>30</v>
      </c>
      <c r="E845" s="5" t="s">
        <v>15046</v>
      </c>
      <c r="F845" s="5" t="s">
        <v>15047</v>
      </c>
      <c r="G845" s="5" t="s">
        <v>202</v>
      </c>
      <c r="H845" s="5" t="s">
        <v>39</v>
      </c>
      <c r="I845" s="5" t="s">
        <v>13251</v>
      </c>
      <c r="J845" s="5" t="s">
        <v>258</v>
      </c>
      <c r="K845" s="5" t="s">
        <v>13252</v>
      </c>
      <c r="L845" s="11">
        <v>1</v>
      </c>
      <c r="M845" s="5" t="s">
        <v>13143</v>
      </c>
    </row>
    <row r="846" spans="2:13" ht="52.5" customHeight="1" x14ac:dyDescent="0.35">
      <c r="B846" s="12">
        <v>48</v>
      </c>
      <c r="C846" s="7" t="s">
        <v>14944</v>
      </c>
      <c r="D846" s="12">
        <v>31</v>
      </c>
      <c r="E846" s="7" t="s">
        <v>15048</v>
      </c>
      <c r="F846" s="7" t="s">
        <v>15049</v>
      </c>
      <c r="G846" s="7" t="s">
        <v>924</v>
      </c>
      <c r="H846" s="7" t="s">
        <v>36</v>
      </c>
      <c r="I846" s="7" t="s">
        <v>12950</v>
      </c>
      <c r="J846" s="7" t="s">
        <v>1107</v>
      </c>
      <c r="K846" s="7" t="s">
        <v>15050</v>
      </c>
      <c r="L846" s="12">
        <v>1</v>
      </c>
      <c r="M846" s="7" t="s">
        <v>13143</v>
      </c>
    </row>
    <row r="847" spans="2:13" ht="37.5" customHeight="1" x14ac:dyDescent="0.35">
      <c r="B847" s="11">
        <v>48</v>
      </c>
      <c r="C847" s="5" t="s">
        <v>14944</v>
      </c>
      <c r="D847" s="11">
        <v>32</v>
      </c>
      <c r="E847" s="5" t="s">
        <v>15051</v>
      </c>
      <c r="F847" s="5" t="s">
        <v>15052</v>
      </c>
      <c r="G847" s="5" t="s">
        <v>625</v>
      </c>
      <c r="H847" s="5" t="s">
        <v>39</v>
      </c>
      <c r="I847" s="5" t="s">
        <v>13251</v>
      </c>
      <c r="J847" s="5" t="s">
        <v>258</v>
      </c>
      <c r="K847" s="5" t="s">
        <v>13252</v>
      </c>
      <c r="L847" s="11">
        <v>1</v>
      </c>
      <c r="M847" s="5" t="s">
        <v>13143</v>
      </c>
    </row>
    <row r="848" spans="2:13" ht="37.5" customHeight="1" x14ac:dyDescent="0.35">
      <c r="B848" s="12">
        <v>48</v>
      </c>
      <c r="C848" s="7" t="s">
        <v>14944</v>
      </c>
      <c r="D848" s="12">
        <v>33</v>
      </c>
      <c r="E848" s="7" t="s">
        <v>15053</v>
      </c>
      <c r="F848" s="7" t="s">
        <v>15054</v>
      </c>
      <c r="G848" s="7" t="s">
        <v>842</v>
      </c>
      <c r="H848" s="7" t="s">
        <v>39</v>
      </c>
      <c r="I848" s="7" t="s">
        <v>13251</v>
      </c>
      <c r="J848" s="7" t="s">
        <v>258</v>
      </c>
      <c r="K848" s="7" t="s">
        <v>13252</v>
      </c>
      <c r="L848" s="12">
        <v>1</v>
      </c>
      <c r="M848" s="7" t="s">
        <v>13143</v>
      </c>
    </row>
    <row r="849" spans="2:13" ht="67.5" customHeight="1" x14ac:dyDescent="0.35">
      <c r="B849" s="11">
        <v>48</v>
      </c>
      <c r="C849" s="5" t="s">
        <v>14944</v>
      </c>
      <c r="D849" s="11">
        <v>34</v>
      </c>
      <c r="E849" s="5" t="s">
        <v>15055</v>
      </c>
      <c r="F849" s="5" t="s">
        <v>15056</v>
      </c>
      <c r="G849" s="5" t="s">
        <v>742</v>
      </c>
      <c r="H849" s="5" t="s">
        <v>15000</v>
      </c>
      <c r="I849" s="5" t="s">
        <v>15057</v>
      </c>
      <c r="J849" s="5" t="s">
        <v>15007</v>
      </c>
      <c r="K849" s="5" t="s">
        <v>15058</v>
      </c>
      <c r="L849" s="11">
        <v>2</v>
      </c>
      <c r="M849" s="5" t="s">
        <v>13143</v>
      </c>
    </row>
    <row r="850" spans="2:13" ht="37.5" customHeight="1" x14ac:dyDescent="0.35">
      <c r="B850" s="12">
        <v>48</v>
      </c>
      <c r="C850" s="7" t="s">
        <v>14944</v>
      </c>
      <c r="D850" s="12">
        <v>35</v>
      </c>
      <c r="E850" s="7" t="s">
        <v>15059</v>
      </c>
      <c r="F850" s="7" t="s">
        <v>15060</v>
      </c>
      <c r="G850" s="7" t="s">
        <v>2341</v>
      </c>
      <c r="H850" s="7" t="s">
        <v>38</v>
      </c>
      <c r="I850" s="7" t="s">
        <v>14977</v>
      </c>
      <c r="J850" s="7" t="s">
        <v>8704</v>
      </c>
      <c r="K850" s="7" t="s">
        <v>15061</v>
      </c>
      <c r="L850" s="12">
        <v>1</v>
      </c>
      <c r="M850" s="7" t="s">
        <v>13143</v>
      </c>
    </row>
    <row r="851" spans="2:13" ht="37.5" customHeight="1" x14ac:dyDescent="0.35">
      <c r="B851" s="11">
        <v>48</v>
      </c>
      <c r="C851" s="5" t="s">
        <v>14944</v>
      </c>
      <c r="D851" s="11">
        <v>36</v>
      </c>
      <c r="E851" s="5" t="s">
        <v>15062</v>
      </c>
      <c r="F851" s="5" t="s">
        <v>15063</v>
      </c>
      <c r="G851" s="5" t="s">
        <v>4786</v>
      </c>
      <c r="H851" s="5" t="s">
        <v>38</v>
      </c>
      <c r="I851" s="5" t="s">
        <v>14977</v>
      </c>
      <c r="J851" s="5" t="s">
        <v>8704</v>
      </c>
      <c r="K851" s="5" t="s">
        <v>15061</v>
      </c>
      <c r="L851" s="11">
        <v>1</v>
      </c>
      <c r="M851" s="5" t="s">
        <v>13143</v>
      </c>
    </row>
    <row r="852" spans="2:13" ht="37.5" customHeight="1" x14ac:dyDescent="0.35">
      <c r="B852" s="12">
        <v>48</v>
      </c>
      <c r="C852" s="7" t="s">
        <v>14944</v>
      </c>
      <c r="D852" s="12">
        <v>37</v>
      </c>
      <c r="E852" s="7" t="s">
        <v>15064</v>
      </c>
      <c r="F852" s="7" t="s">
        <v>15065</v>
      </c>
      <c r="G852" s="7" t="s">
        <v>4908</v>
      </c>
      <c r="H852" s="7" t="s">
        <v>39</v>
      </c>
      <c r="I852" s="7" t="s">
        <v>15042</v>
      </c>
      <c r="J852" s="7" t="s">
        <v>258</v>
      </c>
      <c r="K852" s="7" t="s">
        <v>15043</v>
      </c>
      <c r="L852" s="12">
        <v>1</v>
      </c>
      <c r="M852" s="7" t="s">
        <v>13143</v>
      </c>
    </row>
    <row r="853" spans="2:13" ht="37.5" customHeight="1" x14ac:dyDescent="0.35">
      <c r="B853" s="11">
        <v>48</v>
      </c>
      <c r="C853" s="5" t="s">
        <v>14944</v>
      </c>
      <c r="D853" s="11">
        <v>38</v>
      </c>
      <c r="E853" s="5" t="s">
        <v>15066</v>
      </c>
      <c r="F853" s="5" t="s">
        <v>15067</v>
      </c>
      <c r="G853" s="5" t="s">
        <v>862</v>
      </c>
      <c r="H853" s="5" t="s">
        <v>39</v>
      </c>
      <c r="I853" s="5" t="s">
        <v>15042</v>
      </c>
      <c r="J853" s="5" t="s">
        <v>258</v>
      </c>
      <c r="K853" s="5" t="s">
        <v>15043</v>
      </c>
      <c r="L853" s="11">
        <v>1</v>
      </c>
      <c r="M853" s="5" t="s">
        <v>13143</v>
      </c>
    </row>
    <row r="854" spans="2:13" ht="37.5" customHeight="1" x14ac:dyDescent="0.35">
      <c r="B854" s="12">
        <v>48</v>
      </c>
      <c r="C854" s="7" t="s">
        <v>14944</v>
      </c>
      <c r="D854" s="12">
        <v>39</v>
      </c>
      <c r="E854" s="7" t="s">
        <v>15068</v>
      </c>
      <c r="F854" s="7" t="s">
        <v>15069</v>
      </c>
      <c r="G854" s="7" t="s">
        <v>828</v>
      </c>
      <c r="H854" s="7" t="s">
        <v>39</v>
      </c>
      <c r="I854" s="7" t="s">
        <v>15042</v>
      </c>
      <c r="J854" s="7" t="s">
        <v>258</v>
      </c>
      <c r="K854" s="7" t="s">
        <v>15043</v>
      </c>
      <c r="L854" s="12">
        <v>1</v>
      </c>
      <c r="M854" s="7" t="s">
        <v>13143</v>
      </c>
    </row>
    <row r="855" spans="2:13" ht="37.5" customHeight="1" x14ac:dyDescent="0.35">
      <c r="B855" s="11">
        <v>48</v>
      </c>
      <c r="C855" s="5" t="s">
        <v>14944</v>
      </c>
      <c r="D855" s="11">
        <v>40</v>
      </c>
      <c r="E855" s="5" t="s">
        <v>15070</v>
      </c>
      <c r="F855" s="5" t="s">
        <v>15071</v>
      </c>
      <c r="G855" s="5" t="s">
        <v>927</v>
      </c>
      <c r="H855" s="5" t="s">
        <v>39</v>
      </c>
      <c r="I855" s="5" t="s">
        <v>15042</v>
      </c>
      <c r="J855" s="5" t="s">
        <v>258</v>
      </c>
      <c r="K855" s="5" t="s">
        <v>15043</v>
      </c>
      <c r="L855" s="11">
        <v>1</v>
      </c>
      <c r="M855" s="5" t="s">
        <v>13143</v>
      </c>
    </row>
    <row r="856" spans="2:13" ht="37.5" customHeight="1" x14ac:dyDescent="0.35">
      <c r="B856" s="12">
        <v>48</v>
      </c>
      <c r="C856" s="7" t="s">
        <v>14944</v>
      </c>
      <c r="D856" s="12">
        <v>41</v>
      </c>
      <c r="E856" s="7" t="s">
        <v>15072</v>
      </c>
      <c r="F856" s="7" t="s">
        <v>15073</v>
      </c>
      <c r="G856" s="7" t="s">
        <v>27</v>
      </c>
      <c r="H856" s="7" t="s">
        <v>42</v>
      </c>
      <c r="I856" s="7" t="s">
        <v>15042</v>
      </c>
      <c r="J856" s="7" t="s">
        <v>194</v>
      </c>
      <c r="K856" s="7" t="s">
        <v>15074</v>
      </c>
      <c r="L856" s="12">
        <v>1</v>
      </c>
      <c r="M856" s="7" t="s">
        <v>13143</v>
      </c>
    </row>
    <row r="857" spans="2:13" ht="37.5" customHeight="1" x14ac:dyDescent="0.35">
      <c r="B857" s="11">
        <v>48</v>
      </c>
      <c r="C857" s="5" t="s">
        <v>14944</v>
      </c>
      <c r="D857" s="11">
        <v>42</v>
      </c>
      <c r="E857" s="5" t="s">
        <v>15075</v>
      </c>
      <c r="F857" s="5" t="s">
        <v>15076</v>
      </c>
      <c r="G857" s="5" t="s">
        <v>566</v>
      </c>
      <c r="H857" s="5" t="s">
        <v>1948</v>
      </c>
      <c r="I857" s="5" t="s">
        <v>13276</v>
      </c>
      <c r="J857" s="5" t="s">
        <v>15077</v>
      </c>
      <c r="K857" s="5" t="s">
        <v>15078</v>
      </c>
      <c r="L857" s="11">
        <v>1</v>
      </c>
      <c r="M857" s="5" t="s">
        <v>13143</v>
      </c>
    </row>
    <row r="858" spans="2:13" ht="37.5" customHeight="1" x14ac:dyDescent="0.35">
      <c r="B858" s="12">
        <v>48</v>
      </c>
      <c r="C858" s="7" t="s">
        <v>14944</v>
      </c>
      <c r="D858" s="12">
        <v>43</v>
      </c>
      <c r="E858" s="7" t="s">
        <v>15079</v>
      </c>
      <c r="F858" s="7" t="s">
        <v>15080</v>
      </c>
      <c r="G858" s="7" t="s">
        <v>686</v>
      </c>
      <c r="H858" s="7" t="s">
        <v>42</v>
      </c>
      <c r="I858" s="7" t="s">
        <v>15042</v>
      </c>
      <c r="J858" s="7" t="s">
        <v>331</v>
      </c>
      <c r="K858" s="7" t="s">
        <v>15081</v>
      </c>
      <c r="L858" s="12">
        <v>1</v>
      </c>
      <c r="M858" s="7" t="s">
        <v>13143</v>
      </c>
    </row>
    <row r="859" spans="2:13" ht="52.5" customHeight="1" x14ac:dyDescent="0.35">
      <c r="B859" s="11">
        <v>48</v>
      </c>
      <c r="C859" s="5" t="s">
        <v>14944</v>
      </c>
      <c r="D859" s="11">
        <v>44</v>
      </c>
      <c r="E859" s="5" t="s">
        <v>15082</v>
      </c>
      <c r="F859" s="5" t="s">
        <v>15083</v>
      </c>
      <c r="G859" s="5" t="s">
        <v>2685</v>
      </c>
      <c r="H859" s="5" t="s">
        <v>38</v>
      </c>
      <c r="I859" s="5" t="s">
        <v>15084</v>
      </c>
      <c r="J859" s="5" t="s">
        <v>194</v>
      </c>
      <c r="K859" s="5" t="s">
        <v>15085</v>
      </c>
      <c r="L859" s="11">
        <v>1</v>
      </c>
      <c r="M859" s="5" t="s">
        <v>13143</v>
      </c>
    </row>
    <row r="860" spans="2:13" ht="52.5" customHeight="1" x14ac:dyDescent="0.35">
      <c r="B860" s="12">
        <v>48</v>
      </c>
      <c r="C860" s="7" t="s">
        <v>14944</v>
      </c>
      <c r="D860" s="12">
        <v>45</v>
      </c>
      <c r="E860" s="7" t="s">
        <v>15086</v>
      </c>
      <c r="F860" s="7" t="s">
        <v>15087</v>
      </c>
      <c r="G860" s="7" t="s">
        <v>3946</v>
      </c>
      <c r="H860" s="7" t="s">
        <v>38</v>
      </c>
      <c r="I860" s="7" t="s">
        <v>15084</v>
      </c>
      <c r="J860" s="7" t="s">
        <v>15088</v>
      </c>
      <c r="K860" s="7" t="s">
        <v>15089</v>
      </c>
      <c r="L860" s="12">
        <v>1</v>
      </c>
      <c r="M860" s="7" t="s">
        <v>13143</v>
      </c>
    </row>
    <row r="861" spans="2:13" ht="37.5" customHeight="1" x14ac:dyDescent="0.35">
      <c r="B861" s="11">
        <v>48</v>
      </c>
      <c r="C861" s="5" t="s">
        <v>14944</v>
      </c>
      <c r="D861" s="11">
        <v>46</v>
      </c>
      <c r="E861" s="5" t="s">
        <v>15090</v>
      </c>
      <c r="F861" s="5" t="s">
        <v>15091</v>
      </c>
      <c r="G861" s="5" t="s">
        <v>1244</v>
      </c>
      <c r="H861" s="5" t="s">
        <v>1943</v>
      </c>
      <c r="I861" s="5" t="s">
        <v>15092</v>
      </c>
      <c r="J861" s="5" t="s">
        <v>2617</v>
      </c>
      <c r="K861" s="5" t="s">
        <v>15093</v>
      </c>
      <c r="L861" s="11">
        <v>1</v>
      </c>
      <c r="M861" s="5" t="s">
        <v>13143</v>
      </c>
    </row>
    <row r="862" spans="2:13" ht="37.5" customHeight="1" x14ac:dyDescent="0.35">
      <c r="B862" s="12">
        <v>48</v>
      </c>
      <c r="C862" s="7" t="s">
        <v>14944</v>
      </c>
      <c r="D862" s="12">
        <v>47</v>
      </c>
      <c r="E862" s="7" t="s">
        <v>15094</v>
      </c>
      <c r="F862" s="7" t="s">
        <v>15095</v>
      </c>
      <c r="G862" s="7" t="s">
        <v>4850</v>
      </c>
      <c r="H862" s="7" t="s">
        <v>39</v>
      </c>
      <c r="I862" s="7" t="s">
        <v>15096</v>
      </c>
      <c r="J862" s="7" t="s">
        <v>258</v>
      </c>
      <c r="K862" s="7" t="s">
        <v>15097</v>
      </c>
      <c r="L862" s="12">
        <v>1</v>
      </c>
      <c r="M862" s="7" t="s">
        <v>13143</v>
      </c>
    </row>
    <row r="863" spans="2:13" ht="67.5" customHeight="1" x14ac:dyDescent="0.35">
      <c r="B863" s="11">
        <v>49</v>
      </c>
      <c r="C863" s="5" t="s">
        <v>15098</v>
      </c>
      <c r="D863" s="11">
        <v>1</v>
      </c>
      <c r="E863" s="5" t="s">
        <v>15099</v>
      </c>
      <c r="F863" s="5" t="s">
        <v>15100</v>
      </c>
      <c r="G863" s="5" t="s">
        <v>25</v>
      </c>
      <c r="H863" s="5" t="s">
        <v>6777</v>
      </c>
      <c r="I863" s="5" t="s">
        <v>15101</v>
      </c>
      <c r="J863" s="5" t="s">
        <v>15102</v>
      </c>
      <c r="K863" s="5" t="s">
        <v>15103</v>
      </c>
      <c r="L863" s="11">
        <v>2</v>
      </c>
      <c r="M863" s="5" t="s">
        <v>13143</v>
      </c>
    </row>
    <row r="864" spans="2:13" ht="37.5" customHeight="1" x14ac:dyDescent="0.35">
      <c r="B864" s="12">
        <v>49</v>
      </c>
      <c r="C864" s="7" t="s">
        <v>15098</v>
      </c>
      <c r="D864" s="12">
        <v>2</v>
      </c>
      <c r="E864" s="7" t="s">
        <v>15104</v>
      </c>
      <c r="F864" s="7" t="s">
        <v>15105</v>
      </c>
      <c r="G864" s="7" t="s">
        <v>15106</v>
      </c>
      <c r="H864" s="7" t="s">
        <v>39</v>
      </c>
      <c r="I864" s="7" t="s">
        <v>15107</v>
      </c>
      <c r="J864" s="7" t="s">
        <v>5400</v>
      </c>
      <c r="K864" s="7" t="s">
        <v>15108</v>
      </c>
      <c r="L864" s="12">
        <v>1</v>
      </c>
      <c r="M864" s="7" t="s">
        <v>13143</v>
      </c>
    </row>
    <row r="865" spans="2:13" ht="37.5" customHeight="1" x14ac:dyDescent="0.35">
      <c r="B865" s="11">
        <v>50</v>
      </c>
      <c r="C865" s="5" t="s">
        <v>15109</v>
      </c>
      <c r="D865" s="11">
        <v>1</v>
      </c>
      <c r="E865" s="5" t="s">
        <v>15110</v>
      </c>
      <c r="F865" s="5" t="s">
        <v>15111</v>
      </c>
      <c r="G865" s="5" t="s">
        <v>1667</v>
      </c>
      <c r="H865" s="5" t="s">
        <v>1426</v>
      </c>
      <c r="I865" s="5" t="s">
        <v>15112</v>
      </c>
      <c r="J865" s="5" t="s">
        <v>15113</v>
      </c>
      <c r="K865" s="5" t="s">
        <v>15114</v>
      </c>
      <c r="L865" s="11">
        <v>1</v>
      </c>
      <c r="M865" s="5" t="s">
        <v>12497</v>
      </c>
    </row>
    <row r="866" spans="2:13" ht="37.5" customHeight="1" x14ac:dyDescent="0.35">
      <c r="B866" s="12">
        <v>50</v>
      </c>
      <c r="C866" s="7" t="s">
        <v>15109</v>
      </c>
      <c r="D866" s="12">
        <v>2</v>
      </c>
      <c r="E866" s="7" t="s">
        <v>15115</v>
      </c>
      <c r="F866" s="7" t="s">
        <v>15116</v>
      </c>
      <c r="G866" s="7" t="s">
        <v>24</v>
      </c>
      <c r="H866" s="7" t="s">
        <v>36</v>
      </c>
      <c r="I866" s="7" t="s">
        <v>15117</v>
      </c>
      <c r="J866" s="7" t="s">
        <v>6755</v>
      </c>
      <c r="K866" s="7" t="s">
        <v>15118</v>
      </c>
      <c r="L866" s="12">
        <v>1</v>
      </c>
      <c r="M866" s="7" t="s">
        <v>12497</v>
      </c>
    </row>
    <row r="867" spans="2:13" ht="52.5" customHeight="1" x14ac:dyDescent="0.35">
      <c r="B867" s="11">
        <v>51</v>
      </c>
      <c r="C867" s="5" t="s">
        <v>15119</v>
      </c>
      <c r="D867" s="11">
        <v>1</v>
      </c>
      <c r="E867" s="5" t="s">
        <v>15120</v>
      </c>
      <c r="F867" s="5" t="s">
        <v>15121</v>
      </c>
      <c r="G867" s="5" t="s">
        <v>1235</v>
      </c>
      <c r="H867" s="5" t="s">
        <v>36</v>
      </c>
      <c r="I867" s="5" t="s">
        <v>15122</v>
      </c>
      <c r="J867" s="5" t="s">
        <v>15123</v>
      </c>
      <c r="K867" s="5" t="s">
        <v>15124</v>
      </c>
      <c r="L867" s="11">
        <v>1</v>
      </c>
      <c r="M867" s="5" t="s">
        <v>12497</v>
      </c>
    </row>
    <row r="868" spans="2:13" ht="52.5" customHeight="1" x14ac:dyDescent="0.35">
      <c r="B868" s="12">
        <v>51</v>
      </c>
      <c r="C868" s="7" t="s">
        <v>15119</v>
      </c>
      <c r="D868" s="12">
        <v>2</v>
      </c>
      <c r="E868" s="7" t="s">
        <v>15125</v>
      </c>
      <c r="F868" s="7" t="s">
        <v>15126</v>
      </c>
      <c r="G868" s="7" t="s">
        <v>428</v>
      </c>
      <c r="H868" s="7" t="s">
        <v>36</v>
      </c>
      <c r="I868" s="7" t="s">
        <v>15122</v>
      </c>
      <c r="J868" s="7" t="s">
        <v>15123</v>
      </c>
      <c r="K868" s="7" t="s">
        <v>15124</v>
      </c>
      <c r="L868" s="12">
        <v>1</v>
      </c>
      <c r="M868" s="7" t="s">
        <v>12497</v>
      </c>
    </row>
    <row r="869" spans="2:13" ht="52.5" customHeight="1" x14ac:dyDescent="0.35">
      <c r="B869" s="11">
        <v>51</v>
      </c>
      <c r="C869" s="5" t="s">
        <v>15119</v>
      </c>
      <c r="D869" s="11">
        <v>3</v>
      </c>
      <c r="E869" s="5" t="s">
        <v>15127</v>
      </c>
      <c r="F869" s="5" t="s">
        <v>15128</v>
      </c>
      <c r="G869" s="5" t="s">
        <v>2685</v>
      </c>
      <c r="H869" s="5" t="s">
        <v>36</v>
      </c>
      <c r="I869" s="5" t="s">
        <v>15129</v>
      </c>
      <c r="J869" s="5" t="s">
        <v>15123</v>
      </c>
      <c r="K869" s="5" t="s">
        <v>15130</v>
      </c>
      <c r="L869" s="11">
        <v>1</v>
      </c>
      <c r="M869" s="5" t="s">
        <v>12497</v>
      </c>
    </row>
    <row r="870" spans="2:13" ht="52.5" customHeight="1" x14ac:dyDescent="0.35">
      <c r="B870" s="12">
        <v>51</v>
      </c>
      <c r="C870" s="7" t="s">
        <v>15119</v>
      </c>
      <c r="D870" s="12">
        <v>4</v>
      </c>
      <c r="E870" s="7" t="s">
        <v>15131</v>
      </c>
      <c r="F870" s="7" t="s">
        <v>15132</v>
      </c>
      <c r="G870" s="7" t="s">
        <v>1793</v>
      </c>
      <c r="H870" s="7" t="s">
        <v>36</v>
      </c>
      <c r="I870" s="7" t="s">
        <v>15133</v>
      </c>
      <c r="J870" s="7" t="s">
        <v>15123</v>
      </c>
      <c r="K870" s="7" t="s">
        <v>15134</v>
      </c>
      <c r="L870" s="12">
        <v>1</v>
      </c>
      <c r="M870" s="7" t="s">
        <v>12497</v>
      </c>
    </row>
    <row r="871" spans="2:13" ht="52.5" customHeight="1" x14ac:dyDescent="0.35">
      <c r="B871" s="11">
        <v>51</v>
      </c>
      <c r="C871" s="5" t="s">
        <v>15119</v>
      </c>
      <c r="D871" s="11">
        <v>5</v>
      </c>
      <c r="E871" s="5" t="s">
        <v>15135</v>
      </c>
      <c r="F871" s="5" t="s">
        <v>15136</v>
      </c>
      <c r="G871" s="5" t="s">
        <v>670</v>
      </c>
      <c r="H871" s="5" t="s">
        <v>36</v>
      </c>
      <c r="I871" s="5" t="s">
        <v>15122</v>
      </c>
      <c r="J871" s="5" t="s">
        <v>15137</v>
      </c>
      <c r="K871" s="5" t="s">
        <v>15138</v>
      </c>
      <c r="L871" s="11">
        <v>1</v>
      </c>
      <c r="M871" s="5" t="s">
        <v>12497</v>
      </c>
    </row>
    <row r="872" spans="2:13" ht="52.5" customHeight="1" x14ac:dyDescent="0.35">
      <c r="B872" s="12">
        <v>51</v>
      </c>
      <c r="C872" s="7" t="s">
        <v>15119</v>
      </c>
      <c r="D872" s="12">
        <v>6</v>
      </c>
      <c r="E872" s="7" t="s">
        <v>15139</v>
      </c>
      <c r="F872" s="7" t="s">
        <v>15140</v>
      </c>
      <c r="G872" s="7" t="s">
        <v>32</v>
      </c>
      <c r="H872" s="7" t="s">
        <v>36</v>
      </c>
      <c r="I872" s="7" t="s">
        <v>15122</v>
      </c>
      <c r="J872" s="7" t="s">
        <v>15137</v>
      </c>
      <c r="K872" s="7" t="s">
        <v>15138</v>
      </c>
      <c r="L872" s="12">
        <v>1</v>
      </c>
      <c r="M872" s="7" t="s">
        <v>12497</v>
      </c>
    </row>
    <row r="873" spans="2:13" ht="52.5" customHeight="1" x14ac:dyDescent="0.35">
      <c r="B873" s="11">
        <v>51</v>
      </c>
      <c r="C873" s="5" t="s">
        <v>15119</v>
      </c>
      <c r="D873" s="11">
        <v>7</v>
      </c>
      <c r="E873" s="5" t="s">
        <v>15141</v>
      </c>
      <c r="F873" s="5" t="s">
        <v>15142</v>
      </c>
      <c r="G873" s="5" t="s">
        <v>457</v>
      </c>
      <c r="H873" s="5" t="s">
        <v>36</v>
      </c>
      <c r="I873" s="5" t="s">
        <v>15122</v>
      </c>
      <c r="J873" s="5" t="s">
        <v>15137</v>
      </c>
      <c r="K873" s="5" t="s">
        <v>15138</v>
      </c>
      <c r="L873" s="11">
        <v>1</v>
      </c>
      <c r="M873" s="5" t="s">
        <v>12497</v>
      </c>
    </row>
    <row r="874" spans="2:13" ht="52.5" customHeight="1" x14ac:dyDescent="0.35">
      <c r="B874" s="12">
        <v>52</v>
      </c>
      <c r="C874" s="7" t="s">
        <v>15143</v>
      </c>
      <c r="D874" s="12">
        <v>1</v>
      </c>
      <c r="E874" s="7" t="s">
        <v>15144</v>
      </c>
      <c r="F874" s="7" t="s">
        <v>15145</v>
      </c>
      <c r="G874" s="7" t="s">
        <v>800</v>
      </c>
      <c r="H874" s="7" t="s">
        <v>36</v>
      </c>
      <c r="I874" s="7" t="s">
        <v>15122</v>
      </c>
      <c r="J874" s="7" t="s">
        <v>15146</v>
      </c>
      <c r="K874" s="7" t="s">
        <v>15147</v>
      </c>
      <c r="L874" s="12">
        <v>1</v>
      </c>
      <c r="M874" s="7" t="s">
        <v>12491</v>
      </c>
    </row>
    <row r="875" spans="2:13" ht="112.5" customHeight="1" x14ac:dyDescent="0.35">
      <c r="B875" s="11">
        <v>53</v>
      </c>
      <c r="C875" s="5" t="s">
        <v>15148</v>
      </c>
      <c r="D875" s="11">
        <v>1</v>
      </c>
      <c r="E875" s="5" t="s">
        <v>15149</v>
      </c>
      <c r="F875" s="5" t="s">
        <v>15150</v>
      </c>
      <c r="G875" s="5" t="s">
        <v>1294</v>
      </c>
      <c r="H875" s="5" t="s">
        <v>15151</v>
      </c>
      <c r="I875" s="5" t="s">
        <v>15152</v>
      </c>
      <c r="J875" s="5" t="s">
        <v>15153</v>
      </c>
      <c r="K875" s="5" t="s">
        <v>15154</v>
      </c>
      <c r="L875" s="11">
        <v>3</v>
      </c>
      <c r="M875" s="5" t="s">
        <v>13121</v>
      </c>
    </row>
    <row r="876" spans="2:13" ht="52.5" customHeight="1" x14ac:dyDescent="0.35">
      <c r="B876" s="12">
        <v>54</v>
      </c>
      <c r="C876" s="7" t="s">
        <v>15155</v>
      </c>
      <c r="D876" s="12">
        <v>1</v>
      </c>
      <c r="E876" s="7" t="s">
        <v>15156</v>
      </c>
      <c r="F876" s="7" t="s">
        <v>15157</v>
      </c>
      <c r="G876" s="7" t="s">
        <v>345</v>
      </c>
      <c r="H876" s="7" t="s">
        <v>301</v>
      </c>
      <c r="I876" s="7" t="s">
        <v>15158</v>
      </c>
      <c r="J876" s="7" t="s">
        <v>15159</v>
      </c>
      <c r="K876" s="7" t="s">
        <v>15160</v>
      </c>
      <c r="L876" s="12">
        <v>2</v>
      </c>
      <c r="M876" s="7" t="s">
        <v>13143</v>
      </c>
    </row>
    <row r="877" spans="2:13" ht="97.5" customHeight="1" x14ac:dyDescent="0.35">
      <c r="B877" s="11">
        <v>55</v>
      </c>
      <c r="C877" s="5" t="s">
        <v>15161</v>
      </c>
      <c r="D877" s="11">
        <v>1</v>
      </c>
      <c r="E877" s="5" t="s">
        <v>15162</v>
      </c>
      <c r="F877" s="5" t="s">
        <v>15163</v>
      </c>
      <c r="G877" s="5" t="s">
        <v>421</v>
      </c>
      <c r="H877" s="5" t="s">
        <v>36</v>
      </c>
      <c r="I877" s="5" t="s">
        <v>15164</v>
      </c>
      <c r="J877" s="5" t="s">
        <v>15165</v>
      </c>
      <c r="K877" s="5" t="s">
        <v>15166</v>
      </c>
      <c r="L877" s="11">
        <v>1</v>
      </c>
      <c r="M877" s="5" t="s">
        <v>12497</v>
      </c>
    </row>
    <row r="878" spans="2:13" ht="52.5" customHeight="1" x14ac:dyDescent="0.35">
      <c r="B878" s="12">
        <v>56</v>
      </c>
      <c r="C878" s="7" t="s">
        <v>15167</v>
      </c>
      <c r="D878" s="12">
        <v>1</v>
      </c>
      <c r="E878" s="7" t="s">
        <v>15168</v>
      </c>
      <c r="F878" s="7" t="s">
        <v>15169</v>
      </c>
      <c r="G878" s="7" t="s">
        <v>828</v>
      </c>
      <c r="H878" s="7" t="s">
        <v>36</v>
      </c>
      <c r="I878" s="7" t="s">
        <v>15170</v>
      </c>
      <c r="J878" s="7" t="s">
        <v>10380</v>
      </c>
      <c r="K878" s="7" t="s">
        <v>15171</v>
      </c>
      <c r="L878" s="12">
        <v>1</v>
      </c>
      <c r="M878" s="7" t="s">
        <v>12497</v>
      </c>
    </row>
    <row r="879" spans="2:13" ht="52.5" customHeight="1" x14ac:dyDescent="0.35">
      <c r="B879" s="11">
        <v>57</v>
      </c>
      <c r="C879" s="5" t="s">
        <v>15172</v>
      </c>
      <c r="D879" s="11">
        <v>1</v>
      </c>
      <c r="E879" s="5" t="s">
        <v>15173</v>
      </c>
      <c r="F879" s="5" t="s">
        <v>15174</v>
      </c>
      <c r="G879" s="5" t="s">
        <v>2919</v>
      </c>
      <c r="H879" s="5" t="s">
        <v>36</v>
      </c>
      <c r="I879" s="5" t="s">
        <v>15175</v>
      </c>
      <c r="J879" s="5" t="s">
        <v>5176</v>
      </c>
      <c r="K879" s="5" t="s">
        <v>15176</v>
      </c>
      <c r="L879" s="11">
        <v>1</v>
      </c>
      <c r="M879" s="5" t="s">
        <v>12497</v>
      </c>
    </row>
    <row r="880" spans="2:13" ht="37.5" customHeight="1" x14ac:dyDescent="0.35">
      <c r="B880" s="12">
        <v>58</v>
      </c>
      <c r="C880" s="7" t="s">
        <v>15177</v>
      </c>
      <c r="D880" s="12">
        <v>1</v>
      </c>
      <c r="E880" s="7" t="s">
        <v>15178</v>
      </c>
      <c r="F880" s="7" t="s">
        <v>15179</v>
      </c>
      <c r="G880" s="7" t="s">
        <v>3283</v>
      </c>
      <c r="H880" s="7" t="s">
        <v>37</v>
      </c>
      <c r="I880" s="7" t="s">
        <v>13178</v>
      </c>
      <c r="J880" s="7" t="s">
        <v>12351</v>
      </c>
      <c r="K880" s="7" t="s">
        <v>15180</v>
      </c>
      <c r="L880" s="12">
        <v>1</v>
      </c>
      <c r="M880" s="7"/>
    </row>
    <row r="881" spans="2:13" ht="37.5" customHeight="1" x14ac:dyDescent="0.35">
      <c r="B881" s="11">
        <v>58</v>
      </c>
      <c r="C881" s="5" t="s">
        <v>15177</v>
      </c>
      <c r="D881" s="11">
        <v>2</v>
      </c>
      <c r="E881" s="5" t="s">
        <v>15181</v>
      </c>
      <c r="F881" s="5" t="s">
        <v>15182</v>
      </c>
      <c r="G881" s="5" t="s">
        <v>3283</v>
      </c>
      <c r="H881" s="5" t="s">
        <v>37</v>
      </c>
      <c r="I881" s="5" t="s">
        <v>13178</v>
      </c>
      <c r="J881" s="5" t="s">
        <v>11467</v>
      </c>
      <c r="K881" s="5" t="s">
        <v>13388</v>
      </c>
      <c r="L881" s="11">
        <v>1</v>
      </c>
      <c r="M881" s="5"/>
    </row>
    <row r="882" spans="2:13" ht="37.5" customHeight="1" x14ac:dyDescent="0.35">
      <c r="B882" s="12">
        <v>58</v>
      </c>
      <c r="C882" s="7" t="s">
        <v>15177</v>
      </c>
      <c r="D882" s="12">
        <v>3</v>
      </c>
      <c r="E882" s="7" t="s">
        <v>15183</v>
      </c>
      <c r="F882" s="7" t="s">
        <v>15184</v>
      </c>
      <c r="G882" s="7" t="s">
        <v>28</v>
      </c>
      <c r="H882" s="7" t="s">
        <v>37</v>
      </c>
      <c r="I882" s="7" t="s">
        <v>13178</v>
      </c>
      <c r="J882" s="7" t="s">
        <v>12351</v>
      </c>
      <c r="K882" s="7" t="s">
        <v>15180</v>
      </c>
      <c r="L882" s="12">
        <v>1</v>
      </c>
      <c r="M882" s="7"/>
    </row>
    <row r="883" spans="2:13" ht="37.5" customHeight="1" x14ac:dyDescent="0.35">
      <c r="B883" s="11"/>
      <c r="C883" s="5" t="s">
        <v>15185</v>
      </c>
      <c r="D883" s="11">
        <v>4</v>
      </c>
      <c r="E883" s="5" t="s">
        <v>15186</v>
      </c>
      <c r="F883" s="5" t="s">
        <v>15187</v>
      </c>
      <c r="G883" s="5" t="s">
        <v>825</v>
      </c>
      <c r="H883" s="5" t="s">
        <v>37</v>
      </c>
      <c r="I883" s="5" t="s">
        <v>13178</v>
      </c>
      <c r="J883" s="5" t="s">
        <v>12351</v>
      </c>
      <c r="K883" s="5" t="s">
        <v>15180</v>
      </c>
      <c r="L883" s="11">
        <v>1</v>
      </c>
      <c r="M883" s="5"/>
    </row>
    <row r="884" spans="2:13" ht="67.5" customHeight="1" x14ac:dyDescent="0.35">
      <c r="B884" s="12">
        <v>59</v>
      </c>
      <c r="C884" s="7" t="s">
        <v>15188</v>
      </c>
      <c r="D884" s="12">
        <v>1</v>
      </c>
      <c r="E884" s="7" t="s">
        <v>15189</v>
      </c>
      <c r="F884" s="7" t="s">
        <v>15190</v>
      </c>
      <c r="G884" s="7" t="s">
        <v>32</v>
      </c>
      <c r="H884" s="7" t="s">
        <v>3888</v>
      </c>
      <c r="I884" s="7" t="s">
        <v>15191</v>
      </c>
      <c r="J884" s="7" t="s">
        <v>15192</v>
      </c>
      <c r="K884" s="7" t="s">
        <v>15193</v>
      </c>
      <c r="L884" s="12">
        <v>2</v>
      </c>
      <c r="M884" s="7" t="s">
        <v>12353</v>
      </c>
    </row>
    <row r="885" spans="2:13" ht="67.5" customHeight="1" x14ac:dyDescent="0.35">
      <c r="B885" s="11">
        <v>60</v>
      </c>
      <c r="C885" s="5" t="s">
        <v>15194</v>
      </c>
      <c r="D885" s="11">
        <v>1</v>
      </c>
      <c r="E885" s="5" t="s">
        <v>15195</v>
      </c>
      <c r="F885" s="5" t="s">
        <v>15196</v>
      </c>
      <c r="G885" s="5" t="s">
        <v>421</v>
      </c>
      <c r="H885" s="5" t="s">
        <v>36</v>
      </c>
      <c r="I885" s="5" t="s">
        <v>15197</v>
      </c>
      <c r="J885" s="5" t="s">
        <v>11650</v>
      </c>
      <c r="K885" s="5" t="s">
        <v>15198</v>
      </c>
      <c r="L885" s="11">
        <v>1</v>
      </c>
      <c r="M885" s="5" t="s">
        <v>12497</v>
      </c>
    </row>
    <row r="886" spans="2:13" ht="67.5" customHeight="1" x14ac:dyDescent="0.35">
      <c r="B886" s="12">
        <v>61</v>
      </c>
      <c r="C886" s="7" t="s">
        <v>15199</v>
      </c>
      <c r="D886" s="12">
        <v>1</v>
      </c>
      <c r="E886" s="7" t="s">
        <v>15200</v>
      </c>
      <c r="F886" s="7" t="s">
        <v>15201</v>
      </c>
      <c r="G886" s="7" t="s">
        <v>560</v>
      </c>
      <c r="H886" s="7" t="s">
        <v>1948</v>
      </c>
      <c r="I886" s="7" t="s">
        <v>15202</v>
      </c>
      <c r="J886" s="7" t="s">
        <v>12351</v>
      </c>
      <c r="K886" s="7" t="s">
        <v>15203</v>
      </c>
      <c r="L886" s="12">
        <v>1</v>
      </c>
      <c r="M886" s="7" t="s">
        <v>15204</v>
      </c>
    </row>
    <row r="887" spans="2:13" ht="37.5" customHeight="1" x14ac:dyDescent="0.35">
      <c r="B887" s="11">
        <v>61</v>
      </c>
      <c r="C887" s="5" t="s">
        <v>15199</v>
      </c>
      <c r="D887" s="11">
        <v>2</v>
      </c>
      <c r="E887" s="5" t="s">
        <v>15205</v>
      </c>
      <c r="F887" s="5" t="s">
        <v>15206</v>
      </c>
      <c r="G887" s="5" t="s">
        <v>800</v>
      </c>
      <c r="H887" s="5" t="s">
        <v>1948</v>
      </c>
      <c r="I887" s="5" t="s">
        <v>15207</v>
      </c>
      <c r="J887" s="5" t="s">
        <v>15208</v>
      </c>
      <c r="K887" s="5" t="s">
        <v>15209</v>
      </c>
      <c r="L887" s="11">
        <v>1</v>
      </c>
      <c r="M887" s="5" t="s">
        <v>15204</v>
      </c>
    </row>
    <row r="888" spans="2:13" ht="82.5" customHeight="1" x14ac:dyDescent="0.35">
      <c r="B888" s="12">
        <v>61</v>
      </c>
      <c r="C888" s="7" t="s">
        <v>15199</v>
      </c>
      <c r="D888" s="12">
        <v>3</v>
      </c>
      <c r="E888" s="7" t="s">
        <v>15210</v>
      </c>
      <c r="F888" s="7" t="s">
        <v>15211</v>
      </c>
      <c r="G888" s="7" t="s">
        <v>2341</v>
      </c>
      <c r="H888" s="7" t="s">
        <v>306</v>
      </c>
      <c r="I888" s="7" t="s">
        <v>15212</v>
      </c>
      <c r="J888" s="7" t="s">
        <v>15213</v>
      </c>
      <c r="K888" s="7" t="s">
        <v>15214</v>
      </c>
      <c r="L888" s="12">
        <v>2</v>
      </c>
      <c r="M888" s="7" t="s">
        <v>15204</v>
      </c>
    </row>
    <row r="889" spans="2:13" ht="67.5" customHeight="1" x14ac:dyDescent="0.35">
      <c r="B889" s="11">
        <v>62</v>
      </c>
      <c r="C889" s="5" t="s">
        <v>15215</v>
      </c>
      <c r="D889" s="11">
        <v>1</v>
      </c>
      <c r="E889" s="5" t="s">
        <v>15216</v>
      </c>
      <c r="F889" s="5" t="s">
        <v>15217</v>
      </c>
      <c r="G889" s="5" t="s">
        <v>24</v>
      </c>
      <c r="H889" s="5" t="s">
        <v>36</v>
      </c>
      <c r="I889" s="5" t="s">
        <v>15197</v>
      </c>
      <c r="J889" s="5" t="s">
        <v>15218</v>
      </c>
      <c r="K889" s="5" t="s">
        <v>15219</v>
      </c>
      <c r="L889" s="11">
        <v>1</v>
      </c>
      <c r="M889" s="5" t="s">
        <v>12353</v>
      </c>
    </row>
    <row r="890" spans="2:13" ht="67.5" customHeight="1" x14ac:dyDescent="0.35">
      <c r="B890" s="12">
        <v>62</v>
      </c>
      <c r="C890" s="7" t="s">
        <v>15215</v>
      </c>
      <c r="D890" s="12">
        <v>2</v>
      </c>
      <c r="E890" s="7" t="s">
        <v>15220</v>
      </c>
      <c r="F890" s="7" t="s">
        <v>15221</v>
      </c>
      <c r="G890" s="7" t="s">
        <v>825</v>
      </c>
      <c r="H890" s="7" t="s">
        <v>36</v>
      </c>
      <c r="I890" s="7" t="s">
        <v>15222</v>
      </c>
      <c r="J890" s="7" t="s">
        <v>15223</v>
      </c>
      <c r="K890" s="7" t="s">
        <v>15224</v>
      </c>
      <c r="L890" s="12">
        <v>1</v>
      </c>
      <c r="M890" s="7" t="s">
        <v>12353</v>
      </c>
    </row>
    <row r="891" spans="2:13" ht="37.5" customHeight="1" x14ac:dyDescent="0.35">
      <c r="B891" s="11">
        <v>63</v>
      </c>
      <c r="C891" s="5" t="s">
        <v>15225</v>
      </c>
      <c r="D891" s="11">
        <v>1</v>
      </c>
      <c r="E891" s="5" t="s">
        <v>15226</v>
      </c>
      <c r="F891" s="5" t="s">
        <v>15227</v>
      </c>
      <c r="G891" s="5" t="s">
        <v>3946</v>
      </c>
      <c r="H891" s="5" t="s">
        <v>37</v>
      </c>
      <c r="I891" s="5" t="s">
        <v>13178</v>
      </c>
      <c r="J891" s="5" t="s">
        <v>15228</v>
      </c>
      <c r="K891" s="5" t="s">
        <v>15229</v>
      </c>
      <c r="L891" s="11">
        <v>1</v>
      </c>
      <c r="M891" s="5" t="s">
        <v>12353</v>
      </c>
    </row>
    <row r="892" spans="2:13" ht="37.5" customHeight="1" x14ac:dyDescent="0.35">
      <c r="B892" s="12">
        <v>64</v>
      </c>
      <c r="C892" s="7" t="s">
        <v>15230</v>
      </c>
      <c r="D892" s="12">
        <v>1</v>
      </c>
      <c r="E892" s="7" t="s">
        <v>15231</v>
      </c>
      <c r="F892" s="7" t="s">
        <v>15232</v>
      </c>
      <c r="G892" s="7" t="s">
        <v>15233</v>
      </c>
      <c r="H892" s="7" t="s">
        <v>36</v>
      </c>
      <c r="I892" s="7" t="s">
        <v>15234</v>
      </c>
      <c r="J892" s="7" t="s">
        <v>15235</v>
      </c>
      <c r="K892" s="7" t="s">
        <v>15236</v>
      </c>
      <c r="L892" s="12">
        <v>1</v>
      </c>
      <c r="M892" s="7" t="s">
        <v>12497</v>
      </c>
    </row>
    <row r="893" spans="2:13" ht="67.5" customHeight="1" x14ac:dyDescent="0.35">
      <c r="B893" s="11">
        <v>65</v>
      </c>
      <c r="C893" s="5" t="s">
        <v>15237</v>
      </c>
      <c r="D893" s="11">
        <v>1</v>
      </c>
      <c r="E893" s="5" t="s">
        <v>15238</v>
      </c>
      <c r="F893" s="5" t="s">
        <v>15239</v>
      </c>
      <c r="G893" s="5" t="s">
        <v>15106</v>
      </c>
      <c r="H893" s="5" t="s">
        <v>4662</v>
      </c>
      <c r="I893" s="5" t="s">
        <v>15240</v>
      </c>
      <c r="J893" s="5" t="s">
        <v>15241</v>
      </c>
      <c r="K893" s="5" t="s">
        <v>15242</v>
      </c>
      <c r="L893" s="11">
        <v>2</v>
      </c>
      <c r="M893" s="5" t="s">
        <v>12497</v>
      </c>
    </row>
    <row r="894" spans="2:13" ht="52.5" customHeight="1" x14ac:dyDescent="0.35">
      <c r="B894" s="12">
        <v>66</v>
      </c>
      <c r="C894" s="7" t="s">
        <v>15243</v>
      </c>
      <c r="D894" s="12">
        <v>1</v>
      </c>
      <c r="E894" s="7" t="s">
        <v>15244</v>
      </c>
      <c r="F894" s="7" t="s">
        <v>15245</v>
      </c>
      <c r="G894" s="7" t="s">
        <v>2341</v>
      </c>
      <c r="H894" s="7"/>
      <c r="I894" s="7" t="s">
        <v>15246</v>
      </c>
      <c r="J894" s="7" t="s">
        <v>3288</v>
      </c>
      <c r="K894" s="7" t="s">
        <v>15247</v>
      </c>
      <c r="L894" s="12">
        <v>1</v>
      </c>
      <c r="M894" s="7" t="s">
        <v>13143</v>
      </c>
    </row>
    <row r="895" spans="2:13" ht="52.5" customHeight="1" x14ac:dyDescent="0.35">
      <c r="B895" s="11">
        <v>67</v>
      </c>
      <c r="C895" s="5" t="s">
        <v>15248</v>
      </c>
      <c r="D895" s="11">
        <v>1</v>
      </c>
      <c r="E895" s="5" t="s">
        <v>15249</v>
      </c>
      <c r="F895" s="5" t="s">
        <v>15250</v>
      </c>
      <c r="G895" s="5" t="s">
        <v>800</v>
      </c>
      <c r="H895" s="5" t="s">
        <v>38</v>
      </c>
      <c r="I895" s="5" t="s">
        <v>15251</v>
      </c>
      <c r="J895" s="5" t="s">
        <v>8193</v>
      </c>
      <c r="K895" s="5" t="s">
        <v>15252</v>
      </c>
      <c r="L895" s="11">
        <v>1</v>
      </c>
      <c r="M895" s="5" t="s">
        <v>12497</v>
      </c>
    </row>
    <row r="896" spans="2:13" ht="52.5" customHeight="1" x14ac:dyDescent="0.35">
      <c r="B896" s="12">
        <v>68</v>
      </c>
      <c r="C896" s="7" t="s">
        <v>15253</v>
      </c>
      <c r="D896" s="12">
        <v>1</v>
      </c>
      <c r="E896" s="7" t="s">
        <v>15254</v>
      </c>
      <c r="F896" s="7" t="s">
        <v>15255</v>
      </c>
      <c r="G896" s="7" t="s">
        <v>414</v>
      </c>
      <c r="H896" s="7" t="s">
        <v>1561</v>
      </c>
      <c r="I896" s="7" t="s">
        <v>15256</v>
      </c>
      <c r="J896" s="7" t="s">
        <v>15257</v>
      </c>
      <c r="K896" s="7" t="s">
        <v>15258</v>
      </c>
      <c r="L896" s="12">
        <v>1</v>
      </c>
      <c r="M896" s="7" t="s">
        <v>15259</v>
      </c>
    </row>
    <row r="897" spans="2:12" ht="25.5" customHeight="1" x14ac:dyDescent="0.35">
      <c r="B897" s="9" t="s">
        <v>978</v>
      </c>
      <c r="C897" s="9"/>
      <c r="D897" s="9"/>
      <c r="E897" s="16">
        <f>SUBTOTAL(103,E5:E896)</f>
        <v>892</v>
      </c>
      <c r="F897" s="9"/>
      <c r="G897" s="9"/>
      <c r="H897" s="9"/>
      <c r="I897" s="9"/>
      <c r="J897" s="9"/>
      <c r="K897" s="9"/>
      <c r="L897" s="16">
        <f>SUBTOTAL(109,L5:L896)</f>
        <v>984</v>
      </c>
    </row>
    <row r="899" spans="2:12" x14ac:dyDescent="0.2">
      <c r="B899" s="17" t="s">
        <v>979</v>
      </c>
    </row>
  </sheetData>
  <autoFilter ref="B4:M896" xr:uid="{00000000-0009-0000-0000-000005000000}"/>
  <mergeCells count="1"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95"/>
  <sheetViews>
    <sheetView showGridLines="0" zoomScale="90" zoomScaleNormal="90" workbookViewId="0">
      <pane xSplit="1" ySplit="4" topLeftCell="B5" activePane="bottomRight" state="frozen"/>
      <selection pane="bottomLeft" activeCell="A5" sqref="A5"/>
      <selection pane="topRight" activeCell="B1" sqref="B1"/>
      <selection pane="bottomRight"/>
    </sheetView>
  </sheetViews>
  <sheetFormatPr defaultColWidth="8.7421875" defaultRowHeight="15" customHeight="1" x14ac:dyDescent="0.2"/>
  <cols>
    <col min="1" max="1" width="2.95703125" customWidth="1"/>
    <col min="2" max="2" width="9.953125" customWidth="1"/>
    <col min="3" max="3" width="25.9609375" customWidth="1"/>
    <col min="4" max="4" width="9.953125" customWidth="1"/>
    <col min="5" max="5" width="23.9453125" customWidth="1"/>
    <col min="6" max="6" width="13.98828125" customWidth="1"/>
    <col min="7" max="7" width="25.9609375" customWidth="1"/>
    <col min="8" max="8" width="20.04296875" customWidth="1"/>
    <col min="9" max="9" width="23.9453125" customWidth="1"/>
    <col min="10" max="10" width="20.04296875" customWidth="1"/>
    <col min="11" max="11" width="46.00390625" customWidth="1"/>
    <col min="12" max="12" width="9.953125" customWidth="1"/>
    <col min="13" max="13" width="11.97265625" customWidth="1"/>
  </cols>
  <sheetData>
    <row r="2" spans="2:13" ht="31.5" customHeight="1" x14ac:dyDescent="0.2">
      <c r="B2" s="18" t="s">
        <v>15260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ht="7.5" customHeight="1" x14ac:dyDescent="0.2"/>
    <row r="4" spans="2:13" ht="27.75" customHeight="1" x14ac:dyDescent="0.35">
      <c r="B4" s="4" t="s">
        <v>93</v>
      </c>
      <c r="C4" s="4" t="s">
        <v>95</v>
      </c>
      <c r="D4" s="4" t="s">
        <v>97</v>
      </c>
      <c r="E4" s="4" t="s">
        <v>99</v>
      </c>
      <c r="F4" s="4" t="s">
        <v>101</v>
      </c>
      <c r="G4" s="4" t="s">
        <v>103</v>
      </c>
      <c r="H4" s="4" t="s">
        <v>105</v>
      </c>
      <c r="I4" s="4" t="s">
        <v>107</v>
      </c>
      <c r="J4" s="4" t="s">
        <v>109</v>
      </c>
      <c r="K4" s="4" t="s">
        <v>111</v>
      </c>
      <c r="L4" s="4" t="s">
        <v>113</v>
      </c>
      <c r="M4" s="4" t="s">
        <v>147</v>
      </c>
    </row>
    <row r="5" spans="2:13" ht="37.5" customHeight="1" x14ac:dyDescent="0.35">
      <c r="B5" s="11">
        <v>1</v>
      </c>
      <c r="C5" s="5" t="s">
        <v>15261</v>
      </c>
      <c r="D5" s="11">
        <v>1</v>
      </c>
      <c r="E5" s="5" t="s">
        <v>15262</v>
      </c>
      <c r="F5" s="5" t="s">
        <v>15263</v>
      </c>
      <c r="G5" s="5" t="s">
        <v>497</v>
      </c>
      <c r="H5" s="5" t="s">
        <v>15264</v>
      </c>
      <c r="I5" s="5" t="s">
        <v>15265</v>
      </c>
      <c r="J5" s="5" t="s">
        <v>15266</v>
      </c>
      <c r="K5" s="5" t="s">
        <v>15267</v>
      </c>
      <c r="L5" s="11">
        <v>1</v>
      </c>
      <c r="M5" s="5" t="s">
        <v>15268</v>
      </c>
    </row>
    <row r="6" spans="2:13" ht="37.5" customHeight="1" x14ac:dyDescent="0.35">
      <c r="B6" s="12">
        <v>1</v>
      </c>
      <c r="C6" s="7" t="s">
        <v>15261</v>
      </c>
      <c r="D6" s="12">
        <v>2</v>
      </c>
      <c r="E6" s="7" t="s">
        <v>15269</v>
      </c>
      <c r="F6" s="7" t="s">
        <v>15270</v>
      </c>
      <c r="G6" s="7" t="s">
        <v>30</v>
      </c>
      <c r="H6" s="7" t="s">
        <v>15264</v>
      </c>
      <c r="I6" s="7" t="s">
        <v>15265</v>
      </c>
      <c r="J6" s="7" t="s">
        <v>15266</v>
      </c>
      <c r="K6" s="7" t="s">
        <v>15267</v>
      </c>
      <c r="L6" s="12">
        <v>1</v>
      </c>
      <c r="M6" s="7" t="s">
        <v>15268</v>
      </c>
    </row>
    <row r="7" spans="2:13" ht="37.5" customHeight="1" x14ac:dyDescent="0.35">
      <c r="B7" s="11">
        <v>1</v>
      </c>
      <c r="C7" s="5" t="s">
        <v>15261</v>
      </c>
      <c r="D7" s="11">
        <v>3</v>
      </c>
      <c r="E7" s="5" t="s">
        <v>15271</v>
      </c>
      <c r="F7" s="5" t="s">
        <v>15272</v>
      </c>
      <c r="G7" s="5" t="s">
        <v>472</v>
      </c>
      <c r="H7" s="5" t="s">
        <v>15264</v>
      </c>
      <c r="I7" s="5" t="s">
        <v>15265</v>
      </c>
      <c r="J7" s="5" t="s">
        <v>15266</v>
      </c>
      <c r="K7" s="5" t="s">
        <v>15267</v>
      </c>
      <c r="L7" s="11">
        <v>1</v>
      </c>
      <c r="M7" s="5" t="s">
        <v>15268</v>
      </c>
    </row>
    <row r="8" spans="2:13" ht="37.5" customHeight="1" x14ac:dyDescent="0.35">
      <c r="B8" s="12">
        <v>1</v>
      </c>
      <c r="C8" s="7" t="s">
        <v>15261</v>
      </c>
      <c r="D8" s="12">
        <v>4</v>
      </c>
      <c r="E8" s="7" t="s">
        <v>15273</v>
      </c>
      <c r="F8" s="7" t="s">
        <v>15274</v>
      </c>
      <c r="G8" s="7" t="s">
        <v>1076</v>
      </c>
      <c r="H8" s="7" t="s">
        <v>15264</v>
      </c>
      <c r="I8" s="7" t="s">
        <v>15265</v>
      </c>
      <c r="J8" s="7" t="s">
        <v>15266</v>
      </c>
      <c r="K8" s="7" t="s">
        <v>15267</v>
      </c>
      <c r="L8" s="12">
        <v>1</v>
      </c>
      <c r="M8" s="7" t="s">
        <v>15268</v>
      </c>
    </row>
    <row r="9" spans="2:13" ht="37.5" customHeight="1" x14ac:dyDescent="0.35">
      <c r="B9" s="11">
        <v>1</v>
      </c>
      <c r="C9" s="5" t="s">
        <v>15261</v>
      </c>
      <c r="D9" s="11">
        <v>5</v>
      </c>
      <c r="E9" s="5" t="s">
        <v>15275</v>
      </c>
      <c r="F9" s="5" t="s">
        <v>15276</v>
      </c>
      <c r="G9" s="5" t="s">
        <v>428</v>
      </c>
      <c r="H9" s="5" t="s">
        <v>15264</v>
      </c>
      <c r="I9" s="5" t="s">
        <v>15265</v>
      </c>
      <c r="J9" s="5" t="s">
        <v>15266</v>
      </c>
      <c r="K9" s="5" t="s">
        <v>15267</v>
      </c>
      <c r="L9" s="11">
        <v>1</v>
      </c>
      <c r="M9" s="5" t="s">
        <v>15268</v>
      </c>
    </row>
    <row r="10" spans="2:13" ht="37.5" customHeight="1" x14ac:dyDescent="0.35">
      <c r="B10" s="12">
        <v>1</v>
      </c>
      <c r="C10" s="7" t="s">
        <v>15261</v>
      </c>
      <c r="D10" s="12">
        <v>6</v>
      </c>
      <c r="E10" s="7" t="s">
        <v>15277</v>
      </c>
      <c r="F10" s="7" t="s">
        <v>15278</v>
      </c>
      <c r="G10" s="7" t="s">
        <v>372</v>
      </c>
      <c r="H10" s="7" t="s">
        <v>15264</v>
      </c>
      <c r="I10" s="7" t="s">
        <v>15265</v>
      </c>
      <c r="J10" s="7" t="s">
        <v>15266</v>
      </c>
      <c r="K10" s="7" t="s">
        <v>15267</v>
      </c>
      <c r="L10" s="12">
        <v>1</v>
      </c>
      <c r="M10" s="7" t="s">
        <v>15268</v>
      </c>
    </row>
    <row r="11" spans="2:13" ht="37.5" customHeight="1" x14ac:dyDescent="0.35">
      <c r="B11" s="11">
        <v>1</v>
      </c>
      <c r="C11" s="5" t="s">
        <v>15261</v>
      </c>
      <c r="D11" s="11">
        <v>7</v>
      </c>
      <c r="E11" s="5" t="s">
        <v>15279</v>
      </c>
      <c r="F11" s="5" t="s">
        <v>15280</v>
      </c>
      <c r="G11" s="5" t="s">
        <v>3643</v>
      </c>
      <c r="H11" s="5" t="s">
        <v>15264</v>
      </c>
      <c r="I11" s="5" t="s">
        <v>15265</v>
      </c>
      <c r="J11" s="5" t="s">
        <v>15266</v>
      </c>
      <c r="K11" s="5" t="s">
        <v>15267</v>
      </c>
      <c r="L11" s="11">
        <v>1</v>
      </c>
      <c r="M11" s="5" t="s">
        <v>15268</v>
      </c>
    </row>
    <row r="12" spans="2:13" ht="37.5" customHeight="1" x14ac:dyDescent="0.35">
      <c r="B12" s="12">
        <v>1</v>
      </c>
      <c r="C12" s="7" t="s">
        <v>15261</v>
      </c>
      <c r="D12" s="12">
        <v>8</v>
      </c>
      <c r="E12" s="7" t="s">
        <v>15281</v>
      </c>
      <c r="F12" s="7" t="s">
        <v>15282</v>
      </c>
      <c r="G12" s="7" t="s">
        <v>26</v>
      </c>
      <c r="H12" s="7" t="s">
        <v>15264</v>
      </c>
      <c r="I12" s="7" t="s">
        <v>15265</v>
      </c>
      <c r="J12" s="7" t="s">
        <v>15266</v>
      </c>
      <c r="K12" s="7" t="s">
        <v>15267</v>
      </c>
      <c r="L12" s="12">
        <v>1</v>
      </c>
      <c r="M12" s="7" t="s">
        <v>15268</v>
      </c>
    </row>
    <row r="13" spans="2:13" ht="37.5" customHeight="1" x14ac:dyDescent="0.35">
      <c r="B13" s="11">
        <v>1</v>
      </c>
      <c r="C13" s="5" t="s">
        <v>15261</v>
      </c>
      <c r="D13" s="11">
        <v>9</v>
      </c>
      <c r="E13" s="5" t="s">
        <v>15283</v>
      </c>
      <c r="F13" s="5" t="s">
        <v>15284</v>
      </c>
      <c r="G13" s="5" t="s">
        <v>531</v>
      </c>
      <c r="H13" s="5" t="s">
        <v>15264</v>
      </c>
      <c r="I13" s="5" t="s">
        <v>15265</v>
      </c>
      <c r="J13" s="5" t="s">
        <v>15266</v>
      </c>
      <c r="K13" s="5" t="s">
        <v>15267</v>
      </c>
      <c r="L13" s="11">
        <v>1</v>
      </c>
      <c r="M13" s="5" t="s">
        <v>15268</v>
      </c>
    </row>
    <row r="14" spans="2:13" ht="37.5" customHeight="1" x14ac:dyDescent="0.35">
      <c r="B14" s="12">
        <v>1</v>
      </c>
      <c r="C14" s="7" t="s">
        <v>15261</v>
      </c>
      <c r="D14" s="12">
        <v>10</v>
      </c>
      <c r="E14" s="7" t="s">
        <v>15285</v>
      </c>
      <c r="F14" s="7" t="s">
        <v>15286</v>
      </c>
      <c r="G14" s="7" t="s">
        <v>761</v>
      </c>
      <c r="H14" s="7" t="s">
        <v>15264</v>
      </c>
      <c r="I14" s="7" t="s">
        <v>15265</v>
      </c>
      <c r="J14" s="7" t="s">
        <v>15266</v>
      </c>
      <c r="K14" s="7" t="s">
        <v>15267</v>
      </c>
      <c r="L14" s="12">
        <v>1</v>
      </c>
      <c r="M14" s="7" t="s">
        <v>15268</v>
      </c>
    </row>
    <row r="15" spans="2:13" ht="37.5" customHeight="1" x14ac:dyDescent="0.35">
      <c r="B15" s="11">
        <v>1</v>
      </c>
      <c r="C15" s="5" t="s">
        <v>15261</v>
      </c>
      <c r="D15" s="11">
        <v>11</v>
      </c>
      <c r="E15" s="5" t="s">
        <v>15287</v>
      </c>
      <c r="F15" s="5" t="s">
        <v>15288</v>
      </c>
      <c r="G15" s="5" t="s">
        <v>445</v>
      </c>
      <c r="H15" s="5" t="s">
        <v>15264</v>
      </c>
      <c r="I15" s="5" t="s">
        <v>15265</v>
      </c>
      <c r="J15" s="5" t="s">
        <v>15266</v>
      </c>
      <c r="K15" s="5" t="s">
        <v>15267</v>
      </c>
      <c r="L15" s="11">
        <v>1</v>
      </c>
      <c r="M15" s="5" t="s">
        <v>15268</v>
      </c>
    </row>
    <row r="16" spans="2:13" ht="37.5" customHeight="1" x14ac:dyDescent="0.35">
      <c r="B16" s="12">
        <v>1</v>
      </c>
      <c r="C16" s="7" t="s">
        <v>15261</v>
      </c>
      <c r="D16" s="12">
        <v>12</v>
      </c>
      <c r="E16" s="7" t="s">
        <v>15289</v>
      </c>
      <c r="F16" s="7" t="s">
        <v>15290</v>
      </c>
      <c r="G16" s="7" t="s">
        <v>1373</v>
      </c>
      <c r="H16" s="7" t="s">
        <v>15264</v>
      </c>
      <c r="I16" s="7" t="s">
        <v>15265</v>
      </c>
      <c r="J16" s="7" t="s">
        <v>15266</v>
      </c>
      <c r="K16" s="7" t="s">
        <v>15267</v>
      </c>
      <c r="L16" s="12">
        <v>1</v>
      </c>
      <c r="M16" s="7" t="s">
        <v>15268</v>
      </c>
    </row>
    <row r="17" spans="2:13" ht="37.5" customHeight="1" x14ac:dyDescent="0.35">
      <c r="B17" s="11">
        <v>1</v>
      </c>
      <c r="C17" s="5" t="s">
        <v>15261</v>
      </c>
      <c r="D17" s="11">
        <v>13</v>
      </c>
      <c r="E17" s="5" t="s">
        <v>15291</v>
      </c>
      <c r="F17" s="5" t="s">
        <v>15292</v>
      </c>
      <c r="G17" s="5" t="s">
        <v>25</v>
      </c>
      <c r="H17" s="5" t="s">
        <v>15264</v>
      </c>
      <c r="I17" s="5" t="s">
        <v>15265</v>
      </c>
      <c r="J17" s="5" t="s">
        <v>15266</v>
      </c>
      <c r="K17" s="5" t="s">
        <v>15267</v>
      </c>
      <c r="L17" s="11">
        <v>1</v>
      </c>
      <c r="M17" s="5" t="s">
        <v>15268</v>
      </c>
    </row>
    <row r="18" spans="2:13" ht="37.5" customHeight="1" x14ac:dyDescent="0.35">
      <c r="B18" s="12">
        <v>1</v>
      </c>
      <c r="C18" s="7" t="s">
        <v>15261</v>
      </c>
      <c r="D18" s="12">
        <v>14</v>
      </c>
      <c r="E18" s="7" t="s">
        <v>15293</v>
      </c>
      <c r="F18" s="7" t="s">
        <v>15294</v>
      </c>
      <c r="G18" s="7" t="s">
        <v>778</v>
      </c>
      <c r="H18" s="7" t="s">
        <v>15264</v>
      </c>
      <c r="I18" s="7" t="s">
        <v>15265</v>
      </c>
      <c r="J18" s="7" t="s">
        <v>15266</v>
      </c>
      <c r="K18" s="7" t="s">
        <v>15267</v>
      </c>
      <c r="L18" s="12">
        <v>1</v>
      </c>
      <c r="M18" s="7" t="s">
        <v>15268</v>
      </c>
    </row>
    <row r="19" spans="2:13" ht="37.5" customHeight="1" x14ac:dyDescent="0.35">
      <c r="B19" s="11">
        <v>1</v>
      </c>
      <c r="C19" s="5" t="s">
        <v>15261</v>
      </c>
      <c r="D19" s="11">
        <v>15</v>
      </c>
      <c r="E19" s="5" t="s">
        <v>15295</v>
      </c>
      <c r="F19" s="5" t="s">
        <v>15296</v>
      </c>
      <c r="G19" s="5" t="s">
        <v>442</v>
      </c>
      <c r="H19" s="5" t="s">
        <v>15264</v>
      </c>
      <c r="I19" s="5" t="s">
        <v>15265</v>
      </c>
      <c r="J19" s="5" t="s">
        <v>15266</v>
      </c>
      <c r="K19" s="5" t="s">
        <v>15267</v>
      </c>
      <c r="L19" s="11">
        <v>1</v>
      </c>
      <c r="M19" s="5" t="s">
        <v>15268</v>
      </c>
    </row>
    <row r="20" spans="2:13" ht="37.5" customHeight="1" x14ac:dyDescent="0.35">
      <c r="B20" s="12">
        <v>1</v>
      </c>
      <c r="C20" s="7" t="s">
        <v>15261</v>
      </c>
      <c r="D20" s="12">
        <v>16</v>
      </c>
      <c r="E20" s="7" t="s">
        <v>15297</v>
      </c>
      <c r="F20" s="7" t="s">
        <v>15298</v>
      </c>
      <c r="G20" s="7" t="s">
        <v>31</v>
      </c>
      <c r="H20" s="7" t="s">
        <v>15264</v>
      </c>
      <c r="I20" s="7" t="s">
        <v>15265</v>
      </c>
      <c r="J20" s="7" t="s">
        <v>15266</v>
      </c>
      <c r="K20" s="7" t="s">
        <v>15267</v>
      </c>
      <c r="L20" s="12">
        <v>1</v>
      </c>
      <c r="M20" s="7" t="s">
        <v>15268</v>
      </c>
    </row>
    <row r="21" spans="2:13" ht="37.5" customHeight="1" x14ac:dyDescent="0.35">
      <c r="B21" s="11">
        <v>1</v>
      </c>
      <c r="C21" s="5" t="s">
        <v>15261</v>
      </c>
      <c r="D21" s="11">
        <v>17</v>
      </c>
      <c r="E21" s="5" t="s">
        <v>15299</v>
      </c>
      <c r="F21" s="5" t="s">
        <v>15300</v>
      </c>
      <c r="G21" s="5" t="s">
        <v>24</v>
      </c>
      <c r="H21" s="5" t="s">
        <v>15264</v>
      </c>
      <c r="I21" s="5" t="s">
        <v>15301</v>
      </c>
      <c r="J21" s="5" t="s">
        <v>15266</v>
      </c>
      <c r="K21" s="5" t="s">
        <v>15302</v>
      </c>
      <c r="L21" s="11">
        <v>1</v>
      </c>
      <c r="M21" s="5" t="s">
        <v>15268</v>
      </c>
    </row>
    <row r="22" spans="2:13" ht="37.5" customHeight="1" x14ac:dyDescent="0.35">
      <c r="B22" s="12">
        <v>1</v>
      </c>
      <c r="C22" s="7" t="s">
        <v>15261</v>
      </c>
      <c r="D22" s="12">
        <v>18</v>
      </c>
      <c r="E22" s="7" t="s">
        <v>15303</v>
      </c>
      <c r="F22" s="7" t="s">
        <v>15304</v>
      </c>
      <c r="G22" s="7" t="s">
        <v>11119</v>
      </c>
      <c r="H22" s="7" t="s">
        <v>15264</v>
      </c>
      <c r="I22" s="7" t="s">
        <v>15301</v>
      </c>
      <c r="J22" s="7" t="s">
        <v>15266</v>
      </c>
      <c r="K22" s="7" t="s">
        <v>15302</v>
      </c>
      <c r="L22" s="12">
        <v>1</v>
      </c>
      <c r="M22" s="7" t="s">
        <v>15268</v>
      </c>
    </row>
    <row r="23" spans="2:13" ht="37.5" customHeight="1" x14ac:dyDescent="0.35">
      <c r="B23" s="11">
        <v>1</v>
      </c>
      <c r="C23" s="5" t="s">
        <v>15261</v>
      </c>
      <c r="D23" s="11">
        <v>19</v>
      </c>
      <c r="E23" s="5" t="s">
        <v>15305</v>
      </c>
      <c r="F23" s="5" t="s">
        <v>15306</v>
      </c>
      <c r="G23" s="5" t="s">
        <v>695</v>
      </c>
      <c r="H23" s="5" t="s">
        <v>15264</v>
      </c>
      <c r="I23" s="5" t="s">
        <v>15301</v>
      </c>
      <c r="J23" s="5" t="s">
        <v>15266</v>
      </c>
      <c r="K23" s="5" t="s">
        <v>15302</v>
      </c>
      <c r="L23" s="11">
        <v>1</v>
      </c>
      <c r="M23" s="5" t="s">
        <v>15268</v>
      </c>
    </row>
    <row r="24" spans="2:13" ht="37.5" customHeight="1" x14ac:dyDescent="0.35">
      <c r="B24" s="12">
        <v>1</v>
      </c>
      <c r="C24" s="7" t="s">
        <v>15261</v>
      </c>
      <c r="D24" s="12">
        <v>20</v>
      </c>
      <c r="E24" s="7" t="s">
        <v>15307</v>
      </c>
      <c r="F24" s="7" t="s">
        <v>15308</v>
      </c>
      <c r="G24" s="7" t="s">
        <v>653</v>
      </c>
      <c r="H24" s="7" t="s">
        <v>15264</v>
      </c>
      <c r="I24" s="7" t="s">
        <v>15301</v>
      </c>
      <c r="J24" s="7" t="s">
        <v>15266</v>
      </c>
      <c r="K24" s="7" t="s">
        <v>15302</v>
      </c>
      <c r="L24" s="12">
        <v>1</v>
      </c>
      <c r="M24" s="7" t="s">
        <v>15268</v>
      </c>
    </row>
    <row r="25" spans="2:13" ht="37.5" customHeight="1" x14ac:dyDescent="0.35">
      <c r="B25" s="11">
        <v>1</v>
      </c>
      <c r="C25" s="5" t="s">
        <v>15261</v>
      </c>
      <c r="D25" s="11">
        <v>21</v>
      </c>
      <c r="E25" s="5" t="s">
        <v>15309</v>
      </c>
      <c r="F25" s="5" t="s">
        <v>15310</v>
      </c>
      <c r="G25" s="5" t="s">
        <v>202</v>
      </c>
      <c r="H25" s="5" t="s">
        <v>15264</v>
      </c>
      <c r="I25" s="5" t="s">
        <v>15301</v>
      </c>
      <c r="J25" s="5" t="s">
        <v>15266</v>
      </c>
      <c r="K25" s="5" t="s">
        <v>15302</v>
      </c>
      <c r="L25" s="11">
        <v>1</v>
      </c>
      <c r="M25" s="5" t="s">
        <v>15268</v>
      </c>
    </row>
    <row r="26" spans="2:13" ht="37.5" customHeight="1" x14ac:dyDescent="0.35">
      <c r="B26" s="12">
        <v>1</v>
      </c>
      <c r="C26" s="7" t="s">
        <v>15261</v>
      </c>
      <c r="D26" s="12">
        <v>22</v>
      </c>
      <c r="E26" s="7" t="s">
        <v>15311</v>
      </c>
      <c r="F26" s="7" t="s">
        <v>15312</v>
      </c>
      <c r="G26" s="7" t="s">
        <v>683</v>
      </c>
      <c r="H26" s="7" t="s">
        <v>15264</v>
      </c>
      <c r="I26" s="7" t="s">
        <v>15301</v>
      </c>
      <c r="J26" s="7" t="s">
        <v>15266</v>
      </c>
      <c r="K26" s="7" t="s">
        <v>15302</v>
      </c>
      <c r="L26" s="12">
        <v>1</v>
      </c>
      <c r="M26" s="7" t="s">
        <v>15268</v>
      </c>
    </row>
    <row r="27" spans="2:13" ht="37.5" customHeight="1" x14ac:dyDescent="0.35">
      <c r="B27" s="11">
        <v>1</v>
      </c>
      <c r="C27" s="5" t="s">
        <v>15261</v>
      </c>
      <c r="D27" s="11">
        <v>23</v>
      </c>
      <c r="E27" s="5" t="s">
        <v>15313</v>
      </c>
      <c r="F27" s="5" t="s">
        <v>15314</v>
      </c>
      <c r="G27" s="5" t="s">
        <v>576</v>
      </c>
      <c r="H27" s="5" t="s">
        <v>15264</v>
      </c>
      <c r="I27" s="5" t="s">
        <v>15301</v>
      </c>
      <c r="J27" s="5" t="s">
        <v>15266</v>
      </c>
      <c r="K27" s="5" t="s">
        <v>15302</v>
      </c>
      <c r="L27" s="11">
        <v>1</v>
      </c>
      <c r="M27" s="5" t="s">
        <v>15268</v>
      </c>
    </row>
    <row r="28" spans="2:13" ht="37.5" customHeight="1" x14ac:dyDescent="0.35">
      <c r="B28" s="12">
        <v>1</v>
      </c>
      <c r="C28" s="7" t="s">
        <v>15261</v>
      </c>
      <c r="D28" s="12">
        <v>24</v>
      </c>
      <c r="E28" s="7" t="s">
        <v>15315</v>
      </c>
      <c r="F28" s="7" t="s">
        <v>15316</v>
      </c>
      <c r="G28" s="7" t="s">
        <v>206</v>
      </c>
      <c r="H28" s="7" t="s">
        <v>15264</v>
      </c>
      <c r="I28" s="7" t="s">
        <v>15301</v>
      </c>
      <c r="J28" s="7" t="s">
        <v>15266</v>
      </c>
      <c r="K28" s="7" t="s">
        <v>15302</v>
      </c>
      <c r="L28" s="12">
        <v>1</v>
      </c>
      <c r="M28" s="7" t="s">
        <v>15268</v>
      </c>
    </row>
    <row r="29" spans="2:13" ht="37.5" customHeight="1" x14ac:dyDescent="0.35">
      <c r="B29" s="11">
        <v>1</v>
      </c>
      <c r="C29" s="5" t="s">
        <v>15261</v>
      </c>
      <c r="D29" s="11">
        <v>25</v>
      </c>
      <c r="E29" s="5" t="s">
        <v>15317</v>
      </c>
      <c r="F29" s="5" t="s">
        <v>15318</v>
      </c>
      <c r="G29" s="5" t="s">
        <v>701</v>
      </c>
      <c r="H29" s="5" t="s">
        <v>15264</v>
      </c>
      <c r="I29" s="5" t="s">
        <v>15301</v>
      </c>
      <c r="J29" s="5" t="s">
        <v>15266</v>
      </c>
      <c r="K29" s="5" t="s">
        <v>15302</v>
      </c>
      <c r="L29" s="11">
        <v>1</v>
      </c>
      <c r="M29" s="5" t="s">
        <v>15268</v>
      </c>
    </row>
    <row r="30" spans="2:13" ht="37.5" customHeight="1" x14ac:dyDescent="0.35">
      <c r="B30" s="12">
        <v>1</v>
      </c>
      <c r="C30" s="7" t="s">
        <v>15261</v>
      </c>
      <c r="D30" s="12">
        <v>26</v>
      </c>
      <c r="E30" s="7" t="s">
        <v>15319</v>
      </c>
      <c r="F30" s="7" t="s">
        <v>15320</v>
      </c>
      <c r="G30" s="7" t="s">
        <v>638</v>
      </c>
      <c r="H30" s="7" t="s">
        <v>15264</v>
      </c>
      <c r="I30" s="7" t="s">
        <v>15301</v>
      </c>
      <c r="J30" s="7" t="s">
        <v>15266</v>
      </c>
      <c r="K30" s="7" t="s">
        <v>15302</v>
      </c>
      <c r="L30" s="12">
        <v>1</v>
      </c>
      <c r="M30" s="7" t="s">
        <v>15268</v>
      </c>
    </row>
    <row r="31" spans="2:13" ht="37.5" customHeight="1" x14ac:dyDescent="0.35">
      <c r="B31" s="11">
        <v>1</v>
      </c>
      <c r="C31" s="5" t="s">
        <v>15261</v>
      </c>
      <c r="D31" s="11">
        <v>27</v>
      </c>
      <c r="E31" s="5" t="s">
        <v>15321</v>
      </c>
      <c r="F31" s="5" t="s">
        <v>15322</v>
      </c>
      <c r="G31" s="5" t="s">
        <v>656</v>
      </c>
      <c r="H31" s="5" t="s">
        <v>15264</v>
      </c>
      <c r="I31" s="5" t="s">
        <v>15301</v>
      </c>
      <c r="J31" s="5" t="s">
        <v>15266</v>
      </c>
      <c r="K31" s="5" t="s">
        <v>15302</v>
      </c>
      <c r="L31" s="11">
        <v>1</v>
      </c>
      <c r="M31" s="5" t="s">
        <v>15268</v>
      </c>
    </row>
    <row r="32" spans="2:13" ht="37.5" customHeight="1" x14ac:dyDescent="0.35">
      <c r="B32" s="12">
        <v>1</v>
      </c>
      <c r="C32" s="7" t="s">
        <v>15261</v>
      </c>
      <c r="D32" s="12">
        <v>28</v>
      </c>
      <c r="E32" s="7" t="s">
        <v>15323</v>
      </c>
      <c r="F32" s="7" t="s">
        <v>15324</v>
      </c>
      <c r="G32" s="7" t="s">
        <v>282</v>
      </c>
      <c r="H32" s="7" t="s">
        <v>15264</v>
      </c>
      <c r="I32" s="7" t="s">
        <v>15301</v>
      </c>
      <c r="J32" s="7" t="s">
        <v>15266</v>
      </c>
      <c r="K32" s="7" t="s">
        <v>15302</v>
      </c>
      <c r="L32" s="12">
        <v>1</v>
      </c>
      <c r="M32" s="7" t="s">
        <v>15268</v>
      </c>
    </row>
    <row r="33" spans="2:13" ht="37.5" customHeight="1" x14ac:dyDescent="0.35">
      <c r="B33" s="11">
        <v>1</v>
      </c>
      <c r="C33" s="5" t="s">
        <v>15261</v>
      </c>
      <c r="D33" s="11">
        <v>29</v>
      </c>
      <c r="E33" s="5" t="s">
        <v>15325</v>
      </c>
      <c r="F33" s="5" t="s">
        <v>15326</v>
      </c>
      <c r="G33" s="5" t="s">
        <v>285</v>
      </c>
      <c r="H33" s="5" t="s">
        <v>15264</v>
      </c>
      <c r="I33" s="5" t="s">
        <v>15301</v>
      </c>
      <c r="J33" s="5" t="s">
        <v>15266</v>
      </c>
      <c r="K33" s="5" t="s">
        <v>15302</v>
      </c>
      <c r="L33" s="11">
        <v>1</v>
      </c>
      <c r="M33" s="5" t="s">
        <v>15268</v>
      </c>
    </row>
    <row r="34" spans="2:13" ht="37.5" customHeight="1" x14ac:dyDescent="0.35">
      <c r="B34" s="12">
        <v>1</v>
      </c>
      <c r="C34" s="7" t="s">
        <v>15261</v>
      </c>
      <c r="D34" s="12">
        <v>30</v>
      </c>
      <c r="E34" s="7" t="s">
        <v>15327</v>
      </c>
      <c r="F34" s="7" t="s">
        <v>15328</v>
      </c>
      <c r="G34" s="7" t="s">
        <v>513</v>
      </c>
      <c r="H34" s="7" t="s">
        <v>15264</v>
      </c>
      <c r="I34" s="7" t="s">
        <v>15301</v>
      </c>
      <c r="J34" s="7" t="s">
        <v>15266</v>
      </c>
      <c r="K34" s="7" t="s">
        <v>15302</v>
      </c>
      <c r="L34" s="12">
        <v>1</v>
      </c>
      <c r="M34" s="7" t="s">
        <v>15268</v>
      </c>
    </row>
    <row r="35" spans="2:13" ht="37.5" customHeight="1" x14ac:dyDescent="0.35">
      <c r="B35" s="11">
        <v>1</v>
      </c>
      <c r="C35" s="5" t="s">
        <v>15261</v>
      </c>
      <c r="D35" s="11">
        <v>31</v>
      </c>
      <c r="E35" s="5" t="s">
        <v>15329</v>
      </c>
      <c r="F35" s="5" t="s">
        <v>15330</v>
      </c>
      <c r="G35" s="5" t="s">
        <v>670</v>
      </c>
      <c r="H35" s="5" t="s">
        <v>15264</v>
      </c>
      <c r="I35" s="5" t="s">
        <v>15301</v>
      </c>
      <c r="J35" s="5" t="s">
        <v>15266</v>
      </c>
      <c r="K35" s="5" t="s">
        <v>15302</v>
      </c>
      <c r="L35" s="11">
        <v>1</v>
      </c>
      <c r="M35" s="5" t="s">
        <v>15268</v>
      </c>
    </row>
    <row r="36" spans="2:13" ht="37.5" customHeight="1" x14ac:dyDescent="0.35">
      <c r="B36" s="12">
        <v>1</v>
      </c>
      <c r="C36" s="7" t="s">
        <v>15261</v>
      </c>
      <c r="D36" s="12">
        <v>32</v>
      </c>
      <c r="E36" s="7" t="s">
        <v>15331</v>
      </c>
      <c r="F36" s="7" t="s">
        <v>15332</v>
      </c>
      <c r="G36" s="7" t="s">
        <v>27</v>
      </c>
      <c r="H36" s="7" t="s">
        <v>15264</v>
      </c>
      <c r="I36" s="7" t="s">
        <v>15301</v>
      </c>
      <c r="J36" s="7" t="s">
        <v>15266</v>
      </c>
      <c r="K36" s="7" t="s">
        <v>15302</v>
      </c>
      <c r="L36" s="12">
        <v>1</v>
      </c>
      <c r="M36" s="7" t="s">
        <v>15268</v>
      </c>
    </row>
    <row r="37" spans="2:13" ht="37.5" customHeight="1" x14ac:dyDescent="0.35">
      <c r="B37" s="11">
        <v>1</v>
      </c>
      <c r="C37" s="5" t="s">
        <v>15261</v>
      </c>
      <c r="D37" s="11">
        <v>33</v>
      </c>
      <c r="E37" s="5" t="s">
        <v>15333</v>
      </c>
      <c r="F37" s="5" t="s">
        <v>15334</v>
      </c>
      <c r="G37" s="5" t="s">
        <v>2603</v>
      </c>
      <c r="H37" s="5" t="s">
        <v>15264</v>
      </c>
      <c r="I37" s="5" t="s">
        <v>15301</v>
      </c>
      <c r="J37" s="5" t="s">
        <v>15266</v>
      </c>
      <c r="K37" s="5" t="s">
        <v>15302</v>
      </c>
      <c r="L37" s="11">
        <v>1</v>
      </c>
      <c r="M37" s="5" t="s">
        <v>15268</v>
      </c>
    </row>
    <row r="38" spans="2:13" ht="37.5" customHeight="1" x14ac:dyDescent="0.35">
      <c r="B38" s="12">
        <v>1</v>
      </c>
      <c r="C38" s="7" t="s">
        <v>15261</v>
      </c>
      <c r="D38" s="12">
        <v>34</v>
      </c>
      <c r="E38" s="7" t="s">
        <v>15335</v>
      </c>
      <c r="F38" s="7" t="s">
        <v>15336</v>
      </c>
      <c r="G38" s="7" t="s">
        <v>552</v>
      </c>
      <c r="H38" s="7" t="s">
        <v>15264</v>
      </c>
      <c r="I38" s="7" t="s">
        <v>15301</v>
      </c>
      <c r="J38" s="7" t="s">
        <v>15266</v>
      </c>
      <c r="K38" s="7" t="s">
        <v>15302</v>
      </c>
      <c r="L38" s="12">
        <v>1</v>
      </c>
      <c r="M38" s="7" t="s">
        <v>15268</v>
      </c>
    </row>
    <row r="39" spans="2:13" ht="37.5" customHeight="1" x14ac:dyDescent="0.35">
      <c r="B39" s="11">
        <v>1</v>
      </c>
      <c r="C39" s="5" t="s">
        <v>15261</v>
      </c>
      <c r="D39" s="11">
        <v>35</v>
      </c>
      <c r="E39" s="5" t="s">
        <v>15337</v>
      </c>
      <c r="F39" s="5" t="s">
        <v>15338</v>
      </c>
      <c r="G39" s="5" t="s">
        <v>33</v>
      </c>
      <c r="H39" s="5" t="s">
        <v>15264</v>
      </c>
      <c r="I39" s="5" t="s">
        <v>15301</v>
      </c>
      <c r="J39" s="5" t="s">
        <v>15266</v>
      </c>
      <c r="K39" s="5" t="s">
        <v>15302</v>
      </c>
      <c r="L39" s="11">
        <v>1</v>
      </c>
      <c r="M39" s="5" t="s">
        <v>15268</v>
      </c>
    </row>
    <row r="40" spans="2:13" ht="37.5" customHeight="1" x14ac:dyDescent="0.35">
      <c r="B40" s="12">
        <v>1</v>
      </c>
      <c r="C40" s="7" t="s">
        <v>15261</v>
      </c>
      <c r="D40" s="12">
        <v>36</v>
      </c>
      <c r="E40" s="7" t="s">
        <v>15339</v>
      </c>
      <c r="F40" s="7" t="s">
        <v>15340</v>
      </c>
      <c r="G40" s="7" t="s">
        <v>742</v>
      </c>
      <c r="H40" s="7" t="s">
        <v>15264</v>
      </c>
      <c r="I40" s="7" t="s">
        <v>15301</v>
      </c>
      <c r="J40" s="7" t="s">
        <v>15266</v>
      </c>
      <c r="K40" s="7" t="s">
        <v>15302</v>
      </c>
      <c r="L40" s="12">
        <v>1</v>
      </c>
      <c r="M40" s="7" t="s">
        <v>15268</v>
      </c>
    </row>
    <row r="41" spans="2:13" ht="37.5" customHeight="1" x14ac:dyDescent="0.35">
      <c r="B41" s="11">
        <v>1</v>
      </c>
      <c r="C41" s="5" t="s">
        <v>15261</v>
      </c>
      <c r="D41" s="11">
        <v>37</v>
      </c>
      <c r="E41" s="5" t="s">
        <v>15341</v>
      </c>
      <c r="F41" s="5" t="s">
        <v>15342</v>
      </c>
      <c r="G41" s="5" t="s">
        <v>648</v>
      </c>
      <c r="H41" s="5" t="s">
        <v>15264</v>
      </c>
      <c r="I41" s="5" t="s">
        <v>15301</v>
      </c>
      <c r="J41" s="5" t="s">
        <v>15266</v>
      </c>
      <c r="K41" s="5" t="s">
        <v>15302</v>
      </c>
      <c r="L41" s="11">
        <v>1</v>
      </c>
      <c r="M41" s="5" t="s">
        <v>15268</v>
      </c>
    </row>
    <row r="42" spans="2:13" ht="37.5" customHeight="1" x14ac:dyDescent="0.35">
      <c r="B42" s="12">
        <v>1</v>
      </c>
      <c r="C42" s="7" t="s">
        <v>15261</v>
      </c>
      <c r="D42" s="12">
        <v>38</v>
      </c>
      <c r="E42" s="7" t="s">
        <v>15343</v>
      </c>
      <c r="F42" s="7" t="s">
        <v>15344</v>
      </c>
      <c r="G42" s="7" t="s">
        <v>625</v>
      </c>
      <c r="H42" s="7" t="s">
        <v>15264</v>
      </c>
      <c r="I42" s="7" t="s">
        <v>15301</v>
      </c>
      <c r="J42" s="7" t="s">
        <v>15266</v>
      </c>
      <c r="K42" s="7" t="s">
        <v>15302</v>
      </c>
      <c r="L42" s="12">
        <v>1</v>
      </c>
      <c r="M42" s="7" t="s">
        <v>15268</v>
      </c>
    </row>
    <row r="43" spans="2:13" ht="37.5" customHeight="1" x14ac:dyDescent="0.35">
      <c r="B43" s="11">
        <v>1</v>
      </c>
      <c r="C43" s="5" t="s">
        <v>15261</v>
      </c>
      <c r="D43" s="11">
        <v>39</v>
      </c>
      <c r="E43" s="5" t="s">
        <v>15345</v>
      </c>
      <c r="F43" s="5" t="s">
        <v>15346</v>
      </c>
      <c r="G43" s="5" t="s">
        <v>856</v>
      </c>
      <c r="H43" s="5" t="s">
        <v>15264</v>
      </c>
      <c r="I43" s="5" t="s">
        <v>15301</v>
      </c>
      <c r="J43" s="5" t="s">
        <v>15266</v>
      </c>
      <c r="K43" s="5" t="s">
        <v>15302</v>
      </c>
      <c r="L43" s="11">
        <v>1</v>
      </c>
      <c r="M43" s="5" t="s">
        <v>15268</v>
      </c>
    </row>
    <row r="44" spans="2:13" ht="37.5" customHeight="1" x14ac:dyDescent="0.35">
      <c r="B44" s="12">
        <v>1</v>
      </c>
      <c r="C44" s="7" t="s">
        <v>15261</v>
      </c>
      <c r="D44" s="12">
        <v>40</v>
      </c>
      <c r="E44" s="7" t="s">
        <v>15347</v>
      </c>
      <c r="F44" s="7" t="s">
        <v>15348</v>
      </c>
      <c r="G44" s="7" t="s">
        <v>713</v>
      </c>
      <c r="H44" s="7" t="s">
        <v>15264</v>
      </c>
      <c r="I44" s="7" t="s">
        <v>15301</v>
      </c>
      <c r="J44" s="7" t="s">
        <v>15266</v>
      </c>
      <c r="K44" s="7" t="s">
        <v>15302</v>
      </c>
      <c r="L44" s="12">
        <v>1</v>
      </c>
      <c r="M44" s="7" t="s">
        <v>15268</v>
      </c>
    </row>
    <row r="45" spans="2:13" ht="37.5" customHeight="1" x14ac:dyDescent="0.35">
      <c r="B45" s="11">
        <v>1</v>
      </c>
      <c r="C45" s="5" t="s">
        <v>15261</v>
      </c>
      <c r="D45" s="11">
        <v>41</v>
      </c>
      <c r="E45" s="5" t="s">
        <v>15349</v>
      </c>
      <c r="F45" s="5" t="s">
        <v>15350</v>
      </c>
      <c r="G45" s="5" t="s">
        <v>831</v>
      </c>
      <c r="H45" s="5" t="s">
        <v>15264</v>
      </c>
      <c r="I45" s="5" t="s">
        <v>15301</v>
      </c>
      <c r="J45" s="5" t="s">
        <v>15266</v>
      </c>
      <c r="K45" s="5" t="s">
        <v>15302</v>
      </c>
      <c r="L45" s="11">
        <v>1</v>
      </c>
      <c r="M45" s="5" t="s">
        <v>15268</v>
      </c>
    </row>
    <row r="46" spans="2:13" ht="37.5" customHeight="1" x14ac:dyDescent="0.35">
      <c r="B46" s="12">
        <v>1</v>
      </c>
      <c r="C46" s="7" t="s">
        <v>15261</v>
      </c>
      <c r="D46" s="12">
        <v>42</v>
      </c>
      <c r="E46" s="7" t="s">
        <v>15351</v>
      </c>
      <c r="F46" s="7" t="s">
        <v>15352</v>
      </c>
      <c r="G46" s="7" t="s">
        <v>32</v>
      </c>
      <c r="H46" s="7" t="s">
        <v>15264</v>
      </c>
      <c r="I46" s="7" t="s">
        <v>15301</v>
      </c>
      <c r="J46" s="7" t="s">
        <v>15266</v>
      </c>
      <c r="K46" s="7" t="s">
        <v>15302</v>
      </c>
      <c r="L46" s="12">
        <v>1</v>
      </c>
      <c r="M46" s="7" t="s">
        <v>15268</v>
      </c>
    </row>
    <row r="47" spans="2:13" ht="37.5" customHeight="1" x14ac:dyDescent="0.35">
      <c r="B47" s="11">
        <v>1</v>
      </c>
      <c r="C47" s="5" t="s">
        <v>15261</v>
      </c>
      <c r="D47" s="11">
        <v>43</v>
      </c>
      <c r="E47" s="5" t="s">
        <v>15353</v>
      </c>
      <c r="F47" s="5" t="s">
        <v>15354</v>
      </c>
      <c r="G47" s="5" t="s">
        <v>927</v>
      </c>
      <c r="H47" s="5" t="s">
        <v>15264</v>
      </c>
      <c r="I47" s="5" t="s">
        <v>15301</v>
      </c>
      <c r="J47" s="5" t="s">
        <v>15266</v>
      </c>
      <c r="K47" s="5" t="s">
        <v>15302</v>
      </c>
      <c r="L47" s="11">
        <v>1</v>
      </c>
      <c r="M47" s="5" t="s">
        <v>15268</v>
      </c>
    </row>
    <row r="48" spans="2:13" ht="37.5" customHeight="1" x14ac:dyDescent="0.35">
      <c r="B48" s="12">
        <v>1</v>
      </c>
      <c r="C48" s="7" t="s">
        <v>15261</v>
      </c>
      <c r="D48" s="12">
        <v>44</v>
      </c>
      <c r="E48" s="7" t="s">
        <v>15355</v>
      </c>
      <c r="F48" s="7" t="s">
        <v>15356</v>
      </c>
      <c r="G48" s="7" t="s">
        <v>198</v>
      </c>
      <c r="H48" s="7" t="s">
        <v>15264</v>
      </c>
      <c r="I48" s="7" t="s">
        <v>15301</v>
      </c>
      <c r="J48" s="7" t="s">
        <v>15266</v>
      </c>
      <c r="K48" s="7" t="s">
        <v>15302</v>
      </c>
      <c r="L48" s="12">
        <v>1</v>
      </c>
      <c r="M48" s="7" t="s">
        <v>15268</v>
      </c>
    </row>
    <row r="49" spans="2:13" ht="37.5" customHeight="1" x14ac:dyDescent="0.35">
      <c r="B49" s="11">
        <v>1</v>
      </c>
      <c r="C49" s="5" t="s">
        <v>15261</v>
      </c>
      <c r="D49" s="11">
        <v>45</v>
      </c>
      <c r="E49" s="5" t="s">
        <v>15357</v>
      </c>
      <c r="F49" s="5" t="s">
        <v>15358</v>
      </c>
      <c r="G49" s="5" t="s">
        <v>791</v>
      </c>
      <c r="H49" s="5" t="s">
        <v>15359</v>
      </c>
      <c r="I49" s="5" t="s">
        <v>15360</v>
      </c>
      <c r="J49" s="5" t="s">
        <v>15266</v>
      </c>
      <c r="K49" s="5" t="s">
        <v>15361</v>
      </c>
      <c r="L49" s="11">
        <v>1</v>
      </c>
      <c r="M49" s="5" t="s">
        <v>15268</v>
      </c>
    </row>
    <row r="50" spans="2:13" ht="37.5" customHeight="1" x14ac:dyDescent="0.35">
      <c r="B50" s="12">
        <v>1</v>
      </c>
      <c r="C50" s="7" t="s">
        <v>15261</v>
      </c>
      <c r="D50" s="12">
        <v>46</v>
      </c>
      <c r="E50" s="7" t="s">
        <v>15362</v>
      </c>
      <c r="F50" s="7" t="s">
        <v>15363</v>
      </c>
      <c r="G50" s="7" t="s">
        <v>794</v>
      </c>
      <c r="H50" s="7" t="s">
        <v>15359</v>
      </c>
      <c r="I50" s="7" t="s">
        <v>15360</v>
      </c>
      <c r="J50" s="7" t="s">
        <v>15266</v>
      </c>
      <c r="K50" s="7" t="s">
        <v>15361</v>
      </c>
      <c r="L50" s="12">
        <v>1</v>
      </c>
      <c r="M50" s="7" t="s">
        <v>15268</v>
      </c>
    </row>
    <row r="51" spans="2:13" ht="37.5" customHeight="1" x14ac:dyDescent="0.35">
      <c r="B51" s="11">
        <v>1</v>
      </c>
      <c r="C51" s="5" t="s">
        <v>15261</v>
      </c>
      <c r="D51" s="11">
        <v>47</v>
      </c>
      <c r="E51" s="5" t="s">
        <v>15364</v>
      </c>
      <c r="F51" s="5" t="s">
        <v>15365</v>
      </c>
      <c r="G51" s="5" t="s">
        <v>15366</v>
      </c>
      <c r="H51" s="5" t="s">
        <v>15359</v>
      </c>
      <c r="I51" s="5" t="s">
        <v>15360</v>
      </c>
      <c r="J51" s="5" t="s">
        <v>15266</v>
      </c>
      <c r="K51" s="5" t="s">
        <v>15361</v>
      </c>
      <c r="L51" s="11">
        <v>1</v>
      </c>
      <c r="M51" s="5" t="s">
        <v>15268</v>
      </c>
    </row>
    <row r="52" spans="2:13" ht="37.5" customHeight="1" x14ac:dyDescent="0.35">
      <c r="B52" s="12">
        <v>1</v>
      </c>
      <c r="C52" s="7" t="s">
        <v>15261</v>
      </c>
      <c r="D52" s="12">
        <v>48</v>
      </c>
      <c r="E52" s="7" t="s">
        <v>15367</v>
      </c>
      <c r="F52" s="7" t="s">
        <v>15368</v>
      </c>
      <c r="G52" s="7" t="s">
        <v>905</v>
      </c>
      <c r="H52" s="7" t="s">
        <v>15359</v>
      </c>
      <c r="I52" s="7" t="s">
        <v>15360</v>
      </c>
      <c r="J52" s="7" t="s">
        <v>15266</v>
      </c>
      <c r="K52" s="7" t="s">
        <v>15361</v>
      </c>
      <c r="L52" s="12">
        <v>1</v>
      </c>
      <c r="M52" s="7" t="s">
        <v>15268</v>
      </c>
    </row>
    <row r="53" spans="2:13" ht="37.5" customHeight="1" x14ac:dyDescent="0.35">
      <c r="B53" s="11">
        <v>1</v>
      </c>
      <c r="C53" s="5" t="s">
        <v>15261</v>
      </c>
      <c r="D53" s="11">
        <v>49</v>
      </c>
      <c r="E53" s="5" t="s">
        <v>15369</v>
      </c>
      <c r="F53" s="5" t="s">
        <v>15370</v>
      </c>
      <c r="G53" s="5" t="s">
        <v>733</v>
      </c>
      <c r="H53" s="5" t="s">
        <v>15359</v>
      </c>
      <c r="I53" s="5" t="s">
        <v>15360</v>
      </c>
      <c r="J53" s="5" t="s">
        <v>15266</v>
      </c>
      <c r="K53" s="5" t="s">
        <v>15361</v>
      </c>
      <c r="L53" s="11">
        <v>1</v>
      </c>
      <c r="M53" s="5" t="s">
        <v>15268</v>
      </c>
    </row>
    <row r="54" spans="2:13" ht="37.5" customHeight="1" x14ac:dyDescent="0.35">
      <c r="B54" s="12">
        <v>1</v>
      </c>
      <c r="C54" s="7" t="s">
        <v>15261</v>
      </c>
      <c r="D54" s="12">
        <v>50</v>
      </c>
      <c r="E54" s="7" t="s">
        <v>15371</v>
      </c>
      <c r="F54" s="7" t="s">
        <v>15372</v>
      </c>
      <c r="G54" s="7" t="s">
        <v>30</v>
      </c>
      <c r="H54" s="7" t="s">
        <v>15359</v>
      </c>
      <c r="I54" s="7" t="s">
        <v>15360</v>
      </c>
      <c r="J54" s="7" t="s">
        <v>15266</v>
      </c>
      <c r="K54" s="7" t="s">
        <v>15361</v>
      </c>
      <c r="L54" s="12">
        <v>1</v>
      </c>
      <c r="M54" s="7" t="s">
        <v>15268</v>
      </c>
    </row>
    <row r="55" spans="2:13" ht="37.5" customHeight="1" x14ac:dyDescent="0.35">
      <c r="B55" s="11">
        <v>1</v>
      </c>
      <c r="C55" s="5" t="s">
        <v>15261</v>
      </c>
      <c r="D55" s="11">
        <v>51</v>
      </c>
      <c r="E55" s="5" t="s">
        <v>15373</v>
      </c>
      <c r="F55" s="5" t="s">
        <v>15374</v>
      </c>
      <c r="G55" s="5" t="s">
        <v>3328</v>
      </c>
      <c r="H55" s="5" t="s">
        <v>15359</v>
      </c>
      <c r="I55" s="5" t="s">
        <v>15360</v>
      </c>
      <c r="J55" s="5" t="s">
        <v>15266</v>
      </c>
      <c r="K55" s="5" t="s">
        <v>15361</v>
      </c>
      <c r="L55" s="11">
        <v>1</v>
      </c>
      <c r="M55" s="5" t="s">
        <v>15268</v>
      </c>
    </row>
    <row r="56" spans="2:13" ht="37.5" customHeight="1" x14ac:dyDescent="0.35">
      <c r="B56" s="12">
        <v>1</v>
      </c>
      <c r="C56" s="7" t="s">
        <v>15261</v>
      </c>
      <c r="D56" s="12">
        <v>52</v>
      </c>
      <c r="E56" s="7" t="s">
        <v>15375</v>
      </c>
      <c r="F56" s="7" t="s">
        <v>15376</v>
      </c>
      <c r="G56" s="7" t="s">
        <v>560</v>
      </c>
      <c r="H56" s="7" t="s">
        <v>15359</v>
      </c>
      <c r="I56" s="7" t="s">
        <v>15360</v>
      </c>
      <c r="J56" s="7" t="s">
        <v>15266</v>
      </c>
      <c r="K56" s="7" t="s">
        <v>15361</v>
      </c>
      <c r="L56" s="12">
        <v>1</v>
      </c>
      <c r="M56" s="7" t="s">
        <v>15268</v>
      </c>
    </row>
    <row r="57" spans="2:13" ht="37.5" customHeight="1" x14ac:dyDescent="0.35">
      <c r="B57" s="11">
        <v>1</v>
      </c>
      <c r="C57" s="5" t="s">
        <v>15261</v>
      </c>
      <c r="D57" s="11">
        <v>53</v>
      </c>
      <c r="E57" s="5" t="s">
        <v>15377</v>
      </c>
      <c r="F57" s="5" t="s">
        <v>15378</v>
      </c>
      <c r="G57" s="5" t="s">
        <v>202</v>
      </c>
      <c r="H57" s="5" t="s">
        <v>15359</v>
      </c>
      <c r="I57" s="5" t="s">
        <v>15360</v>
      </c>
      <c r="J57" s="5" t="s">
        <v>15266</v>
      </c>
      <c r="K57" s="5" t="s">
        <v>15361</v>
      </c>
      <c r="L57" s="11">
        <v>1</v>
      </c>
      <c r="M57" s="5" t="s">
        <v>15268</v>
      </c>
    </row>
    <row r="58" spans="2:13" ht="37.5" customHeight="1" x14ac:dyDescent="0.35">
      <c r="B58" s="12">
        <v>1</v>
      </c>
      <c r="C58" s="7" t="s">
        <v>15261</v>
      </c>
      <c r="D58" s="12">
        <v>54</v>
      </c>
      <c r="E58" s="7" t="s">
        <v>15379</v>
      </c>
      <c r="F58" s="7" t="s">
        <v>15380</v>
      </c>
      <c r="G58" s="7" t="s">
        <v>2254</v>
      </c>
      <c r="H58" s="7" t="s">
        <v>15381</v>
      </c>
      <c r="I58" s="7" t="s">
        <v>15301</v>
      </c>
      <c r="J58" s="7" t="s">
        <v>15266</v>
      </c>
      <c r="K58" s="7" t="s">
        <v>15382</v>
      </c>
      <c r="L58" s="12">
        <v>1</v>
      </c>
      <c r="M58" s="7" t="s">
        <v>15268</v>
      </c>
    </row>
    <row r="59" spans="2:13" ht="37.5" customHeight="1" x14ac:dyDescent="0.35">
      <c r="B59" s="11">
        <v>1</v>
      </c>
      <c r="C59" s="5" t="s">
        <v>15261</v>
      </c>
      <c r="D59" s="11">
        <v>55</v>
      </c>
      <c r="E59" s="5" t="s">
        <v>15383</v>
      </c>
      <c r="F59" s="5" t="s">
        <v>15384</v>
      </c>
      <c r="G59" s="5" t="s">
        <v>10073</v>
      </c>
      <c r="H59" s="5" t="s">
        <v>1046</v>
      </c>
      <c r="I59" s="5" t="s">
        <v>15301</v>
      </c>
      <c r="J59" s="5" t="s">
        <v>15266</v>
      </c>
      <c r="K59" s="5" t="s">
        <v>15385</v>
      </c>
      <c r="L59" s="11">
        <v>1</v>
      </c>
      <c r="M59" s="5" t="s">
        <v>15268</v>
      </c>
    </row>
    <row r="60" spans="2:13" ht="37.5" customHeight="1" x14ac:dyDescent="0.35">
      <c r="B60" s="12">
        <v>1</v>
      </c>
      <c r="C60" s="7" t="s">
        <v>15261</v>
      </c>
      <c r="D60" s="12">
        <v>56</v>
      </c>
      <c r="E60" s="7" t="s">
        <v>15386</v>
      </c>
      <c r="F60" s="7" t="s">
        <v>15387</v>
      </c>
      <c r="G60" s="7" t="s">
        <v>28</v>
      </c>
      <c r="H60" s="7" t="s">
        <v>36</v>
      </c>
      <c r="I60" s="7" t="s">
        <v>15301</v>
      </c>
      <c r="J60" s="7" t="s">
        <v>15266</v>
      </c>
      <c r="K60" s="7" t="s">
        <v>15388</v>
      </c>
      <c r="L60" s="12">
        <v>1</v>
      </c>
      <c r="M60" s="7" t="s">
        <v>15268</v>
      </c>
    </row>
    <row r="61" spans="2:13" ht="37.5" customHeight="1" x14ac:dyDescent="0.35">
      <c r="B61" s="11">
        <v>1</v>
      </c>
      <c r="C61" s="5" t="s">
        <v>15261</v>
      </c>
      <c r="D61" s="11">
        <v>57</v>
      </c>
      <c r="E61" s="5" t="s">
        <v>15389</v>
      </c>
      <c r="F61" s="5" t="s">
        <v>15390</v>
      </c>
      <c r="G61" s="5" t="s">
        <v>891</v>
      </c>
      <c r="H61" s="5" t="s">
        <v>36</v>
      </c>
      <c r="I61" s="5" t="s">
        <v>15301</v>
      </c>
      <c r="J61" s="5" t="s">
        <v>15266</v>
      </c>
      <c r="K61" s="5" t="s">
        <v>15388</v>
      </c>
      <c r="L61" s="11">
        <v>1</v>
      </c>
      <c r="M61" s="5" t="s">
        <v>15268</v>
      </c>
    </row>
    <row r="62" spans="2:13" ht="37.5" customHeight="1" x14ac:dyDescent="0.35">
      <c r="B62" s="12">
        <v>1</v>
      </c>
      <c r="C62" s="7" t="s">
        <v>15261</v>
      </c>
      <c r="D62" s="12">
        <v>58</v>
      </c>
      <c r="E62" s="7" t="s">
        <v>15391</v>
      </c>
      <c r="F62" s="7" t="s">
        <v>15392</v>
      </c>
      <c r="G62" s="7" t="s">
        <v>1699</v>
      </c>
      <c r="H62" s="7" t="s">
        <v>36</v>
      </c>
      <c r="I62" s="7" t="s">
        <v>15301</v>
      </c>
      <c r="J62" s="7" t="s">
        <v>15266</v>
      </c>
      <c r="K62" s="7" t="s">
        <v>15388</v>
      </c>
      <c r="L62" s="12">
        <v>1</v>
      </c>
      <c r="M62" s="7" t="s">
        <v>15268</v>
      </c>
    </row>
    <row r="63" spans="2:13" ht="37.5" customHeight="1" x14ac:dyDescent="0.35">
      <c r="B63" s="11">
        <v>1</v>
      </c>
      <c r="C63" s="5" t="s">
        <v>15261</v>
      </c>
      <c r="D63" s="11">
        <v>59</v>
      </c>
      <c r="E63" s="5" t="s">
        <v>15393</v>
      </c>
      <c r="F63" s="5" t="s">
        <v>15394</v>
      </c>
      <c r="G63" s="5" t="s">
        <v>9522</v>
      </c>
      <c r="H63" s="5" t="s">
        <v>36</v>
      </c>
      <c r="I63" s="5" t="s">
        <v>15301</v>
      </c>
      <c r="J63" s="5" t="s">
        <v>15266</v>
      </c>
      <c r="K63" s="5" t="s">
        <v>15388</v>
      </c>
      <c r="L63" s="11">
        <v>1</v>
      </c>
      <c r="M63" s="5" t="s">
        <v>15268</v>
      </c>
    </row>
    <row r="64" spans="2:13" ht="37.5" customHeight="1" x14ac:dyDescent="0.35">
      <c r="B64" s="12">
        <v>1</v>
      </c>
      <c r="C64" s="7" t="s">
        <v>15261</v>
      </c>
      <c r="D64" s="12">
        <v>60</v>
      </c>
      <c r="E64" s="7" t="s">
        <v>15395</v>
      </c>
      <c r="F64" s="7" t="s">
        <v>15396</v>
      </c>
      <c r="G64" s="7" t="s">
        <v>15397</v>
      </c>
      <c r="H64" s="7" t="s">
        <v>36</v>
      </c>
      <c r="I64" s="7" t="s">
        <v>15301</v>
      </c>
      <c r="J64" s="7" t="s">
        <v>15266</v>
      </c>
      <c r="K64" s="7" t="s">
        <v>15388</v>
      </c>
      <c r="L64" s="12">
        <v>1</v>
      </c>
      <c r="M64" s="7" t="s">
        <v>15268</v>
      </c>
    </row>
    <row r="65" spans="2:13" ht="37.5" customHeight="1" x14ac:dyDescent="0.35">
      <c r="B65" s="11">
        <v>1</v>
      </c>
      <c r="C65" s="5" t="s">
        <v>15261</v>
      </c>
      <c r="D65" s="11">
        <v>61</v>
      </c>
      <c r="E65" s="5" t="s">
        <v>15398</v>
      </c>
      <c r="F65" s="5" t="s">
        <v>15399</v>
      </c>
      <c r="G65" s="5" t="s">
        <v>15400</v>
      </c>
      <c r="H65" s="5" t="s">
        <v>36</v>
      </c>
      <c r="I65" s="5" t="s">
        <v>15301</v>
      </c>
      <c r="J65" s="5" t="s">
        <v>15266</v>
      </c>
      <c r="K65" s="5" t="s">
        <v>15388</v>
      </c>
      <c r="L65" s="11">
        <v>1</v>
      </c>
      <c r="M65" s="5" t="s">
        <v>15268</v>
      </c>
    </row>
    <row r="66" spans="2:13" ht="37.5" customHeight="1" x14ac:dyDescent="0.35">
      <c r="B66" s="12">
        <v>1</v>
      </c>
      <c r="C66" s="7" t="s">
        <v>15261</v>
      </c>
      <c r="D66" s="12">
        <v>62</v>
      </c>
      <c r="E66" s="7" t="s">
        <v>15401</v>
      </c>
      <c r="F66" s="7" t="s">
        <v>15402</v>
      </c>
      <c r="G66" s="7" t="s">
        <v>566</v>
      </c>
      <c r="H66" s="7" t="s">
        <v>36</v>
      </c>
      <c r="I66" s="7" t="s">
        <v>15301</v>
      </c>
      <c r="J66" s="7" t="s">
        <v>15266</v>
      </c>
      <c r="K66" s="7" t="s">
        <v>15388</v>
      </c>
      <c r="L66" s="12">
        <v>1</v>
      </c>
      <c r="M66" s="7" t="s">
        <v>15268</v>
      </c>
    </row>
    <row r="67" spans="2:13" ht="37.5" customHeight="1" x14ac:dyDescent="0.35">
      <c r="B67" s="11">
        <v>1</v>
      </c>
      <c r="C67" s="5" t="s">
        <v>15261</v>
      </c>
      <c r="D67" s="11">
        <v>63</v>
      </c>
      <c r="E67" s="5" t="s">
        <v>15403</v>
      </c>
      <c r="F67" s="5" t="s">
        <v>15404</v>
      </c>
      <c r="G67" s="5" t="s">
        <v>1127</v>
      </c>
      <c r="H67" s="5" t="s">
        <v>36</v>
      </c>
      <c r="I67" s="5" t="s">
        <v>15301</v>
      </c>
      <c r="J67" s="5" t="s">
        <v>15266</v>
      </c>
      <c r="K67" s="5" t="s">
        <v>15388</v>
      </c>
      <c r="L67" s="11">
        <v>1</v>
      </c>
      <c r="M67" s="5" t="s">
        <v>15268</v>
      </c>
    </row>
    <row r="68" spans="2:13" ht="37.5" customHeight="1" x14ac:dyDescent="0.35">
      <c r="B68" s="12">
        <v>1</v>
      </c>
      <c r="C68" s="7" t="s">
        <v>15261</v>
      </c>
      <c r="D68" s="12">
        <v>64</v>
      </c>
      <c r="E68" s="7" t="s">
        <v>15405</v>
      </c>
      <c r="F68" s="7" t="s">
        <v>15406</v>
      </c>
      <c r="G68" s="7" t="s">
        <v>9636</v>
      </c>
      <c r="H68" s="7" t="s">
        <v>36</v>
      </c>
      <c r="I68" s="7" t="s">
        <v>15301</v>
      </c>
      <c r="J68" s="7" t="s">
        <v>15266</v>
      </c>
      <c r="K68" s="7" t="s">
        <v>15388</v>
      </c>
      <c r="L68" s="12">
        <v>1</v>
      </c>
      <c r="M68" s="7" t="s">
        <v>15268</v>
      </c>
    </row>
    <row r="69" spans="2:13" ht="37.5" customHeight="1" x14ac:dyDescent="0.35">
      <c r="B69" s="11">
        <v>1</v>
      </c>
      <c r="C69" s="5" t="s">
        <v>15261</v>
      </c>
      <c r="D69" s="11">
        <v>65</v>
      </c>
      <c r="E69" s="5" t="s">
        <v>15407</v>
      </c>
      <c r="F69" s="5" t="s">
        <v>15408</v>
      </c>
      <c r="G69" s="5" t="s">
        <v>1252</v>
      </c>
      <c r="H69" s="5" t="s">
        <v>36</v>
      </c>
      <c r="I69" s="5" t="s">
        <v>15301</v>
      </c>
      <c r="J69" s="5" t="s">
        <v>15266</v>
      </c>
      <c r="K69" s="5" t="s">
        <v>15388</v>
      </c>
      <c r="L69" s="11">
        <v>1</v>
      </c>
      <c r="M69" s="5" t="s">
        <v>15268</v>
      </c>
    </row>
    <row r="70" spans="2:13" ht="37.5" customHeight="1" x14ac:dyDescent="0.35">
      <c r="B70" s="12">
        <v>1</v>
      </c>
      <c r="C70" s="7" t="s">
        <v>15261</v>
      </c>
      <c r="D70" s="12">
        <v>66</v>
      </c>
      <c r="E70" s="7" t="s">
        <v>15409</v>
      </c>
      <c r="F70" s="7" t="s">
        <v>15410</v>
      </c>
      <c r="G70" s="7" t="s">
        <v>549</v>
      </c>
      <c r="H70" s="7" t="s">
        <v>36</v>
      </c>
      <c r="I70" s="7" t="s">
        <v>15301</v>
      </c>
      <c r="J70" s="7" t="s">
        <v>15266</v>
      </c>
      <c r="K70" s="7" t="s">
        <v>15388</v>
      </c>
      <c r="L70" s="12">
        <v>1</v>
      </c>
      <c r="M70" s="7" t="s">
        <v>15268</v>
      </c>
    </row>
    <row r="71" spans="2:13" ht="37.5" customHeight="1" x14ac:dyDescent="0.35">
      <c r="B71" s="11">
        <v>1</v>
      </c>
      <c r="C71" s="5" t="s">
        <v>15261</v>
      </c>
      <c r="D71" s="11">
        <v>67</v>
      </c>
      <c r="E71" s="5" t="s">
        <v>15411</v>
      </c>
      <c r="F71" s="5" t="s">
        <v>15412</v>
      </c>
      <c r="G71" s="5" t="s">
        <v>244</v>
      </c>
      <c r="H71" s="5" t="s">
        <v>36</v>
      </c>
      <c r="I71" s="5" t="s">
        <v>15301</v>
      </c>
      <c r="J71" s="5" t="s">
        <v>15266</v>
      </c>
      <c r="K71" s="5" t="s">
        <v>15388</v>
      </c>
      <c r="L71" s="11">
        <v>1</v>
      </c>
      <c r="M71" s="5" t="s">
        <v>15268</v>
      </c>
    </row>
    <row r="72" spans="2:13" ht="37.5" customHeight="1" x14ac:dyDescent="0.35">
      <c r="B72" s="12">
        <v>1</v>
      </c>
      <c r="C72" s="7" t="s">
        <v>15261</v>
      </c>
      <c r="D72" s="12">
        <v>68</v>
      </c>
      <c r="E72" s="7" t="s">
        <v>15413</v>
      </c>
      <c r="F72" s="7" t="s">
        <v>15414</v>
      </c>
      <c r="G72" s="7" t="s">
        <v>15415</v>
      </c>
      <c r="H72" s="7" t="s">
        <v>36</v>
      </c>
      <c r="I72" s="7" t="s">
        <v>15301</v>
      </c>
      <c r="J72" s="7" t="s">
        <v>15266</v>
      </c>
      <c r="K72" s="7" t="s">
        <v>15388</v>
      </c>
      <c r="L72" s="12">
        <v>1</v>
      </c>
      <c r="M72" s="7" t="s">
        <v>15268</v>
      </c>
    </row>
    <row r="73" spans="2:13" ht="37.5" customHeight="1" x14ac:dyDescent="0.35">
      <c r="B73" s="11">
        <v>1</v>
      </c>
      <c r="C73" s="5" t="s">
        <v>15261</v>
      </c>
      <c r="D73" s="11">
        <v>69</v>
      </c>
      <c r="E73" s="5" t="s">
        <v>15416</v>
      </c>
      <c r="F73" s="5" t="s">
        <v>15417</v>
      </c>
      <c r="G73" s="5" t="s">
        <v>1045</v>
      </c>
      <c r="H73" s="5" t="s">
        <v>36</v>
      </c>
      <c r="I73" s="5" t="s">
        <v>15301</v>
      </c>
      <c r="J73" s="5" t="s">
        <v>15266</v>
      </c>
      <c r="K73" s="5" t="s">
        <v>15388</v>
      </c>
      <c r="L73" s="11">
        <v>1</v>
      </c>
      <c r="M73" s="5" t="s">
        <v>15268</v>
      </c>
    </row>
    <row r="74" spans="2:13" ht="37.5" customHeight="1" x14ac:dyDescent="0.35">
      <c r="B74" s="12">
        <v>1</v>
      </c>
      <c r="C74" s="7" t="s">
        <v>15261</v>
      </c>
      <c r="D74" s="12">
        <v>70</v>
      </c>
      <c r="E74" s="7" t="s">
        <v>15418</v>
      </c>
      <c r="F74" s="7" t="s">
        <v>15419</v>
      </c>
      <c r="G74" s="7" t="s">
        <v>950</v>
      </c>
      <c r="H74" s="7" t="s">
        <v>36</v>
      </c>
      <c r="I74" s="7" t="s">
        <v>15301</v>
      </c>
      <c r="J74" s="7" t="s">
        <v>15266</v>
      </c>
      <c r="K74" s="7" t="s">
        <v>15388</v>
      </c>
      <c r="L74" s="12">
        <v>1</v>
      </c>
      <c r="M74" s="7" t="s">
        <v>15268</v>
      </c>
    </row>
    <row r="75" spans="2:13" ht="37.5" customHeight="1" x14ac:dyDescent="0.35">
      <c r="B75" s="11">
        <v>1</v>
      </c>
      <c r="C75" s="5" t="s">
        <v>15261</v>
      </c>
      <c r="D75" s="11">
        <v>71</v>
      </c>
      <c r="E75" s="5" t="s">
        <v>15420</v>
      </c>
      <c r="F75" s="5" t="s">
        <v>15421</v>
      </c>
      <c r="G75" s="5" t="s">
        <v>752</v>
      </c>
      <c r="H75" s="5" t="s">
        <v>36</v>
      </c>
      <c r="I75" s="5" t="s">
        <v>15301</v>
      </c>
      <c r="J75" s="5" t="s">
        <v>15266</v>
      </c>
      <c r="K75" s="5" t="s">
        <v>15388</v>
      </c>
      <c r="L75" s="11">
        <v>1</v>
      </c>
      <c r="M75" s="5" t="s">
        <v>15268</v>
      </c>
    </row>
    <row r="76" spans="2:13" ht="37.5" customHeight="1" x14ac:dyDescent="0.35">
      <c r="B76" s="12">
        <v>1</v>
      </c>
      <c r="C76" s="7" t="s">
        <v>15261</v>
      </c>
      <c r="D76" s="12">
        <v>72</v>
      </c>
      <c r="E76" s="7" t="s">
        <v>15422</v>
      </c>
      <c r="F76" s="7" t="s">
        <v>15423</v>
      </c>
      <c r="G76" s="7" t="s">
        <v>1793</v>
      </c>
      <c r="H76" s="7" t="s">
        <v>36</v>
      </c>
      <c r="I76" s="7" t="s">
        <v>15301</v>
      </c>
      <c r="J76" s="7" t="s">
        <v>15266</v>
      </c>
      <c r="K76" s="7" t="s">
        <v>15388</v>
      </c>
      <c r="L76" s="12">
        <v>1</v>
      </c>
      <c r="M76" s="7" t="s">
        <v>15268</v>
      </c>
    </row>
    <row r="77" spans="2:13" ht="37.5" customHeight="1" x14ac:dyDescent="0.35">
      <c r="B77" s="11">
        <v>1</v>
      </c>
      <c r="C77" s="5" t="s">
        <v>15261</v>
      </c>
      <c r="D77" s="11">
        <v>73</v>
      </c>
      <c r="E77" s="5" t="s">
        <v>15424</v>
      </c>
      <c r="F77" s="5" t="s">
        <v>15425</v>
      </c>
      <c r="G77" s="5" t="s">
        <v>825</v>
      </c>
      <c r="H77" s="5" t="s">
        <v>1046</v>
      </c>
      <c r="I77" s="5" t="s">
        <v>15301</v>
      </c>
      <c r="J77" s="5" t="s">
        <v>15266</v>
      </c>
      <c r="K77" s="5" t="s">
        <v>15385</v>
      </c>
      <c r="L77" s="11">
        <v>1</v>
      </c>
      <c r="M77" s="5" t="s">
        <v>15268</v>
      </c>
    </row>
    <row r="78" spans="2:13" ht="52.5" customHeight="1" x14ac:dyDescent="0.35">
      <c r="B78" s="12">
        <v>1</v>
      </c>
      <c r="C78" s="7" t="s">
        <v>15261</v>
      </c>
      <c r="D78" s="12">
        <v>74</v>
      </c>
      <c r="E78" s="7" t="s">
        <v>15426</v>
      </c>
      <c r="F78" s="7" t="s">
        <v>15427</v>
      </c>
      <c r="G78" s="7" t="s">
        <v>678</v>
      </c>
      <c r="H78" s="7" t="s">
        <v>3888</v>
      </c>
      <c r="I78" s="7" t="s">
        <v>15428</v>
      </c>
      <c r="J78" s="7" t="s">
        <v>15266</v>
      </c>
      <c r="K78" s="7" t="s">
        <v>15429</v>
      </c>
      <c r="L78" s="12">
        <v>2</v>
      </c>
      <c r="M78" s="7" t="s">
        <v>15268</v>
      </c>
    </row>
    <row r="79" spans="2:13" ht="52.5" customHeight="1" x14ac:dyDescent="0.35">
      <c r="B79" s="11">
        <v>1</v>
      </c>
      <c r="C79" s="5" t="s">
        <v>15261</v>
      </c>
      <c r="D79" s="11">
        <v>75</v>
      </c>
      <c r="E79" s="5" t="s">
        <v>15430</v>
      </c>
      <c r="F79" s="5" t="s">
        <v>15431</v>
      </c>
      <c r="G79" s="5" t="s">
        <v>4820</v>
      </c>
      <c r="H79" s="5" t="s">
        <v>3888</v>
      </c>
      <c r="I79" s="5" t="s">
        <v>15428</v>
      </c>
      <c r="J79" s="5" t="s">
        <v>15266</v>
      </c>
      <c r="K79" s="5" t="s">
        <v>15429</v>
      </c>
      <c r="L79" s="11">
        <v>2</v>
      </c>
      <c r="M79" s="5" t="s">
        <v>15268</v>
      </c>
    </row>
    <row r="80" spans="2:13" ht="37.5" customHeight="1" x14ac:dyDescent="0.35">
      <c r="B80" s="12">
        <v>1</v>
      </c>
      <c r="C80" s="7" t="s">
        <v>15261</v>
      </c>
      <c r="D80" s="12">
        <v>76</v>
      </c>
      <c r="E80" s="7" t="s">
        <v>15432</v>
      </c>
      <c r="F80" s="7" t="s">
        <v>15433</v>
      </c>
      <c r="G80" s="7" t="s">
        <v>1180</v>
      </c>
      <c r="H80" s="7" t="s">
        <v>1046</v>
      </c>
      <c r="I80" s="7" t="s">
        <v>15301</v>
      </c>
      <c r="J80" s="7" t="s">
        <v>15266</v>
      </c>
      <c r="K80" s="7" t="s">
        <v>15385</v>
      </c>
      <c r="L80" s="12">
        <v>1</v>
      </c>
      <c r="M80" s="7" t="s">
        <v>15268</v>
      </c>
    </row>
    <row r="81" spans="2:13" ht="52.5" customHeight="1" x14ac:dyDescent="0.35">
      <c r="B81" s="11">
        <v>1</v>
      </c>
      <c r="C81" s="5" t="s">
        <v>15261</v>
      </c>
      <c r="D81" s="11">
        <v>77</v>
      </c>
      <c r="E81" s="5" t="s">
        <v>15434</v>
      </c>
      <c r="F81" s="5" t="s">
        <v>15435</v>
      </c>
      <c r="G81" s="5" t="s">
        <v>2135</v>
      </c>
      <c r="H81" s="5" t="s">
        <v>3888</v>
      </c>
      <c r="I81" s="5" t="s">
        <v>15428</v>
      </c>
      <c r="J81" s="5" t="s">
        <v>15266</v>
      </c>
      <c r="K81" s="5" t="s">
        <v>15429</v>
      </c>
      <c r="L81" s="11">
        <v>2</v>
      </c>
      <c r="M81" s="5" t="s">
        <v>15268</v>
      </c>
    </row>
    <row r="82" spans="2:13" ht="37.5" customHeight="1" x14ac:dyDescent="0.35">
      <c r="B82" s="12">
        <v>1</v>
      </c>
      <c r="C82" s="7" t="s">
        <v>15261</v>
      </c>
      <c r="D82" s="12">
        <v>78</v>
      </c>
      <c r="E82" s="7" t="s">
        <v>15436</v>
      </c>
      <c r="F82" s="7" t="s">
        <v>15437</v>
      </c>
      <c r="G82" s="7" t="s">
        <v>880</v>
      </c>
      <c r="H82" s="7" t="s">
        <v>1046</v>
      </c>
      <c r="I82" s="7" t="s">
        <v>15301</v>
      </c>
      <c r="J82" s="7" t="s">
        <v>15266</v>
      </c>
      <c r="K82" s="7" t="s">
        <v>15385</v>
      </c>
      <c r="L82" s="12">
        <v>1</v>
      </c>
      <c r="M82" s="7" t="s">
        <v>15268</v>
      </c>
    </row>
    <row r="83" spans="2:13" ht="37.5" customHeight="1" x14ac:dyDescent="0.35">
      <c r="B83" s="11">
        <v>1</v>
      </c>
      <c r="C83" s="5" t="s">
        <v>15261</v>
      </c>
      <c r="D83" s="11">
        <v>79</v>
      </c>
      <c r="E83" s="5" t="s">
        <v>15438</v>
      </c>
      <c r="F83" s="5" t="s">
        <v>15439</v>
      </c>
      <c r="G83" s="5" t="s">
        <v>8182</v>
      </c>
      <c r="H83" s="5" t="s">
        <v>1046</v>
      </c>
      <c r="I83" s="5" t="s">
        <v>15301</v>
      </c>
      <c r="J83" s="5" t="s">
        <v>15266</v>
      </c>
      <c r="K83" s="5" t="s">
        <v>15385</v>
      </c>
      <c r="L83" s="11">
        <v>1</v>
      </c>
      <c r="M83" s="5" t="s">
        <v>15268</v>
      </c>
    </row>
    <row r="84" spans="2:13" ht="21.75" customHeight="1" x14ac:dyDescent="0.35">
      <c r="B84" s="12">
        <v>1</v>
      </c>
      <c r="C84" s="7" t="s">
        <v>15261</v>
      </c>
      <c r="D84" s="12">
        <v>80</v>
      </c>
      <c r="E84" s="7" t="s">
        <v>15440</v>
      </c>
      <c r="F84" s="7" t="s">
        <v>15441</v>
      </c>
      <c r="G84" s="7" t="s">
        <v>1781</v>
      </c>
      <c r="H84" s="7" t="s">
        <v>36</v>
      </c>
      <c r="I84" s="7" t="s">
        <v>8477</v>
      </c>
      <c r="J84" s="7" t="s">
        <v>15266</v>
      </c>
      <c r="K84" s="7" t="s">
        <v>15442</v>
      </c>
      <c r="L84" s="12">
        <v>1</v>
      </c>
      <c r="M84" s="7" t="s">
        <v>15268</v>
      </c>
    </row>
    <row r="85" spans="2:13" ht="37.5" customHeight="1" x14ac:dyDescent="0.35">
      <c r="B85" s="11">
        <v>1</v>
      </c>
      <c r="C85" s="5" t="s">
        <v>15261</v>
      </c>
      <c r="D85" s="11">
        <v>81</v>
      </c>
      <c r="E85" s="5" t="s">
        <v>15443</v>
      </c>
      <c r="F85" s="5" t="s">
        <v>15444</v>
      </c>
      <c r="G85" s="5" t="s">
        <v>15445</v>
      </c>
      <c r="H85" s="5" t="s">
        <v>36</v>
      </c>
      <c r="I85" s="5" t="s">
        <v>8477</v>
      </c>
      <c r="J85" s="5" t="s">
        <v>15266</v>
      </c>
      <c r="K85" s="5" t="s">
        <v>15442</v>
      </c>
      <c r="L85" s="11">
        <v>1</v>
      </c>
      <c r="M85" s="5" t="s">
        <v>15268</v>
      </c>
    </row>
    <row r="86" spans="2:13" ht="52.5" customHeight="1" x14ac:dyDescent="0.35">
      <c r="B86" s="12">
        <v>3</v>
      </c>
      <c r="C86" s="7" t="s">
        <v>15446</v>
      </c>
      <c r="D86" s="12">
        <v>1</v>
      </c>
      <c r="E86" s="7" t="s">
        <v>15446</v>
      </c>
      <c r="F86" s="7" t="s">
        <v>15447</v>
      </c>
      <c r="G86" s="7" t="s">
        <v>15448</v>
      </c>
      <c r="H86" s="7" t="s">
        <v>15449</v>
      </c>
      <c r="I86" s="7" t="s">
        <v>15450</v>
      </c>
      <c r="J86" s="7" t="s">
        <v>15451</v>
      </c>
      <c r="K86" s="7" t="s">
        <v>15452</v>
      </c>
      <c r="L86" s="12">
        <v>1</v>
      </c>
      <c r="M86" s="7" t="s">
        <v>15453</v>
      </c>
    </row>
    <row r="87" spans="2:13" ht="37.5" customHeight="1" x14ac:dyDescent="0.35">
      <c r="B87" s="11">
        <v>4</v>
      </c>
      <c r="C87" s="5" t="s">
        <v>15454</v>
      </c>
      <c r="D87" s="11">
        <v>1</v>
      </c>
      <c r="E87" s="5" t="s">
        <v>15455</v>
      </c>
      <c r="F87" s="5" t="s">
        <v>15456</v>
      </c>
      <c r="G87" s="5" t="s">
        <v>24</v>
      </c>
      <c r="H87" s="5" t="s">
        <v>15264</v>
      </c>
      <c r="I87" s="5" t="s">
        <v>15457</v>
      </c>
      <c r="J87" s="5" t="s">
        <v>15458</v>
      </c>
      <c r="K87" s="5" t="s">
        <v>15459</v>
      </c>
      <c r="L87" s="11">
        <v>1</v>
      </c>
      <c r="M87" s="5" t="s">
        <v>156</v>
      </c>
    </row>
    <row r="88" spans="2:13" ht="37.5" customHeight="1" x14ac:dyDescent="0.35">
      <c r="B88" s="12">
        <v>4</v>
      </c>
      <c r="C88" s="7" t="s">
        <v>15454</v>
      </c>
      <c r="D88" s="12">
        <v>2</v>
      </c>
      <c r="E88" s="7" t="s">
        <v>15460</v>
      </c>
      <c r="F88" s="7" t="s">
        <v>15461</v>
      </c>
      <c r="G88" s="7" t="s">
        <v>497</v>
      </c>
      <c r="H88" s="7" t="s">
        <v>15264</v>
      </c>
      <c r="I88" s="7" t="s">
        <v>15301</v>
      </c>
      <c r="J88" s="7" t="s">
        <v>15266</v>
      </c>
      <c r="K88" s="7" t="s">
        <v>15302</v>
      </c>
      <c r="L88" s="12">
        <v>1</v>
      </c>
      <c r="M88" s="7" t="s">
        <v>156</v>
      </c>
    </row>
    <row r="89" spans="2:13" ht="37.5" customHeight="1" x14ac:dyDescent="0.35">
      <c r="B89" s="11">
        <v>4</v>
      </c>
      <c r="C89" s="5" t="s">
        <v>15454</v>
      </c>
      <c r="D89" s="11">
        <v>3</v>
      </c>
      <c r="E89" s="5" t="s">
        <v>15462</v>
      </c>
      <c r="F89" s="5" t="s">
        <v>15463</v>
      </c>
      <c r="G89" s="5" t="s">
        <v>33</v>
      </c>
      <c r="H89" s="5" t="s">
        <v>15264</v>
      </c>
      <c r="I89" s="5" t="s">
        <v>15457</v>
      </c>
      <c r="J89" s="5" t="s">
        <v>15464</v>
      </c>
      <c r="K89" s="5" t="s">
        <v>15465</v>
      </c>
      <c r="L89" s="11">
        <v>1</v>
      </c>
      <c r="M89" s="5" t="s">
        <v>156</v>
      </c>
    </row>
    <row r="90" spans="2:13" ht="37.5" customHeight="1" x14ac:dyDescent="0.35">
      <c r="B90" s="12">
        <v>4</v>
      </c>
      <c r="C90" s="7" t="s">
        <v>15454</v>
      </c>
      <c r="D90" s="12">
        <v>4</v>
      </c>
      <c r="E90" s="7" t="s">
        <v>15466</v>
      </c>
      <c r="F90" s="7" t="s">
        <v>15467</v>
      </c>
      <c r="G90" s="7" t="s">
        <v>730</v>
      </c>
      <c r="H90" s="7" t="s">
        <v>15264</v>
      </c>
      <c r="I90" s="7" t="s">
        <v>15457</v>
      </c>
      <c r="J90" s="7" t="s">
        <v>15464</v>
      </c>
      <c r="K90" s="7" t="s">
        <v>15465</v>
      </c>
      <c r="L90" s="12">
        <v>1</v>
      </c>
      <c r="M90" s="7" t="s">
        <v>156</v>
      </c>
    </row>
    <row r="91" spans="2:13" ht="37.5" customHeight="1" x14ac:dyDescent="0.35">
      <c r="B91" s="11">
        <v>4</v>
      </c>
      <c r="C91" s="5" t="s">
        <v>15454</v>
      </c>
      <c r="D91" s="11">
        <v>5</v>
      </c>
      <c r="E91" s="5" t="s">
        <v>15468</v>
      </c>
      <c r="F91" s="5" t="s">
        <v>15469</v>
      </c>
      <c r="G91" s="5" t="s">
        <v>14046</v>
      </c>
      <c r="H91" s="5" t="s">
        <v>1046</v>
      </c>
      <c r="I91" s="5" t="s">
        <v>15301</v>
      </c>
      <c r="J91" s="5" t="s">
        <v>15464</v>
      </c>
      <c r="K91" s="5" t="s">
        <v>15470</v>
      </c>
      <c r="L91" s="11">
        <v>1</v>
      </c>
      <c r="M91" s="5" t="s">
        <v>156</v>
      </c>
    </row>
    <row r="92" spans="2:13" ht="37.5" customHeight="1" x14ac:dyDescent="0.35">
      <c r="B92" s="12">
        <v>4</v>
      </c>
      <c r="C92" s="7" t="s">
        <v>15454</v>
      </c>
      <c r="D92" s="12">
        <v>6</v>
      </c>
      <c r="E92" s="7" t="s">
        <v>15471</v>
      </c>
      <c r="F92" s="7" t="s">
        <v>15472</v>
      </c>
      <c r="G92" s="7" t="s">
        <v>831</v>
      </c>
      <c r="H92" s="7" t="s">
        <v>36</v>
      </c>
      <c r="I92" s="7" t="s">
        <v>15301</v>
      </c>
      <c r="J92" s="7" t="s">
        <v>15464</v>
      </c>
      <c r="K92" s="7" t="s">
        <v>15473</v>
      </c>
      <c r="L92" s="12">
        <v>1</v>
      </c>
      <c r="M92" s="7" t="s">
        <v>156</v>
      </c>
    </row>
    <row r="93" spans="2:13" ht="25.5" customHeight="1" x14ac:dyDescent="0.35">
      <c r="B93" s="9" t="s">
        <v>978</v>
      </c>
      <c r="C93" s="9"/>
      <c r="D93" s="9"/>
      <c r="E93" s="16">
        <f>SUBTOTAL(103,E5:E92)</f>
        <v>88</v>
      </c>
      <c r="F93" s="9"/>
      <c r="G93" s="9"/>
      <c r="H93" s="9"/>
      <c r="I93" s="9"/>
      <c r="J93" s="9"/>
      <c r="K93" s="9"/>
      <c r="L93" s="16">
        <f>SUBTOTAL(109,L5:L92)</f>
        <v>91</v>
      </c>
    </row>
    <row r="95" spans="2:13" x14ac:dyDescent="0.2">
      <c r="B95" s="17" t="s">
        <v>979</v>
      </c>
    </row>
  </sheetData>
  <autoFilter ref="B4:M92" xr:uid="{00000000-0009-0000-0000-000006000000}"/>
  <mergeCells count="1"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22"/>
  <sheetViews>
    <sheetView showGridLines="0" zoomScale="90" zoomScaleNormal="90" workbookViewId="0">
      <pane xSplit="1" ySplit="4" topLeftCell="B5" activePane="bottomRight" state="frozen"/>
      <selection pane="bottomLeft" activeCell="A5" sqref="A5"/>
      <selection pane="topRight" activeCell="B1" sqref="B1"/>
      <selection pane="bottomRight"/>
    </sheetView>
  </sheetViews>
  <sheetFormatPr defaultColWidth="8.7421875" defaultRowHeight="15" customHeight="1" x14ac:dyDescent="0.2"/>
  <cols>
    <col min="1" max="1" width="2.95703125" customWidth="1"/>
    <col min="2" max="2" width="9.953125" customWidth="1"/>
    <col min="3" max="3" width="25.9609375" customWidth="1"/>
    <col min="4" max="4" width="9.953125" customWidth="1"/>
    <col min="5" max="5" width="23.9453125" customWidth="1"/>
    <col min="6" max="6" width="13.98828125" customWidth="1"/>
    <col min="7" max="7" width="25.9609375" customWidth="1"/>
    <col min="8" max="8" width="20.04296875" customWidth="1"/>
    <col min="9" max="9" width="23.9453125" customWidth="1"/>
    <col min="10" max="10" width="20.04296875" customWidth="1"/>
    <col min="11" max="11" width="46.00390625" customWidth="1"/>
    <col min="12" max="12" width="9.953125" customWidth="1"/>
    <col min="13" max="13" width="11.97265625" customWidth="1"/>
  </cols>
  <sheetData>
    <row r="2" spans="2:13" ht="31.5" customHeight="1" x14ac:dyDescent="0.2">
      <c r="B2" s="18" t="s">
        <v>15474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ht="7.5" customHeight="1" x14ac:dyDescent="0.2"/>
    <row r="4" spans="2:13" ht="27.75" customHeight="1" x14ac:dyDescent="0.35">
      <c r="B4" s="4" t="s">
        <v>93</v>
      </c>
      <c r="C4" s="4" t="s">
        <v>95</v>
      </c>
      <c r="D4" s="4" t="s">
        <v>97</v>
      </c>
      <c r="E4" s="4" t="s">
        <v>99</v>
      </c>
      <c r="F4" s="4" t="s">
        <v>101</v>
      </c>
      <c r="G4" s="4" t="s">
        <v>103</v>
      </c>
      <c r="H4" s="4" t="s">
        <v>105</v>
      </c>
      <c r="I4" s="4" t="s">
        <v>107</v>
      </c>
      <c r="J4" s="4" t="s">
        <v>109</v>
      </c>
      <c r="K4" s="4" t="s">
        <v>111</v>
      </c>
      <c r="L4" s="4" t="s">
        <v>113</v>
      </c>
      <c r="M4" s="4" t="s">
        <v>147</v>
      </c>
    </row>
    <row r="5" spans="2:13" ht="37.5" customHeight="1" x14ac:dyDescent="0.35">
      <c r="B5" s="11">
        <v>1</v>
      </c>
      <c r="C5" s="5" t="s">
        <v>15475</v>
      </c>
      <c r="D5" s="11">
        <v>1</v>
      </c>
      <c r="E5" s="5" t="s">
        <v>15476</v>
      </c>
      <c r="F5" s="5" t="s">
        <v>15477</v>
      </c>
      <c r="G5" s="5" t="s">
        <v>421</v>
      </c>
      <c r="H5" s="5" t="s">
        <v>15478</v>
      </c>
      <c r="I5" s="5" t="s">
        <v>15479</v>
      </c>
      <c r="J5" s="5" t="s">
        <v>15480</v>
      </c>
      <c r="K5" s="5" t="s">
        <v>15481</v>
      </c>
      <c r="L5" s="11">
        <v>1</v>
      </c>
      <c r="M5" s="5"/>
    </row>
    <row r="6" spans="2:13" ht="37.5" customHeight="1" x14ac:dyDescent="0.35">
      <c r="B6" s="12">
        <v>1</v>
      </c>
      <c r="C6" s="7" t="s">
        <v>15475</v>
      </c>
      <c r="D6" s="12">
        <v>2</v>
      </c>
      <c r="E6" s="7" t="s">
        <v>15482</v>
      </c>
      <c r="F6" s="7" t="s">
        <v>15483</v>
      </c>
      <c r="G6" s="7" t="s">
        <v>1294</v>
      </c>
      <c r="H6" s="7" t="s">
        <v>15484</v>
      </c>
      <c r="I6" s="7" t="s">
        <v>15479</v>
      </c>
      <c r="J6" s="7" t="s">
        <v>15480</v>
      </c>
      <c r="K6" s="7" t="s">
        <v>15485</v>
      </c>
      <c r="L6" s="12">
        <v>1</v>
      </c>
      <c r="M6" s="7"/>
    </row>
    <row r="7" spans="2:13" ht="37.5" customHeight="1" x14ac:dyDescent="0.35">
      <c r="B7" s="11">
        <v>1</v>
      </c>
      <c r="C7" s="5" t="s">
        <v>15475</v>
      </c>
      <c r="D7" s="11">
        <v>3</v>
      </c>
      <c r="E7" s="5" t="s">
        <v>15486</v>
      </c>
      <c r="F7" s="5" t="s">
        <v>15487</v>
      </c>
      <c r="G7" s="5" t="s">
        <v>29</v>
      </c>
      <c r="H7" s="5" t="s">
        <v>15484</v>
      </c>
      <c r="I7" s="5" t="s">
        <v>15479</v>
      </c>
      <c r="J7" s="5" t="s">
        <v>15480</v>
      </c>
      <c r="K7" s="5" t="s">
        <v>15485</v>
      </c>
      <c r="L7" s="11">
        <v>1</v>
      </c>
      <c r="M7" s="5"/>
    </row>
    <row r="8" spans="2:13" ht="37.5" customHeight="1" x14ac:dyDescent="0.35">
      <c r="B8" s="12">
        <v>1</v>
      </c>
      <c r="C8" s="7" t="s">
        <v>15475</v>
      </c>
      <c r="D8" s="12">
        <v>4</v>
      </c>
      <c r="E8" s="7" t="s">
        <v>15488</v>
      </c>
      <c r="F8" s="7" t="s">
        <v>15489</v>
      </c>
      <c r="G8" s="7" t="s">
        <v>560</v>
      </c>
      <c r="H8" s="7" t="s">
        <v>15484</v>
      </c>
      <c r="I8" s="7" t="s">
        <v>15479</v>
      </c>
      <c r="J8" s="7" t="s">
        <v>15480</v>
      </c>
      <c r="K8" s="7" t="s">
        <v>15485</v>
      </c>
      <c r="L8" s="12">
        <v>1</v>
      </c>
      <c r="M8" s="7"/>
    </row>
    <row r="9" spans="2:13" ht="37.5" customHeight="1" x14ac:dyDescent="0.35">
      <c r="B9" s="11">
        <v>1</v>
      </c>
      <c r="C9" s="5" t="s">
        <v>15475</v>
      </c>
      <c r="D9" s="11">
        <v>5</v>
      </c>
      <c r="E9" s="5" t="s">
        <v>15490</v>
      </c>
      <c r="F9" s="5" t="s">
        <v>15491</v>
      </c>
      <c r="G9" s="5" t="s">
        <v>761</v>
      </c>
      <c r="H9" s="5" t="s">
        <v>15484</v>
      </c>
      <c r="I9" s="5" t="s">
        <v>15479</v>
      </c>
      <c r="J9" s="5" t="s">
        <v>15480</v>
      </c>
      <c r="K9" s="5" t="s">
        <v>15485</v>
      </c>
      <c r="L9" s="11">
        <v>1</v>
      </c>
      <c r="M9" s="5"/>
    </row>
    <row r="10" spans="2:13" ht="37.5" customHeight="1" x14ac:dyDescent="0.35">
      <c r="B10" s="12">
        <v>1</v>
      </c>
      <c r="C10" s="7" t="s">
        <v>15475</v>
      </c>
      <c r="D10" s="12">
        <v>6</v>
      </c>
      <c r="E10" s="7" t="s">
        <v>15492</v>
      </c>
      <c r="F10" s="7" t="s">
        <v>15493</v>
      </c>
      <c r="G10" s="7" t="s">
        <v>439</v>
      </c>
      <c r="H10" s="7" t="s">
        <v>15484</v>
      </c>
      <c r="I10" s="7" t="s">
        <v>15479</v>
      </c>
      <c r="J10" s="7" t="s">
        <v>15480</v>
      </c>
      <c r="K10" s="7" t="s">
        <v>15485</v>
      </c>
      <c r="L10" s="12">
        <v>1</v>
      </c>
      <c r="M10" s="7"/>
    </row>
    <row r="11" spans="2:13" ht="37.5" customHeight="1" x14ac:dyDescent="0.35">
      <c r="B11" s="11">
        <v>1</v>
      </c>
      <c r="C11" s="5" t="s">
        <v>15475</v>
      </c>
      <c r="D11" s="11">
        <v>7</v>
      </c>
      <c r="E11" s="5" t="s">
        <v>15494</v>
      </c>
      <c r="F11" s="5" t="s">
        <v>15495</v>
      </c>
      <c r="G11" s="5" t="s">
        <v>24</v>
      </c>
      <c r="H11" s="5" t="s">
        <v>15484</v>
      </c>
      <c r="I11" s="5" t="s">
        <v>15479</v>
      </c>
      <c r="J11" s="5" t="s">
        <v>15480</v>
      </c>
      <c r="K11" s="5" t="s">
        <v>15485</v>
      </c>
      <c r="L11" s="11">
        <v>1</v>
      </c>
      <c r="M11" s="5"/>
    </row>
    <row r="12" spans="2:13" ht="37.5" customHeight="1" x14ac:dyDescent="0.35">
      <c r="B12" s="12">
        <v>1</v>
      </c>
      <c r="C12" s="7" t="s">
        <v>15475</v>
      </c>
      <c r="D12" s="12">
        <v>8</v>
      </c>
      <c r="E12" s="7" t="s">
        <v>15496</v>
      </c>
      <c r="F12" s="7" t="s">
        <v>15497</v>
      </c>
      <c r="G12" s="7" t="s">
        <v>15498</v>
      </c>
      <c r="H12" s="7" t="s">
        <v>15484</v>
      </c>
      <c r="I12" s="7" t="s">
        <v>15479</v>
      </c>
      <c r="J12" s="7" t="s">
        <v>15480</v>
      </c>
      <c r="K12" s="7" t="s">
        <v>15485</v>
      </c>
      <c r="L12" s="12">
        <v>1</v>
      </c>
      <c r="M12" s="7"/>
    </row>
    <row r="13" spans="2:13" ht="37.5" customHeight="1" x14ac:dyDescent="0.35">
      <c r="B13" s="11">
        <v>1</v>
      </c>
      <c r="C13" s="5" t="s">
        <v>15475</v>
      </c>
      <c r="D13" s="11">
        <v>9</v>
      </c>
      <c r="E13" s="5" t="s">
        <v>15499</v>
      </c>
      <c r="F13" s="5" t="s">
        <v>15500</v>
      </c>
      <c r="G13" s="5" t="s">
        <v>1781</v>
      </c>
      <c r="H13" s="5" t="s">
        <v>15484</v>
      </c>
      <c r="I13" s="5" t="s">
        <v>15479</v>
      </c>
      <c r="J13" s="5" t="s">
        <v>15480</v>
      </c>
      <c r="K13" s="5" t="s">
        <v>15485</v>
      </c>
      <c r="L13" s="11">
        <v>1</v>
      </c>
      <c r="M13" s="5"/>
    </row>
    <row r="14" spans="2:13" ht="37.5" customHeight="1" x14ac:dyDescent="0.35">
      <c r="B14" s="12">
        <v>2</v>
      </c>
      <c r="C14" s="7" t="s">
        <v>15501</v>
      </c>
      <c r="D14" s="12">
        <v>1</v>
      </c>
      <c r="E14" s="7" t="s">
        <v>15501</v>
      </c>
      <c r="F14" s="7" t="s">
        <v>15502</v>
      </c>
      <c r="G14" s="7" t="s">
        <v>472</v>
      </c>
      <c r="H14" s="7" t="s">
        <v>15484</v>
      </c>
      <c r="I14" s="7" t="s">
        <v>15479</v>
      </c>
      <c r="J14" s="7" t="s">
        <v>15503</v>
      </c>
      <c r="K14" s="7" t="s">
        <v>15504</v>
      </c>
      <c r="L14" s="12">
        <v>1</v>
      </c>
      <c r="M14" s="7" t="s">
        <v>15268</v>
      </c>
    </row>
    <row r="15" spans="2:13" ht="37.5" customHeight="1" x14ac:dyDescent="0.35">
      <c r="B15" s="11">
        <v>2</v>
      </c>
      <c r="C15" s="5" t="s">
        <v>15501</v>
      </c>
      <c r="D15" s="11">
        <v>2</v>
      </c>
      <c r="E15" s="5" t="s">
        <v>15505</v>
      </c>
      <c r="F15" s="5" t="s">
        <v>15506</v>
      </c>
      <c r="G15" s="5" t="s">
        <v>372</v>
      </c>
      <c r="H15" s="5" t="s">
        <v>15484</v>
      </c>
      <c r="I15" s="5" t="s">
        <v>15479</v>
      </c>
      <c r="J15" s="5" t="s">
        <v>15503</v>
      </c>
      <c r="K15" s="5" t="s">
        <v>15504</v>
      </c>
      <c r="L15" s="11">
        <v>1</v>
      </c>
      <c r="M15" s="5" t="s">
        <v>15268</v>
      </c>
    </row>
    <row r="16" spans="2:13" ht="37.5" customHeight="1" x14ac:dyDescent="0.35">
      <c r="B16" s="12">
        <v>2</v>
      </c>
      <c r="C16" s="7" t="s">
        <v>15501</v>
      </c>
      <c r="D16" s="12">
        <v>3</v>
      </c>
      <c r="E16" s="7" t="s">
        <v>15507</v>
      </c>
      <c r="F16" s="7" t="s">
        <v>15508</v>
      </c>
      <c r="G16" s="7" t="s">
        <v>25</v>
      </c>
      <c r="H16" s="7" t="s">
        <v>15484</v>
      </c>
      <c r="I16" s="7" t="s">
        <v>15479</v>
      </c>
      <c r="J16" s="7" t="s">
        <v>15503</v>
      </c>
      <c r="K16" s="7" t="s">
        <v>15504</v>
      </c>
      <c r="L16" s="12">
        <v>1</v>
      </c>
      <c r="M16" s="7" t="s">
        <v>15268</v>
      </c>
    </row>
    <row r="17" spans="2:13" ht="37.5" customHeight="1" x14ac:dyDescent="0.35">
      <c r="B17" s="11">
        <v>2</v>
      </c>
      <c r="C17" s="5" t="s">
        <v>15501</v>
      </c>
      <c r="D17" s="11">
        <v>4</v>
      </c>
      <c r="E17" s="5" t="s">
        <v>15509</v>
      </c>
      <c r="F17" s="5" t="s">
        <v>15510</v>
      </c>
      <c r="G17" s="5" t="s">
        <v>3643</v>
      </c>
      <c r="H17" s="5" t="s">
        <v>15484</v>
      </c>
      <c r="I17" s="5" t="s">
        <v>15479</v>
      </c>
      <c r="J17" s="5" t="s">
        <v>15503</v>
      </c>
      <c r="K17" s="5" t="s">
        <v>15504</v>
      </c>
      <c r="L17" s="11">
        <v>1</v>
      </c>
      <c r="M17" s="5" t="s">
        <v>15268</v>
      </c>
    </row>
    <row r="18" spans="2:13" ht="21.75" customHeight="1" x14ac:dyDescent="0.35">
      <c r="B18" s="12">
        <v>2</v>
      </c>
      <c r="C18" s="7" t="s">
        <v>15501</v>
      </c>
      <c r="D18" s="12">
        <v>5</v>
      </c>
      <c r="E18" s="7" t="s">
        <v>15511</v>
      </c>
      <c r="F18" s="7" t="s">
        <v>15512</v>
      </c>
      <c r="G18" s="7" t="s">
        <v>8413</v>
      </c>
      <c r="H18" s="7" t="s">
        <v>15484</v>
      </c>
      <c r="I18" s="7" t="s">
        <v>15479</v>
      </c>
      <c r="J18" s="7" t="s">
        <v>15503</v>
      </c>
      <c r="K18" s="7" t="s">
        <v>15504</v>
      </c>
      <c r="L18" s="12">
        <v>1</v>
      </c>
      <c r="M18" s="7" t="s">
        <v>15268</v>
      </c>
    </row>
    <row r="19" spans="2:13" ht="37.5" customHeight="1" x14ac:dyDescent="0.35">
      <c r="B19" s="11">
        <v>2</v>
      </c>
      <c r="C19" s="5" t="s">
        <v>15501</v>
      </c>
      <c r="D19" s="11">
        <v>6</v>
      </c>
      <c r="E19" s="5" t="s">
        <v>15513</v>
      </c>
      <c r="F19" s="5" t="s">
        <v>15514</v>
      </c>
      <c r="G19" s="5" t="s">
        <v>15515</v>
      </c>
      <c r="H19" s="5" t="s">
        <v>15484</v>
      </c>
      <c r="I19" s="5" t="s">
        <v>15479</v>
      </c>
      <c r="J19" s="5" t="s">
        <v>15503</v>
      </c>
      <c r="K19" s="5" t="s">
        <v>15504</v>
      </c>
      <c r="L19" s="11">
        <v>1</v>
      </c>
      <c r="M19" s="5" t="s">
        <v>15268</v>
      </c>
    </row>
    <row r="20" spans="2:13" ht="25.5" customHeight="1" x14ac:dyDescent="0.35">
      <c r="B20" s="9" t="s">
        <v>978</v>
      </c>
      <c r="C20" s="9"/>
      <c r="D20" s="9"/>
      <c r="E20" s="16">
        <f>SUBTOTAL(103,E5:E19)</f>
        <v>15</v>
      </c>
      <c r="F20" s="9"/>
      <c r="G20" s="9"/>
      <c r="H20" s="9"/>
      <c r="I20" s="9"/>
      <c r="J20" s="9"/>
      <c r="K20" s="9"/>
      <c r="L20" s="16">
        <f>SUBTOTAL(109,L5:L19)</f>
        <v>15</v>
      </c>
    </row>
    <row r="22" spans="2:13" x14ac:dyDescent="0.2">
      <c r="B22" s="17" t="s">
        <v>979</v>
      </c>
    </row>
  </sheetData>
  <autoFilter ref="B4:M19" xr:uid="{00000000-0009-0000-0000-000007000000}"/>
  <mergeCells count="1"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42"/>
  <sheetViews>
    <sheetView showGridLines="0" zoomScale="90" zoomScaleNormal="90" workbookViewId="0">
      <pane xSplit="1" ySplit="4" topLeftCell="B5" activePane="bottomRight" state="frozen"/>
      <selection pane="bottomLeft" activeCell="A5" sqref="A5"/>
      <selection pane="topRight" activeCell="B1" sqref="B1"/>
      <selection pane="bottomRight"/>
    </sheetView>
  </sheetViews>
  <sheetFormatPr defaultColWidth="8.7421875" defaultRowHeight="15" customHeight="1" x14ac:dyDescent="0.2"/>
  <cols>
    <col min="1" max="1" width="2.95703125" customWidth="1"/>
    <col min="2" max="2" width="9.953125" customWidth="1"/>
    <col min="3" max="3" width="25.9609375" customWidth="1"/>
    <col min="4" max="4" width="9.953125" customWidth="1"/>
    <col min="5" max="5" width="23.9453125" customWidth="1"/>
    <col min="6" max="6" width="13.98828125" customWidth="1"/>
    <col min="7" max="7" width="25.9609375" customWidth="1"/>
    <col min="8" max="8" width="20.04296875" customWidth="1"/>
    <col min="9" max="9" width="23.9453125" customWidth="1"/>
    <col min="10" max="10" width="20.04296875" customWidth="1"/>
    <col min="11" max="11" width="46.00390625" customWidth="1"/>
    <col min="12" max="12" width="9.953125" customWidth="1"/>
    <col min="13" max="13" width="11.97265625" customWidth="1"/>
  </cols>
  <sheetData>
    <row r="2" spans="2:13" ht="31.5" customHeight="1" x14ac:dyDescent="0.2">
      <c r="B2" s="18" t="s">
        <v>15516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ht="7.5" customHeight="1" x14ac:dyDescent="0.2"/>
    <row r="4" spans="2:13" ht="27.75" customHeight="1" x14ac:dyDescent="0.35">
      <c r="B4" s="4" t="s">
        <v>93</v>
      </c>
      <c r="C4" s="4" t="s">
        <v>95</v>
      </c>
      <c r="D4" s="4" t="s">
        <v>97</v>
      </c>
      <c r="E4" s="4" t="s">
        <v>99</v>
      </c>
      <c r="F4" s="4" t="s">
        <v>101</v>
      </c>
      <c r="G4" s="4" t="s">
        <v>103</v>
      </c>
      <c r="H4" s="4" t="s">
        <v>105</v>
      </c>
      <c r="I4" s="4" t="s">
        <v>107</v>
      </c>
      <c r="J4" s="4" t="s">
        <v>109</v>
      </c>
      <c r="K4" s="4" t="s">
        <v>111</v>
      </c>
      <c r="L4" s="4" t="s">
        <v>113</v>
      </c>
      <c r="M4" s="4" t="s">
        <v>147</v>
      </c>
    </row>
    <row r="5" spans="2:13" ht="37.5" customHeight="1" x14ac:dyDescent="0.35">
      <c r="B5" s="11">
        <v>1</v>
      </c>
      <c r="C5" s="5" t="s">
        <v>4512</v>
      </c>
      <c r="D5" s="11">
        <v>1</v>
      </c>
      <c r="E5" s="5" t="s">
        <v>15517</v>
      </c>
      <c r="F5" s="5" t="s">
        <v>15518</v>
      </c>
      <c r="G5" s="5" t="s">
        <v>15519</v>
      </c>
      <c r="H5" s="5" t="s">
        <v>37</v>
      </c>
      <c r="I5" s="5" t="s">
        <v>170</v>
      </c>
      <c r="J5" s="5" t="s">
        <v>2617</v>
      </c>
      <c r="K5" s="5" t="s">
        <v>4892</v>
      </c>
      <c r="L5" s="11">
        <v>1</v>
      </c>
      <c r="M5" s="5" t="s">
        <v>4518</v>
      </c>
    </row>
    <row r="6" spans="2:13" ht="21.75" customHeight="1" x14ac:dyDescent="0.35">
      <c r="B6" s="12">
        <v>2</v>
      </c>
      <c r="C6" s="7" t="s">
        <v>15520</v>
      </c>
      <c r="D6" s="12">
        <v>1</v>
      </c>
      <c r="E6" s="7" t="s">
        <v>15521</v>
      </c>
      <c r="F6" s="7" t="s">
        <v>15522</v>
      </c>
      <c r="G6" s="7" t="s">
        <v>15523</v>
      </c>
      <c r="H6" s="7" t="s">
        <v>15524</v>
      </c>
      <c r="I6" s="7" t="s">
        <v>15525</v>
      </c>
      <c r="J6" s="7" t="s">
        <v>15526</v>
      </c>
      <c r="K6" s="7" t="s">
        <v>15527</v>
      </c>
      <c r="L6" s="12">
        <v>1</v>
      </c>
      <c r="M6" s="7"/>
    </row>
    <row r="7" spans="2:13" ht="21.75" customHeight="1" x14ac:dyDescent="0.35">
      <c r="B7" s="11">
        <v>2</v>
      </c>
      <c r="C7" s="5" t="s">
        <v>15520</v>
      </c>
      <c r="D7" s="11">
        <v>2</v>
      </c>
      <c r="E7" s="5" t="s">
        <v>15528</v>
      </c>
      <c r="F7" s="5" t="s">
        <v>15529</v>
      </c>
      <c r="G7" s="5" t="s">
        <v>15523</v>
      </c>
      <c r="H7" s="5" t="s">
        <v>15530</v>
      </c>
      <c r="I7" s="5" t="s">
        <v>15525</v>
      </c>
      <c r="J7" s="5" t="s">
        <v>15531</v>
      </c>
      <c r="K7" s="5" t="s">
        <v>15532</v>
      </c>
      <c r="L7" s="11">
        <v>1</v>
      </c>
      <c r="M7" s="5"/>
    </row>
    <row r="8" spans="2:13" ht="21.75" customHeight="1" x14ac:dyDescent="0.35">
      <c r="B8" s="12">
        <v>2</v>
      </c>
      <c r="C8" s="7" t="s">
        <v>15520</v>
      </c>
      <c r="D8" s="12">
        <v>3</v>
      </c>
      <c r="E8" s="7" t="s">
        <v>15533</v>
      </c>
      <c r="F8" s="7" t="s">
        <v>15534</v>
      </c>
      <c r="G8" s="7" t="s">
        <v>15535</v>
      </c>
      <c r="H8" s="7" t="s">
        <v>15524</v>
      </c>
      <c r="I8" s="7" t="s">
        <v>15525</v>
      </c>
      <c r="J8" s="7" t="s">
        <v>15526</v>
      </c>
      <c r="K8" s="7" t="s">
        <v>15527</v>
      </c>
      <c r="L8" s="12">
        <v>1</v>
      </c>
      <c r="M8" s="7"/>
    </row>
    <row r="9" spans="2:13" ht="21.75" customHeight="1" x14ac:dyDescent="0.35">
      <c r="B9" s="11">
        <v>2</v>
      </c>
      <c r="C9" s="5" t="s">
        <v>15520</v>
      </c>
      <c r="D9" s="11">
        <v>4</v>
      </c>
      <c r="E9" s="5" t="s">
        <v>15536</v>
      </c>
      <c r="F9" s="5" t="s">
        <v>15537</v>
      </c>
      <c r="G9" s="5" t="s">
        <v>15538</v>
      </c>
      <c r="H9" s="5" t="s">
        <v>15524</v>
      </c>
      <c r="I9" s="5" t="s">
        <v>15525</v>
      </c>
      <c r="J9" s="5" t="s">
        <v>15539</v>
      </c>
      <c r="K9" s="5" t="s">
        <v>15540</v>
      </c>
      <c r="L9" s="11">
        <v>1</v>
      </c>
      <c r="M9" s="5"/>
    </row>
    <row r="10" spans="2:13" ht="37.5" customHeight="1" x14ac:dyDescent="0.35">
      <c r="B10" s="12">
        <v>3</v>
      </c>
      <c r="C10" s="7" t="s">
        <v>15541</v>
      </c>
      <c r="D10" s="12">
        <v>1</v>
      </c>
      <c r="E10" s="7" t="s">
        <v>15542</v>
      </c>
      <c r="F10" s="7" t="s">
        <v>15543</v>
      </c>
      <c r="G10" s="7" t="s">
        <v>15523</v>
      </c>
      <c r="H10" s="7" t="s">
        <v>41</v>
      </c>
      <c r="I10" s="7" t="s">
        <v>6460</v>
      </c>
      <c r="J10" s="7" t="s">
        <v>15544</v>
      </c>
      <c r="K10" s="7" t="s">
        <v>15545</v>
      </c>
      <c r="L10" s="12">
        <v>1</v>
      </c>
      <c r="M10" s="7"/>
    </row>
    <row r="11" spans="2:13" ht="37.5" customHeight="1" x14ac:dyDescent="0.35">
      <c r="B11" s="11">
        <v>3</v>
      </c>
      <c r="C11" s="5" t="s">
        <v>15541</v>
      </c>
      <c r="D11" s="11">
        <v>2</v>
      </c>
      <c r="E11" s="5" t="s">
        <v>15546</v>
      </c>
      <c r="F11" s="5" t="s">
        <v>15547</v>
      </c>
      <c r="G11" s="5" t="s">
        <v>15523</v>
      </c>
      <c r="H11" s="5" t="s">
        <v>7411</v>
      </c>
      <c r="I11" s="5" t="s">
        <v>15548</v>
      </c>
      <c r="J11" s="5" t="s">
        <v>15549</v>
      </c>
      <c r="K11" s="5" t="s">
        <v>15550</v>
      </c>
      <c r="L11" s="11">
        <v>1</v>
      </c>
      <c r="M11" s="5"/>
    </row>
    <row r="12" spans="2:13" ht="37.5" customHeight="1" x14ac:dyDescent="0.35">
      <c r="B12" s="12">
        <v>3</v>
      </c>
      <c r="C12" s="7" t="s">
        <v>15541</v>
      </c>
      <c r="D12" s="12">
        <v>3</v>
      </c>
      <c r="E12" s="7" t="s">
        <v>15551</v>
      </c>
      <c r="F12" s="7" t="s">
        <v>15552</v>
      </c>
      <c r="G12" s="7" t="s">
        <v>800</v>
      </c>
      <c r="H12" s="7" t="s">
        <v>15524</v>
      </c>
      <c r="I12" s="7" t="s">
        <v>15525</v>
      </c>
      <c r="J12" s="7" t="s">
        <v>15553</v>
      </c>
      <c r="K12" s="7" t="s">
        <v>15554</v>
      </c>
      <c r="L12" s="12">
        <v>1</v>
      </c>
      <c r="M12" s="7"/>
    </row>
    <row r="13" spans="2:13" ht="37.5" customHeight="1" x14ac:dyDescent="0.35">
      <c r="B13" s="11">
        <v>3</v>
      </c>
      <c r="C13" s="5" t="s">
        <v>15541</v>
      </c>
      <c r="D13" s="11">
        <v>4</v>
      </c>
      <c r="E13" s="5" t="s">
        <v>15555</v>
      </c>
      <c r="F13" s="5" t="s">
        <v>15556</v>
      </c>
      <c r="G13" s="5" t="s">
        <v>595</v>
      </c>
      <c r="H13" s="5" t="s">
        <v>41</v>
      </c>
      <c r="I13" s="5" t="s">
        <v>6460</v>
      </c>
      <c r="J13" s="5" t="s">
        <v>15544</v>
      </c>
      <c r="K13" s="5" t="s">
        <v>15545</v>
      </c>
      <c r="L13" s="11">
        <v>1</v>
      </c>
      <c r="M13" s="5"/>
    </row>
    <row r="14" spans="2:13" ht="37.5" customHeight="1" x14ac:dyDescent="0.35">
      <c r="B14" s="12">
        <v>3</v>
      </c>
      <c r="C14" s="7" t="s">
        <v>15541</v>
      </c>
      <c r="D14" s="12">
        <v>5</v>
      </c>
      <c r="E14" s="7" t="s">
        <v>15557</v>
      </c>
      <c r="F14" s="7" t="s">
        <v>15558</v>
      </c>
      <c r="G14" s="7" t="s">
        <v>15559</v>
      </c>
      <c r="H14" s="7" t="s">
        <v>15524</v>
      </c>
      <c r="I14" s="7" t="s">
        <v>15525</v>
      </c>
      <c r="J14" s="7" t="s">
        <v>15560</v>
      </c>
      <c r="K14" s="7" t="s">
        <v>15561</v>
      </c>
      <c r="L14" s="12">
        <v>1</v>
      </c>
      <c r="M14" s="7"/>
    </row>
    <row r="15" spans="2:13" ht="37.5" customHeight="1" x14ac:dyDescent="0.35">
      <c r="B15" s="11">
        <v>4</v>
      </c>
      <c r="C15" s="5" t="s">
        <v>15562</v>
      </c>
      <c r="D15" s="11">
        <v>1</v>
      </c>
      <c r="E15" s="5" t="s">
        <v>15563</v>
      </c>
      <c r="F15" s="5" t="s">
        <v>15564</v>
      </c>
      <c r="G15" s="5" t="s">
        <v>15523</v>
      </c>
      <c r="H15" s="5" t="s">
        <v>169</v>
      </c>
      <c r="I15" s="5" t="s">
        <v>15565</v>
      </c>
      <c r="J15" s="5" t="s">
        <v>15566</v>
      </c>
      <c r="K15" s="5" t="s">
        <v>15567</v>
      </c>
      <c r="L15" s="11">
        <v>2</v>
      </c>
      <c r="M15" s="5" t="s">
        <v>5451</v>
      </c>
    </row>
    <row r="16" spans="2:13" ht="37.5" customHeight="1" x14ac:dyDescent="0.35">
      <c r="B16" s="12">
        <v>4</v>
      </c>
      <c r="C16" s="7" t="s">
        <v>15562</v>
      </c>
      <c r="D16" s="12">
        <v>2</v>
      </c>
      <c r="E16" s="7" t="s">
        <v>15568</v>
      </c>
      <c r="F16" s="7" t="s">
        <v>15569</v>
      </c>
      <c r="G16" s="7" t="s">
        <v>595</v>
      </c>
      <c r="H16" s="7" t="s">
        <v>37</v>
      </c>
      <c r="I16" s="7" t="s">
        <v>679</v>
      </c>
      <c r="J16" s="7" t="s">
        <v>177</v>
      </c>
      <c r="K16" s="7" t="s">
        <v>15570</v>
      </c>
      <c r="L16" s="12">
        <v>1</v>
      </c>
      <c r="M16" s="7" t="s">
        <v>5451</v>
      </c>
    </row>
    <row r="17" spans="2:13" ht="37.5" customHeight="1" x14ac:dyDescent="0.35">
      <c r="B17" s="11">
        <v>5</v>
      </c>
      <c r="C17" s="5" t="s">
        <v>15571</v>
      </c>
      <c r="D17" s="11">
        <v>1</v>
      </c>
      <c r="E17" s="5" t="s">
        <v>15572</v>
      </c>
      <c r="F17" s="5" t="s">
        <v>15573</v>
      </c>
      <c r="G17" s="5" t="s">
        <v>800</v>
      </c>
      <c r="H17" s="5" t="s">
        <v>15574</v>
      </c>
      <c r="I17" s="5" t="s">
        <v>15525</v>
      </c>
      <c r="J17" s="5" t="s">
        <v>15575</v>
      </c>
      <c r="K17" s="5" t="s">
        <v>15576</v>
      </c>
      <c r="L17" s="11">
        <v>1</v>
      </c>
      <c r="M17" s="5"/>
    </row>
    <row r="18" spans="2:13" ht="37.5" customHeight="1" x14ac:dyDescent="0.35">
      <c r="B18" s="12">
        <v>5</v>
      </c>
      <c r="C18" s="7" t="s">
        <v>15571</v>
      </c>
      <c r="D18" s="12">
        <v>2</v>
      </c>
      <c r="E18" s="7" t="s">
        <v>15577</v>
      </c>
      <c r="F18" s="7" t="s">
        <v>15578</v>
      </c>
      <c r="G18" s="7" t="s">
        <v>15559</v>
      </c>
      <c r="H18" s="7" t="s">
        <v>15579</v>
      </c>
      <c r="I18" s="7" t="s">
        <v>15525</v>
      </c>
      <c r="J18" s="7" t="s">
        <v>15580</v>
      </c>
      <c r="K18" s="7" t="s">
        <v>15581</v>
      </c>
      <c r="L18" s="12">
        <v>1</v>
      </c>
      <c r="M18" s="7"/>
    </row>
    <row r="19" spans="2:13" ht="37.5" customHeight="1" x14ac:dyDescent="0.35">
      <c r="B19" s="11">
        <v>6</v>
      </c>
      <c r="C19" s="5" t="s">
        <v>15582</v>
      </c>
      <c r="D19" s="11">
        <v>1</v>
      </c>
      <c r="E19" s="5" t="s">
        <v>15583</v>
      </c>
      <c r="F19" s="5" t="s">
        <v>15584</v>
      </c>
      <c r="G19" s="5" t="s">
        <v>25</v>
      </c>
      <c r="H19" s="5" t="s">
        <v>1320</v>
      </c>
      <c r="I19" s="5" t="s">
        <v>15585</v>
      </c>
      <c r="J19" s="5" t="s">
        <v>15586</v>
      </c>
      <c r="K19" s="5" t="s">
        <v>15587</v>
      </c>
      <c r="L19" s="11">
        <v>2</v>
      </c>
      <c r="M19" s="5"/>
    </row>
    <row r="20" spans="2:13" ht="37.5" customHeight="1" x14ac:dyDescent="0.35">
      <c r="B20" s="12">
        <v>7</v>
      </c>
      <c r="C20" s="7" t="s">
        <v>15588</v>
      </c>
      <c r="D20" s="12">
        <v>1</v>
      </c>
      <c r="E20" s="7" t="s">
        <v>15589</v>
      </c>
      <c r="F20" s="7" t="s">
        <v>15590</v>
      </c>
      <c r="G20" s="7" t="s">
        <v>25</v>
      </c>
      <c r="H20" s="7" t="s">
        <v>8824</v>
      </c>
      <c r="I20" s="7" t="s">
        <v>8737</v>
      </c>
      <c r="J20" s="7" t="s">
        <v>15591</v>
      </c>
      <c r="K20" s="7" t="s">
        <v>15592</v>
      </c>
      <c r="L20" s="12">
        <v>2</v>
      </c>
      <c r="M20" s="7" t="s">
        <v>5451</v>
      </c>
    </row>
    <row r="21" spans="2:13" ht="37.5" customHeight="1" x14ac:dyDescent="0.35">
      <c r="B21" s="11">
        <v>8</v>
      </c>
      <c r="C21" s="5" t="s">
        <v>5415</v>
      </c>
      <c r="D21" s="11">
        <v>1</v>
      </c>
      <c r="E21" s="5" t="s">
        <v>15593</v>
      </c>
      <c r="F21" s="5" t="s">
        <v>15594</v>
      </c>
      <c r="G21" s="5" t="s">
        <v>15519</v>
      </c>
      <c r="H21" s="5" t="s">
        <v>40</v>
      </c>
      <c r="I21" s="5" t="s">
        <v>15525</v>
      </c>
      <c r="J21" s="5" t="s">
        <v>15595</v>
      </c>
      <c r="K21" s="5" t="s">
        <v>15596</v>
      </c>
      <c r="L21" s="11">
        <v>1</v>
      </c>
      <c r="M21" s="5" t="s">
        <v>173</v>
      </c>
    </row>
    <row r="22" spans="2:13" ht="37.5" customHeight="1" x14ac:dyDescent="0.35">
      <c r="B22" s="12">
        <v>9</v>
      </c>
      <c r="C22" s="7" t="s">
        <v>15597</v>
      </c>
      <c r="D22" s="12">
        <v>1</v>
      </c>
      <c r="E22" s="7" t="s">
        <v>15598</v>
      </c>
      <c r="F22" s="7" t="s">
        <v>15599</v>
      </c>
      <c r="G22" s="7" t="s">
        <v>15519</v>
      </c>
      <c r="H22" s="7" t="s">
        <v>40</v>
      </c>
      <c r="I22" s="7" t="s">
        <v>15525</v>
      </c>
      <c r="J22" s="7" t="s">
        <v>10259</v>
      </c>
      <c r="K22" s="7" t="s">
        <v>15600</v>
      </c>
      <c r="L22" s="12">
        <v>1</v>
      </c>
      <c r="M22" s="7"/>
    </row>
    <row r="23" spans="2:13" ht="37.5" customHeight="1" x14ac:dyDescent="0.35">
      <c r="B23" s="11">
        <v>10</v>
      </c>
      <c r="C23" s="5" t="s">
        <v>15601</v>
      </c>
      <c r="D23" s="11">
        <v>1</v>
      </c>
      <c r="E23" s="5" t="s">
        <v>15602</v>
      </c>
      <c r="F23" s="5" t="s">
        <v>15603</v>
      </c>
      <c r="G23" s="5" t="s">
        <v>15523</v>
      </c>
      <c r="H23" s="5" t="s">
        <v>7411</v>
      </c>
      <c r="I23" s="5" t="s">
        <v>15548</v>
      </c>
      <c r="J23" s="5" t="s">
        <v>15604</v>
      </c>
      <c r="K23" s="5" t="s">
        <v>15605</v>
      </c>
      <c r="L23" s="11">
        <v>1</v>
      </c>
      <c r="M23" s="5"/>
    </row>
    <row r="24" spans="2:13" ht="52.5" customHeight="1" x14ac:dyDescent="0.35">
      <c r="B24" s="12">
        <v>11</v>
      </c>
      <c r="C24" s="7" t="s">
        <v>15606</v>
      </c>
      <c r="D24" s="12">
        <v>1</v>
      </c>
      <c r="E24" s="7" t="s">
        <v>15607</v>
      </c>
      <c r="F24" s="7" t="s">
        <v>15608</v>
      </c>
      <c r="G24" s="7" t="s">
        <v>15523</v>
      </c>
      <c r="H24" s="7" t="s">
        <v>1561</v>
      </c>
      <c r="I24" s="7" t="s">
        <v>12335</v>
      </c>
      <c r="J24" s="7" t="s">
        <v>213</v>
      </c>
      <c r="K24" s="7" t="s">
        <v>15609</v>
      </c>
      <c r="L24" s="12">
        <v>1</v>
      </c>
      <c r="M24" s="7"/>
    </row>
    <row r="25" spans="2:13" ht="37.5" customHeight="1" x14ac:dyDescent="0.35">
      <c r="B25" s="11">
        <v>12</v>
      </c>
      <c r="C25" s="5" t="s">
        <v>15610</v>
      </c>
      <c r="D25" s="11">
        <v>1</v>
      </c>
      <c r="E25" s="5" t="s">
        <v>15611</v>
      </c>
      <c r="F25" s="5" t="s">
        <v>15612</v>
      </c>
      <c r="G25" s="5" t="s">
        <v>15613</v>
      </c>
      <c r="H25" s="5" t="s">
        <v>41</v>
      </c>
      <c r="I25" s="5" t="s">
        <v>15614</v>
      </c>
      <c r="J25" s="5" t="s">
        <v>10259</v>
      </c>
      <c r="K25" s="5" t="s">
        <v>15615</v>
      </c>
      <c r="L25" s="11">
        <v>1</v>
      </c>
      <c r="M25" s="5"/>
    </row>
    <row r="26" spans="2:13" ht="37.5" customHeight="1" x14ac:dyDescent="0.35">
      <c r="B26" s="12">
        <v>13</v>
      </c>
      <c r="C26" s="7" t="s">
        <v>15616</v>
      </c>
      <c r="D26" s="12">
        <v>1</v>
      </c>
      <c r="E26" s="7" t="s">
        <v>15617</v>
      </c>
      <c r="F26" s="7" t="s">
        <v>15618</v>
      </c>
      <c r="G26" s="7" t="s">
        <v>25</v>
      </c>
      <c r="H26" s="7" t="s">
        <v>37</v>
      </c>
      <c r="I26" s="7" t="s">
        <v>15619</v>
      </c>
      <c r="J26" s="7" t="s">
        <v>15620</v>
      </c>
      <c r="K26" s="7" t="s">
        <v>15621</v>
      </c>
      <c r="L26" s="12">
        <v>2</v>
      </c>
      <c r="M26" s="7"/>
    </row>
    <row r="27" spans="2:13" ht="37.5" customHeight="1" x14ac:dyDescent="0.35">
      <c r="B27" s="11">
        <v>14</v>
      </c>
      <c r="C27" s="5" t="s">
        <v>15622</v>
      </c>
      <c r="D27" s="11">
        <v>1</v>
      </c>
      <c r="E27" s="5" t="s">
        <v>15623</v>
      </c>
      <c r="F27" s="5" t="s">
        <v>15624</v>
      </c>
      <c r="G27" s="5" t="s">
        <v>15625</v>
      </c>
      <c r="H27" s="5" t="s">
        <v>2090</v>
      </c>
      <c r="I27" s="5" t="s">
        <v>15626</v>
      </c>
      <c r="J27" s="5" t="s">
        <v>15627</v>
      </c>
      <c r="K27" s="5" t="s">
        <v>15628</v>
      </c>
      <c r="L27" s="11">
        <v>2</v>
      </c>
      <c r="M27" s="5"/>
    </row>
    <row r="28" spans="2:13" ht="67.5" customHeight="1" x14ac:dyDescent="0.35">
      <c r="B28" s="12">
        <v>15</v>
      </c>
      <c r="C28" s="7" t="s">
        <v>15629</v>
      </c>
      <c r="D28" s="12">
        <v>1</v>
      </c>
      <c r="E28" s="7" t="s">
        <v>15630</v>
      </c>
      <c r="F28" s="7" t="s">
        <v>15631</v>
      </c>
      <c r="G28" s="7" t="s">
        <v>15535</v>
      </c>
      <c r="H28" s="7" t="s">
        <v>41</v>
      </c>
      <c r="I28" s="7" t="s">
        <v>6460</v>
      </c>
      <c r="J28" s="7" t="s">
        <v>15544</v>
      </c>
      <c r="K28" s="7" t="s">
        <v>15545</v>
      </c>
      <c r="L28" s="12">
        <v>1</v>
      </c>
      <c r="M28" s="7"/>
    </row>
    <row r="29" spans="2:13" ht="67.5" customHeight="1" x14ac:dyDescent="0.35">
      <c r="B29" s="11">
        <v>15</v>
      </c>
      <c r="C29" s="5" t="s">
        <v>15629</v>
      </c>
      <c r="D29" s="11">
        <v>2</v>
      </c>
      <c r="E29" s="5" t="s">
        <v>15632</v>
      </c>
      <c r="F29" s="5" t="s">
        <v>15633</v>
      </c>
      <c r="G29" s="5" t="s">
        <v>25</v>
      </c>
      <c r="H29" s="5" t="s">
        <v>41</v>
      </c>
      <c r="I29" s="5" t="s">
        <v>6460</v>
      </c>
      <c r="J29" s="5" t="s">
        <v>15544</v>
      </c>
      <c r="K29" s="5" t="s">
        <v>15545</v>
      </c>
      <c r="L29" s="11">
        <v>1</v>
      </c>
      <c r="M29" s="5"/>
    </row>
    <row r="30" spans="2:13" ht="21.75" customHeight="1" x14ac:dyDescent="0.35">
      <c r="B30" s="12">
        <v>16</v>
      </c>
      <c r="C30" s="7" t="s">
        <v>15634</v>
      </c>
      <c r="D30" s="12">
        <v>1</v>
      </c>
      <c r="E30" s="7" t="s">
        <v>15635</v>
      </c>
      <c r="F30" s="7" t="s">
        <v>15534</v>
      </c>
      <c r="G30" s="7" t="s">
        <v>15535</v>
      </c>
      <c r="H30" s="7" t="s">
        <v>40</v>
      </c>
      <c r="I30" s="7" t="s">
        <v>15525</v>
      </c>
      <c r="J30" s="7" t="s">
        <v>15544</v>
      </c>
      <c r="K30" s="7" t="s">
        <v>15636</v>
      </c>
      <c r="L30" s="12">
        <v>1</v>
      </c>
      <c r="M30" s="7"/>
    </row>
    <row r="31" spans="2:13" ht="21.75" customHeight="1" x14ac:dyDescent="0.35">
      <c r="B31" s="11">
        <v>16</v>
      </c>
      <c r="C31" s="5" t="s">
        <v>15634</v>
      </c>
      <c r="D31" s="11">
        <v>2</v>
      </c>
      <c r="E31" s="5" t="s">
        <v>15637</v>
      </c>
      <c r="F31" s="5" t="s">
        <v>15638</v>
      </c>
      <c r="G31" s="5" t="s">
        <v>15538</v>
      </c>
      <c r="H31" s="5" t="s">
        <v>15579</v>
      </c>
      <c r="I31" s="5" t="s">
        <v>15525</v>
      </c>
      <c r="J31" s="5" t="s">
        <v>15575</v>
      </c>
      <c r="K31" s="5" t="s">
        <v>15639</v>
      </c>
      <c r="L31" s="11">
        <v>1</v>
      </c>
      <c r="M31" s="5"/>
    </row>
    <row r="32" spans="2:13" ht="21.75" customHeight="1" x14ac:dyDescent="0.35">
      <c r="B32" s="12">
        <v>16</v>
      </c>
      <c r="C32" s="7" t="s">
        <v>15634</v>
      </c>
      <c r="D32" s="12">
        <v>3</v>
      </c>
      <c r="E32" s="7" t="s">
        <v>15640</v>
      </c>
      <c r="F32" s="7" t="s">
        <v>15641</v>
      </c>
      <c r="G32" s="7" t="s">
        <v>14273</v>
      </c>
      <c r="H32" s="7" t="s">
        <v>15579</v>
      </c>
      <c r="I32" s="7" t="s">
        <v>15525</v>
      </c>
      <c r="J32" s="7" t="s">
        <v>15575</v>
      </c>
      <c r="K32" s="7" t="s">
        <v>15639</v>
      </c>
      <c r="L32" s="12">
        <v>1</v>
      </c>
      <c r="M32" s="7"/>
    </row>
    <row r="33" spans="2:13" ht="37.5" customHeight="1" x14ac:dyDescent="0.35">
      <c r="B33" s="11">
        <v>16</v>
      </c>
      <c r="C33" s="5" t="s">
        <v>15634</v>
      </c>
      <c r="D33" s="11">
        <v>4</v>
      </c>
      <c r="E33" s="5" t="s">
        <v>15642</v>
      </c>
      <c r="F33" s="5" t="s">
        <v>15643</v>
      </c>
      <c r="G33" s="5" t="s">
        <v>185</v>
      </c>
      <c r="H33" s="5" t="s">
        <v>15579</v>
      </c>
      <c r="I33" s="5" t="s">
        <v>15525</v>
      </c>
      <c r="J33" s="5" t="s">
        <v>15575</v>
      </c>
      <c r="K33" s="5" t="s">
        <v>15639</v>
      </c>
      <c r="L33" s="11">
        <v>1</v>
      </c>
      <c r="M33" s="5"/>
    </row>
    <row r="34" spans="2:13" ht="21.75" customHeight="1" x14ac:dyDescent="0.35">
      <c r="B34" s="12">
        <v>16</v>
      </c>
      <c r="C34" s="7" t="s">
        <v>15634</v>
      </c>
      <c r="D34" s="12">
        <v>5</v>
      </c>
      <c r="E34" s="7" t="s">
        <v>15644</v>
      </c>
      <c r="F34" s="7" t="s">
        <v>15645</v>
      </c>
      <c r="G34" s="7" t="s">
        <v>15646</v>
      </c>
      <c r="H34" s="7" t="s">
        <v>15579</v>
      </c>
      <c r="I34" s="7" t="s">
        <v>15525</v>
      </c>
      <c r="J34" s="7" t="s">
        <v>15575</v>
      </c>
      <c r="K34" s="7" t="s">
        <v>15639</v>
      </c>
      <c r="L34" s="12">
        <v>1</v>
      </c>
      <c r="M34" s="7"/>
    </row>
    <row r="35" spans="2:13" ht="37.5" customHeight="1" x14ac:dyDescent="0.35">
      <c r="B35" s="11">
        <v>17</v>
      </c>
      <c r="C35" s="5" t="s">
        <v>15647</v>
      </c>
      <c r="D35" s="11">
        <v>1</v>
      </c>
      <c r="E35" s="5" t="s">
        <v>15648</v>
      </c>
      <c r="F35" s="5" t="s">
        <v>15649</v>
      </c>
      <c r="G35" s="5" t="s">
        <v>25</v>
      </c>
      <c r="H35" s="5" t="s">
        <v>15650</v>
      </c>
      <c r="I35" s="5" t="s">
        <v>15651</v>
      </c>
      <c r="J35" s="5" t="s">
        <v>15652</v>
      </c>
      <c r="K35" s="5" t="s">
        <v>15653</v>
      </c>
      <c r="L35" s="11">
        <v>1</v>
      </c>
      <c r="M35" s="5"/>
    </row>
    <row r="36" spans="2:13" ht="37.5" customHeight="1" x14ac:dyDescent="0.35">
      <c r="B36" s="12">
        <v>18</v>
      </c>
      <c r="C36" s="7" t="s">
        <v>15654</v>
      </c>
      <c r="D36" s="12">
        <v>1</v>
      </c>
      <c r="E36" s="7" t="s">
        <v>15655</v>
      </c>
      <c r="F36" s="7" t="s">
        <v>15656</v>
      </c>
      <c r="G36" s="7" t="s">
        <v>15523</v>
      </c>
      <c r="H36" s="7" t="s">
        <v>294</v>
      </c>
      <c r="I36" s="7" t="s">
        <v>5686</v>
      </c>
      <c r="J36" s="7" t="s">
        <v>15657</v>
      </c>
      <c r="K36" s="7" t="s">
        <v>15658</v>
      </c>
      <c r="L36" s="12">
        <v>2</v>
      </c>
      <c r="M36" s="7"/>
    </row>
    <row r="37" spans="2:13" ht="37.5" customHeight="1" x14ac:dyDescent="0.35">
      <c r="B37" s="11">
        <v>18</v>
      </c>
      <c r="C37" s="5" t="s">
        <v>15654</v>
      </c>
      <c r="D37" s="11">
        <v>2</v>
      </c>
      <c r="E37" s="5" t="s">
        <v>15659</v>
      </c>
      <c r="F37" s="5" t="s">
        <v>15660</v>
      </c>
      <c r="G37" s="5" t="s">
        <v>15523</v>
      </c>
      <c r="H37" s="5" t="s">
        <v>294</v>
      </c>
      <c r="I37" s="5" t="s">
        <v>15661</v>
      </c>
      <c r="J37" s="5" t="s">
        <v>296</v>
      </c>
      <c r="K37" s="5" t="s">
        <v>15662</v>
      </c>
      <c r="L37" s="11">
        <v>2</v>
      </c>
      <c r="M37" s="5"/>
    </row>
    <row r="38" spans="2:13" ht="37.5" customHeight="1" x14ac:dyDescent="0.35">
      <c r="B38" s="12">
        <v>19</v>
      </c>
      <c r="C38" s="7" t="s">
        <v>15663</v>
      </c>
      <c r="D38" s="12">
        <v>1</v>
      </c>
      <c r="E38" s="7" t="s">
        <v>15664</v>
      </c>
      <c r="F38" s="7" t="s">
        <v>15665</v>
      </c>
      <c r="G38" s="7" t="s">
        <v>15523</v>
      </c>
      <c r="H38" s="7" t="s">
        <v>15666</v>
      </c>
      <c r="I38" s="7" t="s">
        <v>15667</v>
      </c>
      <c r="J38" s="7" t="s">
        <v>15549</v>
      </c>
      <c r="K38" s="7" t="s">
        <v>15668</v>
      </c>
      <c r="L38" s="12">
        <v>1</v>
      </c>
      <c r="M38" s="7"/>
    </row>
    <row r="39" spans="2:13" ht="52.5" customHeight="1" x14ac:dyDescent="0.35">
      <c r="B39" s="11">
        <v>20</v>
      </c>
      <c r="C39" s="5" t="s">
        <v>15669</v>
      </c>
      <c r="D39" s="11">
        <v>1</v>
      </c>
      <c r="E39" s="5" t="s">
        <v>15670</v>
      </c>
      <c r="F39" s="5" t="s">
        <v>15671</v>
      </c>
      <c r="G39" s="5" t="s">
        <v>15625</v>
      </c>
      <c r="H39" s="5" t="s">
        <v>1561</v>
      </c>
      <c r="I39" s="5" t="s">
        <v>15667</v>
      </c>
      <c r="J39" s="5" t="s">
        <v>15549</v>
      </c>
      <c r="K39" s="5" t="s">
        <v>15672</v>
      </c>
      <c r="L39" s="11">
        <v>1</v>
      </c>
      <c r="M39" s="5"/>
    </row>
    <row r="40" spans="2:13" ht="25.5" customHeight="1" x14ac:dyDescent="0.35">
      <c r="B40" s="9" t="s">
        <v>978</v>
      </c>
      <c r="C40" s="9"/>
      <c r="D40" s="9"/>
      <c r="E40" s="16">
        <f>SUBTOTAL(103,E5:E39)</f>
        <v>35</v>
      </c>
      <c r="F40" s="9"/>
      <c r="G40" s="9"/>
      <c r="H40" s="9"/>
      <c r="I40" s="9"/>
      <c r="J40" s="9"/>
      <c r="K40" s="9"/>
      <c r="L40" s="16">
        <f>SUBTOTAL(109,L5:L39)</f>
        <v>42</v>
      </c>
    </row>
    <row r="42" spans="2:13" x14ac:dyDescent="0.2">
      <c r="B42" s="17" t="s">
        <v>979</v>
      </c>
    </row>
  </sheetData>
  <autoFilter ref="B4:M39" xr:uid="{00000000-0009-0000-0000-000008000000}"/>
  <mergeCells count="1"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K672"/>
  <sheetViews>
    <sheetView showGridLines="0" zoomScale="90" zoomScaleNormal="90" workbookViewId="0">
      <pane xSplit="1" ySplit="4" topLeftCell="B5" activePane="bottomRight" state="frozen"/>
      <selection pane="bottomLeft" activeCell="A5" sqref="A5"/>
      <selection pane="topRight" activeCell="B1" sqref="B1"/>
      <selection pane="bottomRight"/>
    </sheetView>
  </sheetViews>
  <sheetFormatPr defaultColWidth="8.7421875" defaultRowHeight="15" customHeight="1" x14ac:dyDescent="0.2"/>
  <cols>
    <col min="1" max="1" width="2.95703125" customWidth="1"/>
    <col min="2" max="2" width="9.953125" customWidth="1"/>
    <col min="3" max="3" width="25.9609375" customWidth="1"/>
    <col min="4" max="4" width="9.953125" customWidth="1"/>
    <col min="5" max="5" width="23.9453125" customWidth="1"/>
    <col min="6" max="6" width="13.98828125" customWidth="1"/>
    <col min="7" max="8" width="25.9609375" customWidth="1"/>
    <col min="9" max="9" width="23.9453125" customWidth="1"/>
    <col min="10" max="10" width="43.98828125" customWidth="1"/>
    <col min="11" max="11" width="9.953125" customWidth="1"/>
  </cols>
  <sheetData>
    <row r="2" spans="2:11" ht="31.5" customHeight="1" x14ac:dyDescent="0.2">
      <c r="B2" s="18" t="s">
        <v>15673</v>
      </c>
      <c r="C2" s="18"/>
      <c r="D2" s="18"/>
      <c r="E2" s="18"/>
      <c r="F2" s="18"/>
      <c r="G2" s="18"/>
      <c r="H2" s="18"/>
      <c r="I2" s="18"/>
      <c r="J2" s="18"/>
      <c r="K2" s="18"/>
    </row>
    <row r="3" spans="2:11" ht="7.5" customHeight="1" x14ac:dyDescent="0.2"/>
    <row r="4" spans="2:11" ht="27.75" customHeight="1" x14ac:dyDescent="0.35">
      <c r="B4" s="4" t="s">
        <v>93</v>
      </c>
      <c r="C4" s="4" t="s">
        <v>95</v>
      </c>
      <c r="D4" s="4" t="s">
        <v>97</v>
      </c>
      <c r="E4" s="4" t="s">
        <v>99</v>
      </c>
      <c r="F4" s="4" t="s">
        <v>101</v>
      </c>
      <c r="G4" s="4" t="s">
        <v>103</v>
      </c>
      <c r="H4" s="4" t="s">
        <v>107</v>
      </c>
      <c r="I4" s="4" t="s">
        <v>109</v>
      </c>
      <c r="J4" s="4" t="s">
        <v>15674</v>
      </c>
      <c r="K4" s="4" t="s">
        <v>113</v>
      </c>
    </row>
    <row r="5" spans="2:11" ht="52.5" customHeight="1" x14ac:dyDescent="0.35">
      <c r="B5" s="11">
        <v>1</v>
      </c>
      <c r="C5" s="5" t="s">
        <v>15675</v>
      </c>
      <c r="D5" s="11">
        <v>1</v>
      </c>
      <c r="E5" s="5" t="s">
        <v>15676</v>
      </c>
      <c r="F5" s="5" t="s">
        <v>15677</v>
      </c>
      <c r="G5" s="5" t="s">
        <v>24</v>
      </c>
      <c r="H5" s="5" t="s">
        <v>15678</v>
      </c>
      <c r="I5" s="5" t="s">
        <v>3284</v>
      </c>
      <c r="J5" s="5" t="s">
        <v>15679</v>
      </c>
      <c r="K5" s="11">
        <v>1</v>
      </c>
    </row>
    <row r="6" spans="2:11" ht="52.5" customHeight="1" x14ac:dyDescent="0.35">
      <c r="B6" s="12">
        <v>2</v>
      </c>
      <c r="C6" s="7" t="s">
        <v>15680</v>
      </c>
      <c r="D6" s="12">
        <v>1</v>
      </c>
      <c r="E6" s="7" t="s">
        <v>15681</v>
      </c>
      <c r="F6" s="7" t="s">
        <v>15682</v>
      </c>
      <c r="G6" s="7" t="s">
        <v>15683</v>
      </c>
      <c r="H6" s="7" t="s">
        <v>15678</v>
      </c>
      <c r="I6" s="7" t="s">
        <v>15684</v>
      </c>
      <c r="J6" s="7" t="s">
        <v>15685</v>
      </c>
      <c r="K6" s="12">
        <v>2</v>
      </c>
    </row>
    <row r="7" spans="2:11" ht="37.5" customHeight="1" x14ac:dyDescent="0.35">
      <c r="B7" s="11">
        <v>3</v>
      </c>
      <c r="C7" s="5" t="s">
        <v>15686</v>
      </c>
      <c r="D7" s="11">
        <v>1</v>
      </c>
      <c r="E7" s="5" t="s">
        <v>15687</v>
      </c>
      <c r="F7" s="5" t="s">
        <v>15688</v>
      </c>
      <c r="G7" s="5" t="s">
        <v>15689</v>
      </c>
      <c r="H7" s="5" t="s">
        <v>15690</v>
      </c>
      <c r="I7" s="5" t="s">
        <v>15691</v>
      </c>
      <c r="J7" s="5" t="s">
        <v>15692</v>
      </c>
      <c r="K7" s="11">
        <v>1</v>
      </c>
    </row>
    <row r="8" spans="2:11" ht="21.75" customHeight="1" x14ac:dyDescent="0.35">
      <c r="B8" s="12">
        <v>4</v>
      </c>
      <c r="C8" s="7" t="s">
        <v>15693</v>
      </c>
      <c r="D8" s="12">
        <v>1</v>
      </c>
      <c r="E8" s="7" t="s">
        <v>15694</v>
      </c>
      <c r="F8" s="7" t="s">
        <v>15695</v>
      </c>
      <c r="G8" s="7" t="s">
        <v>365</v>
      </c>
      <c r="H8" s="7" t="s">
        <v>15696</v>
      </c>
      <c r="I8" s="7" t="s">
        <v>15697</v>
      </c>
      <c r="J8" s="7" t="s">
        <v>15698</v>
      </c>
      <c r="K8" s="12">
        <v>1</v>
      </c>
    </row>
    <row r="9" spans="2:11" ht="37.5" customHeight="1" x14ac:dyDescent="0.35">
      <c r="B9" s="11">
        <v>5</v>
      </c>
      <c r="C9" s="5" t="s">
        <v>9382</v>
      </c>
      <c r="D9" s="11">
        <v>1</v>
      </c>
      <c r="E9" s="5" t="s">
        <v>15699</v>
      </c>
      <c r="F9" s="5" t="s">
        <v>15700</v>
      </c>
      <c r="G9" s="5" t="s">
        <v>15701</v>
      </c>
      <c r="H9" s="5" t="s">
        <v>15702</v>
      </c>
      <c r="I9" s="5" t="s">
        <v>15703</v>
      </c>
      <c r="J9" s="5" t="s">
        <v>15704</v>
      </c>
      <c r="K9" s="11">
        <v>1</v>
      </c>
    </row>
    <row r="10" spans="2:11" ht="37.5" customHeight="1" x14ac:dyDescent="0.35">
      <c r="B10" s="12">
        <v>6</v>
      </c>
      <c r="C10" s="7" t="s">
        <v>8195</v>
      </c>
      <c r="D10" s="12">
        <v>1</v>
      </c>
      <c r="E10" s="7" t="s">
        <v>15705</v>
      </c>
      <c r="F10" s="7" t="s">
        <v>15706</v>
      </c>
      <c r="G10" s="7" t="s">
        <v>24</v>
      </c>
      <c r="H10" s="7" t="s">
        <v>15707</v>
      </c>
      <c r="I10" s="7" t="s">
        <v>15708</v>
      </c>
      <c r="J10" s="7" t="s">
        <v>15709</v>
      </c>
      <c r="K10" s="12">
        <v>1</v>
      </c>
    </row>
    <row r="11" spans="2:11" ht="37.5" customHeight="1" x14ac:dyDescent="0.35">
      <c r="B11" s="11">
        <v>6</v>
      </c>
      <c r="C11" s="5" t="s">
        <v>8195</v>
      </c>
      <c r="D11" s="11">
        <v>2</v>
      </c>
      <c r="E11" s="5" t="s">
        <v>15710</v>
      </c>
      <c r="F11" s="5" t="s">
        <v>15711</v>
      </c>
      <c r="G11" s="5" t="s">
        <v>15712</v>
      </c>
      <c r="H11" s="5" t="s">
        <v>15690</v>
      </c>
      <c r="I11" s="5" t="s">
        <v>15713</v>
      </c>
      <c r="J11" s="5" t="s">
        <v>15714</v>
      </c>
      <c r="K11" s="11">
        <v>1</v>
      </c>
    </row>
    <row r="12" spans="2:11" ht="37.5" customHeight="1" x14ac:dyDescent="0.35">
      <c r="B12" s="12">
        <v>6</v>
      </c>
      <c r="C12" s="7" t="s">
        <v>8195</v>
      </c>
      <c r="D12" s="12">
        <v>3</v>
      </c>
      <c r="E12" s="7" t="s">
        <v>15715</v>
      </c>
      <c r="F12" s="7" t="s">
        <v>15716</v>
      </c>
      <c r="G12" s="7" t="s">
        <v>560</v>
      </c>
      <c r="H12" s="7" t="s">
        <v>15717</v>
      </c>
      <c r="I12" s="7" t="s">
        <v>15718</v>
      </c>
      <c r="J12" s="7" t="s">
        <v>15719</v>
      </c>
      <c r="K12" s="12">
        <v>1</v>
      </c>
    </row>
    <row r="13" spans="2:11" ht="37.5" customHeight="1" x14ac:dyDescent="0.35">
      <c r="B13" s="11">
        <v>6</v>
      </c>
      <c r="C13" s="5" t="s">
        <v>8195</v>
      </c>
      <c r="D13" s="11">
        <v>4</v>
      </c>
      <c r="E13" s="5" t="s">
        <v>15720</v>
      </c>
      <c r="F13" s="5" t="s">
        <v>15721</v>
      </c>
      <c r="G13" s="5" t="s">
        <v>2919</v>
      </c>
      <c r="H13" s="5" t="s">
        <v>15722</v>
      </c>
      <c r="I13" s="5" t="s">
        <v>15723</v>
      </c>
      <c r="J13" s="5" t="s">
        <v>15724</v>
      </c>
      <c r="K13" s="11">
        <v>1</v>
      </c>
    </row>
    <row r="14" spans="2:11" ht="37.5" customHeight="1" x14ac:dyDescent="0.35">
      <c r="B14" s="12">
        <v>6</v>
      </c>
      <c r="C14" s="7" t="s">
        <v>8195</v>
      </c>
      <c r="D14" s="12">
        <v>5</v>
      </c>
      <c r="E14" s="7" t="s">
        <v>15725</v>
      </c>
      <c r="F14" s="7" t="s">
        <v>15726</v>
      </c>
      <c r="G14" s="7" t="s">
        <v>2919</v>
      </c>
      <c r="H14" s="7" t="s">
        <v>15722</v>
      </c>
      <c r="I14" s="7" t="s">
        <v>15727</v>
      </c>
      <c r="J14" s="7" t="s">
        <v>15728</v>
      </c>
      <c r="K14" s="12">
        <v>1</v>
      </c>
    </row>
    <row r="15" spans="2:11" ht="37.5" customHeight="1" x14ac:dyDescent="0.35">
      <c r="B15" s="11">
        <v>6</v>
      </c>
      <c r="C15" s="5" t="s">
        <v>8195</v>
      </c>
      <c r="D15" s="11">
        <v>6</v>
      </c>
      <c r="E15" s="5" t="s">
        <v>15729</v>
      </c>
      <c r="F15" s="5" t="s">
        <v>15730</v>
      </c>
      <c r="G15" s="5" t="s">
        <v>2919</v>
      </c>
      <c r="H15" s="5" t="s">
        <v>15722</v>
      </c>
      <c r="I15" s="5" t="s">
        <v>15731</v>
      </c>
      <c r="J15" s="5" t="s">
        <v>15732</v>
      </c>
      <c r="K15" s="11">
        <v>1</v>
      </c>
    </row>
    <row r="16" spans="2:11" ht="37.5" customHeight="1" x14ac:dyDescent="0.35">
      <c r="B16" s="12">
        <v>6</v>
      </c>
      <c r="C16" s="7" t="s">
        <v>8195</v>
      </c>
      <c r="D16" s="12">
        <v>7</v>
      </c>
      <c r="E16" s="7" t="s">
        <v>15733</v>
      </c>
      <c r="F16" s="7" t="s">
        <v>15734</v>
      </c>
      <c r="G16" s="7" t="s">
        <v>2405</v>
      </c>
      <c r="H16" s="7" t="s">
        <v>15722</v>
      </c>
      <c r="I16" s="7" t="s">
        <v>15735</v>
      </c>
      <c r="J16" s="7" t="s">
        <v>15736</v>
      </c>
      <c r="K16" s="12">
        <v>1</v>
      </c>
    </row>
    <row r="17" spans="2:11" ht="37.5" customHeight="1" x14ac:dyDescent="0.35">
      <c r="B17" s="11">
        <v>6</v>
      </c>
      <c r="C17" s="5" t="s">
        <v>8195</v>
      </c>
      <c r="D17" s="11">
        <v>8</v>
      </c>
      <c r="E17" s="5" t="s">
        <v>15737</v>
      </c>
      <c r="F17" s="5" t="s">
        <v>15738</v>
      </c>
      <c r="G17" s="5" t="s">
        <v>358</v>
      </c>
      <c r="H17" s="5" t="s">
        <v>15690</v>
      </c>
      <c r="I17" s="5" t="s">
        <v>15739</v>
      </c>
      <c r="J17" s="5" t="s">
        <v>15740</v>
      </c>
      <c r="K17" s="11">
        <v>1</v>
      </c>
    </row>
    <row r="18" spans="2:11" ht="37.5" customHeight="1" x14ac:dyDescent="0.35">
      <c r="B18" s="12">
        <v>6</v>
      </c>
      <c r="C18" s="7" t="s">
        <v>8195</v>
      </c>
      <c r="D18" s="12">
        <v>9</v>
      </c>
      <c r="E18" s="7" t="s">
        <v>15741</v>
      </c>
      <c r="F18" s="7" t="s">
        <v>15742</v>
      </c>
      <c r="G18" s="7" t="s">
        <v>2919</v>
      </c>
      <c r="H18" s="7" t="s">
        <v>15743</v>
      </c>
      <c r="I18" s="7" t="s">
        <v>15744</v>
      </c>
      <c r="J18" s="7" t="s">
        <v>15745</v>
      </c>
      <c r="K18" s="12">
        <v>1</v>
      </c>
    </row>
    <row r="19" spans="2:11" ht="37.5" customHeight="1" x14ac:dyDescent="0.35">
      <c r="B19" s="11">
        <v>6</v>
      </c>
      <c r="C19" s="5" t="s">
        <v>8195</v>
      </c>
      <c r="D19" s="11">
        <v>10</v>
      </c>
      <c r="E19" s="5" t="s">
        <v>15746</v>
      </c>
      <c r="F19" s="5" t="s">
        <v>15747</v>
      </c>
      <c r="G19" s="5" t="s">
        <v>497</v>
      </c>
      <c r="H19" s="5" t="s">
        <v>15743</v>
      </c>
      <c r="I19" s="5" t="s">
        <v>15748</v>
      </c>
      <c r="J19" s="5" t="s">
        <v>15749</v>
      </c>
      <c r="K19" s="11">
        <v>1</v>
      </c>
    </row>
    <row r="20" spans="2:11" ht="37.5" customHeight="1" x14ac:dyDescent="0.35">
      <c r="B20" s="12">
        <v>6</v>
      </c>
      <c r="C20" s="7" t="s">
        <v>8195</v>
      </c>
      <c r="D20" s="12">
        <v>11</v>
      </c>
      <c r="E20" s="7" t="s">
        <v>15750</v>
      </c>
      <c r="F20" s="7" t="s">
        <v>15751</v>
      </c>
      <c r="G20" s="7" t="s">
        <v>24</v>
      </c>
      <c r="H20" s="7" t="s">
        <v>15743</v>
      </c>
      <c r="I20" s="7" t="s">
        <v>15752</v>
      </c>
      <c r="J20" s="7" t="s">
        <v>15753</v>
      </c>
      <c r="K20" s="12">
        <v>1</v>
      </c>
    </row>
    <row r="21" spans="2:11" ht="37.5" customHeight="1" x14ac:dyDescent="0.35">
      <c r="B21" s="11">
        <v>6</v>
      </c>
      <c r="C21" s="5" t="s">
        <v>8195</v>
      </c>
      <c r="D21" s="11">
        <v>12</v>
      </c>
      <c r="E21" s="5" t="s">
        <v>15754</v>
      </c>
      <c r="F21" s="5" t="s">
        <v>15755</v>
      </c>
      <c r="G21" s="5" t="s">
        <v>15756</v>
      </c>
      <c r="H21" s="5" t="s">
        <v>15757</v>
      </c>
      <c r="I21" s="5" t="s">
        <v>15758</v>
      </c>
      <c r="J21" s="5" t="s">
        <v>15759</v>
      </c>
      <c r="K21" s="11">
        <v>1</v>
      </c>
    </row>
    <row r="22" spans="2:11" ht="37.5" customHeight="1" x14ac:dyDescent="0.35">
      <c r="B22" s="12">
        <v>6</v>
      </c>
      <c r="C22" s="7" t="s">
        <v>8195</v>
      </c>
      <c r="D22" s="12">
        <v>13</v>
      </c>
      <c r="E22" s="7" t="s">
        <v>15760</v>
      </c>
      <c r="F22" s="7" t="s">
        <v>15761</v>
      </c>
      <c r="G22" s="7" t="s">
        <v>31</v>
      </c>
      <c r="H22" s="7" t="s">
        <v>50</v>
      </c>
      <c r="I22" s="7" t="s">
        <v>12138</v>
      </c>
      <c r="J22" s="7" t="s">
        <v>15762</v>
      </c>
      <c r="K22" s="12">
        <v>1</v>
      </c>
    </row>
    <row r="23" spans="2:11" ht="37.5" customHeight="1" x14ac:dyDescent="0.35">
      <c r="B23" s="11">
        <v>6</v>
      </c>
      <c r="C23" s="5" t="s">
        <v>8195</v>
      </c>
      <c r="D23" s="11">
        <v>14</v>
      </c>
      <c r="E23" s="5" t="s">
        <v>15763</v>
      </c>
      <c r="F23" s="5" t="s">
        <v>15764</v>
      </c>
      <c r="G23" s="5" t="s">
        <v>15765</v>
      </c>
      <c r="H23" s="5" t="s">
        <v>15690</v>
      </c>
      <c r="I23" s="5" t="s">
        <v>15766</v>
      </c>
      <c r="J23" s="5" t="s">
        <v>15767</v>
      </c>
      <c r="K23" s="11">
        <v>1</v>
      </c>
    </row>
    <row r="24" spans="2:11" ht="37.5" customHeight="1" x14ac:dyDescent="0.35">
      <c r="B24" s="12">
        <v>6</v>
      </c>
      <c r="C24" s="7" t="s">
        <v>8195</v>
      </c>
      <c r="D24" s="12">
        <v>15</v>
      </c>
      <c r="E24" s="7" t="s">
        <v>15768</v>
      </c>
      <c r="F24" s="7" t="s">
        <v>15769</v>
      </c>
      <c r="G24" s="7" t="s">
        <v>15689</v>
      </c>
      <c r="H24" s="7" t="s">
        <v>15690</v>
      </c>
      <c r="I24" s="7" t="s">
        <v>15770</v>
      </c>
      <c r="J24" s="7" t="s">
        <v>15771</v>
      </c>
      <c r="K24" s="12">
        <v>1</v>
      </c>
    </row>
    <row r="25" spans="2:11" ht="37.5" customHeight="1" x14ac:dyDescent="0.35">
      <c r="B25" s="11">
        <v>6</v>
      </c>
      <c r="C25" s="5" t="s">
        <v>8195</v>
      </c>
      <c r="D25" s="11">
        <v>16</v>
      </c>
      <c r="E25" s="5" t="s">
        <v>15772</v>
      </c>
      <c r="F25" s="5" t="s">
        <v>15773</v>
      </c>
      <c r="G25" s="5" t="s">
        <v>15774</v>
      </c>
      <c r="H25" s="5" t="s">
        <v>15690</v>
      </c>
      <c r="I25" s="5" t="s">
        <v>15766</v>
      </c>
      <c r="J25" s="5" t="s">
        <v>15767</v>
      </c>
      <c r="K25" s="11">
        <v>1</v>
      </c>
    </row>
    <row r="26" spans="2:11" ht="37.5" customHeight="1" x14ac:dyDescent="0.35">
      <c r="B26" s="12">
        <v>6</v>
      </c>
      <c r="C26" s="7" t="s">
        <v>8195</v>
      </c>
      <c r="D26" s="12">
        <v>17</v>
      </c>
      <c r="E26" s="7" t="s">
        <v>15775</v>
      </c>
      <c r="F26" s="7" t="s">
        <v>15776</v>
      </c>
      <c r="G26" s="7" t="s">
        <v>15777</v>
      </c>
      <c r="H26" s="7" t="s">
        <v>15690</v>
      </c>
      <c r="I26" s="7" t="s">
        <v>15778</v>
      </c>
      <c r="J26" s="7" t="s">
        <v>15779</v>
      </c>
      <c r="K26" s="12">
        <v>1</v>
      </c>
    </row>
    <row r="27" spans="2:11" ht="37.5" customHeight="1" x14ac:dyDescent="0.35">
      <c r="B27" s="11">
        <v>6</v>
      </c>
      <c r="C27" s="5" t="s">
        <v>8195</v>
      </c>
      <c r="D27" s="11">
        <v>18</v>
      </c>
      <c r="E27" s="5" t="s">
        <v>15780</v>
      </c>
      <c r="F27" s="5" t="s">
        <v>15781</v>
      </c>
      <c r="G27" s="5" t="s">
        <v>15782</v>
      </c>
      <c r="H27" s="5" t="s">
        <v>15690</v>
      </c>
      <c r="I27" s="5" t="s">
        <v>15778</v>
      </c>
      <c r="J27" s="5" t="s">
        <v>15779</v>
      </c>
      <c r="K27" s="11">
        <v>1</v>
      </c>
    </row>
    <row r="28" spans="2:11" ht="37.5" customHeight="1" x14ac:dyDescent="0.35">
      <c r="B28" s="12">
        <v>6</v>
      </c>
      <c r="C28" s="7" t="s">
        <v>8195</v>
      </c>
      <c r="D28" s="12">
        <v>19</v>
      </c>
      <c r="E28" s="7" t="s">
        <v>15783</v>
      </c>
      <c r="F28" s="7" t="s">
        <v>15784</v>
      </c>
      <c r="G28" s="7" t="s">
        <v>15785</v>
      </c>
      <c r="H28" s="7" t="s">
        <v>15690</v>
      </c>
      <c r="I28" s="7" t="s">
        <v>15778</v>
      </c>
      <c r="J28" s="7" t="s">
        <v>15779</v>
      </c>
      <c r="K28" s="12">
        <v>1</v>
      </c>
    </row>
    <row r="29" spans="2:11" ht="21.75" customHeight="1" x14ac:dyDescent="0.35">
      <c r="B29" s="11">
        <v>6</v>
      </c>
      <c r="C29" s="5" t="s">
        <v>8195</v>
      </c>
      <c r="D29" s="11">
        <v>20</v>
      </c>
      <c r="E29" s="5" t="s">
        <v>15786</v>
      </c>
      <c r="F29" s="5" t="s">
        <v>15787</v>
      </c>
      <c r="G29" s="5" t="s">
        <v>8413</v>
      </c>
      <c r="H29" s="5" t="s">
        <v>15690</v>
      </c>
      <c r="I29" s="5" t="s">
        <v>15788</v>
      </c>
      <c r="J29" s="5" t="s">
        <v>15789</v>
      </c>
      <c r="K29" s="11">
        <v>1</v>
      </c>
    </row>
    <row r="30" spans="2:11" ht="37.5" customHeight="1" x14ac:dyDescent="0.35">
      <c r="B30" s="12">
        <v>6</v>
      </c>
      <c r="C30" s="7" t="s">
        <v>8195</v>
      </c>
      <c r="D30" s="12">
        <v>21</v>
      </c>
      <c r="E30" s="7" t="s">
        <v>15790</v>
      </c>
      <c r="F30" s="7" t="s">
        <v>15791</v>
      </c>
      <c r="G30" s="7" t="s">
        <v>24</v>
      </c>
      <c r="H30" s="7" t="s">
        <v>15792</v>
      </c>
      <c r="I30" s="7" t="s">
        <v>15793</v>
      </c>
      <c r="J30" s="7" t="s">
        <v>15794</v>
      </c>
      <c r="K30" s="12">
        <v>1</v>
      </c>
    </row>
    <row r="31" spans="2:11" ht="21.75" customHeight="1" x14ac:dyDescent="0.35">
      <c r="B31" s="11">
        <v>6</v>
      </c>
      <c r="C31" s="5" t="s">
        <v>8195</v>
      </c>
      <c r="D31" s="11">
        <v>22</v>
      </c>
      <c r="E31" s="5" t="s">
        <v>15795</v>
      </c>
      <c r="F31" s="5" t="s">
        <v>15796</v>
      </c>
      <c r="G31" s="5" t="s">
        <v>15797</v>
      </c>
      <c r="H31" s="5" t="s">
        <v>50</v>
      </c>
      <c r="I31" s="5" t="s">
        <v>15798</v>
      </c>
      <c r="J31" s="5" t="s">
        <v>15799</v>
      </c>
      <c r="K31" s="11">
        <v>1</v>
      </c>
    </row>
    <row r="32" spans="2:11" ht="37.5" customHeight="1" x14ac:dyDescent="0.35">
      <c r="B32" s="12">
        <v>6</v>
      </c>
      <c r="C32" s="7" t="s">
        <v>8195</v>
      </c>
      <c r="D32" s="12">
        <v>23</v>
      </c>
      <c r="E32" s="7" t="s">
        <v>15800</v>
      </c>
      <c r="F32" s="7" t="s">
        <v>15801</v>
      </c>
      <c r="G32" s="7" t="s">
        <v>15802</v>
      </c>
      <c r="H32" s="7" t="s">
        <v>15690</v>
      </c>
      <c r="I32" s="7" t="s">
        <v>15691</v>
      </c>
      <c r="J32" s="7" t="s">
        <v>15692</v>
      </c>
      <c r="K32" s="12">
        <v>1</v>
      </c>
    </row>
    <row r="33" spans="2:11" ht="37.5" customHeight="1" x14ac:dyDescent="0.35">
      <c r="B33" s="11">
        <v>6</v>
      </c>
      <c r="C33" s="5" t="s">
        <v>8195</v>
      </c>
      <c r="D33" s="11">
        <v>24</v>
      </c>
      <c r="E33" s="5" t="s">
        <v>15803</v>
      </c>
      <c r="F33" s="5" t="s">
        <v>15804</v>
      </c>
      <c r="G33" s="5" t="s">
        <v>15785</v>
      </c>
      <c r="H33" s="5" t="s">
        <v>15690</v>
      </c>
      <c r="I33" s="5" t="s">
        <v>15691</v>
      </c>
      <c r="J33" s="5" t="s">
        <v>15692</v>
      </c>
      <c r="K33" s="11">
        <v>1</v>
      </c>
    </row>
    <row r="34" spans="2:11" ht="37.5" customHeight="1" x14ac:dyDescent="0.35">
      <c r="B34" s="12">
        <v>6</v>
      </c>
      <c r="C34" s="7" t="s">
        <v>8195</v>
      </c>
      <c r="D34" s="12">
        <v>25</v>
      </c>
      <c r="E34" s="7" t="s">
        <v>15805</v>
      </c>
      <c r="F34" s="7" t="s">
        <v>15806</v>
      </c>
      <c r="G34" s="7" t="s">
        <v>15807</v>
      </c>
      <c r="H34" s="7" t="s">
        <v>50</v>
      </c>
      <c r="I34" s="7" t="s">
        <v>15808</v>
      </c>
      <c r="J34" s="7" t="s">
        <v>15809</v>
      </c>
      <c r="K34" s="12">
        <v>1</v>
      </c>
    </row>
    <row r="35" spans="2:11" ht="37.5" customHeight="1" x14ac:dyDescent="0.35">
      <c r="B35" s="11">
        <v>6</v>
      </c>
      <c r="C35" s="5" t="s">
        <v>8195</v>
      </c>
      <c r="D35" s="11">
        <v>26</v>
      </c>
      <c r="E35" s="5" t="s">
        <v>15810</v>
      </c>
      <c r="F35" s="5" t="s">
        <v>15811</v>
      </c>
      <c r="G35" s="5" t="s">
        <v>15812</v>
      </c>
      <c r="H35" s="5" t="s">
        <v>50</v>
      </c>
      <c r="I35" s="5" t="s">
        <v>15808</v>
      </c>
      <c r="J35" s="5" t="s">
        <v>15809</v>
      </c>
      <c r="K35" s="11">
        <v>1</v>
      </c>
    </row>
    <row r="36" spans="2:11" ht="37.5" customHeight="1" x14ac:dyDescent="0.35">
      <c r="B36" s="12">
        <v>6</v>
      </c>
      <c r="C36" s="7" t="s">
        <v>8195</v>
      </c>
      <c r="D36" s="12">
        <v>27</v>
      </c>
      <c r="E36" s="7" t="s">
        <v>15813</v>
      </c>
      <c r="F36" s="7" t="s">
        <v>15814</v>
      </c>
      <c r="G36" s="7" t="s">
        <v>15815</v>
      </c>
      <c r="H36" s="7" t="s">
        <v>50</v>
      </c>
      <c r="I36" s="7" t="s">
        <v>15816</v>
      </c>
      <c r="J36" s="7" t="s">
        <v>15817</v>
      </c>
      <c r="K36" s="12">
        <v>1</v>
      </c>
    </row>
    <row r="37" spans="2:11" ht="37.5" customHeight="1" x14ac:dyDescent="0.35">
      <c r="B37" s="11"/>
      <c r="C37" s="5" t="s">
        <v>15818</v>
      </c>
      <c r="D37" s="11">
        <v>28</v>
      </c>
      <c r="E37" s="5" t="s">
        <v>15819</v>
      </c>
      <c r="F37" s="5" t="s">
        <v>15820</v>
      </c>
      <c r="G37" s="5" t="s">
        <v>15807</v>
      </c>
      <c r="H37" s="5" t="s">
        <v>15696</v>
      </c>
      <c r="I37" s="5" t="s">
        <v>15821</v>
      </c>
      <c r="J37" s="5" t="s">
        <v>15822</v>
      </c>
      <c r="K37" s="11">
        <v>1</v>
      </c>
    </row>
    <row r="38" spans="2:11" ht="37.5" customHeight="1" x14ac:dyDescent="0.35">
      <c r="B38" s="12"/>
      <c r="C38" s="7" t="s">
        <v>15823</v>
      </c>
      <c r="D38" s="12">
        <v>29</v>
      </c>
      <c r="E38" s="7" t="s">
        <v>15824</v>
      </c>
      <c r="F38" s="7" t="s">
        <v>15825</v>
      </c>
      <c r="G38" s="7" t="s">
        <v>15826</v>
      </c>
      <c r="H38" s="7" t="s">
        <v>15827</v>
      </c>
      <c r="I38" s="7" t="s">
        <v>15808</v>
      </c>
      <c r="J38" s="7" t="s">
        <v>15828</v>
      </c>
      <c r="K38" s="12">
        <v>1</v>
      </c>
    </row>
    <row r="39" spans="2:11" ht="37.5" customHeight="1" x14ac:dyDescent="0.35">
      <c r="B39" s="11"/>
      <c r="C39" s="5" t="s">
        <v>15823</v>
      </c>
      <c r="D39" s="11">
        <v>30</v>
      </c>
      <c r="E39" s="5" t="s">
        <v>15829</v>
      </c>
      <c r="F39" s="5" t="s">
        <v>15830</v>
      </c>
      <c r="G39" s="5" t="s">
        <v>15826</v>
      </c>
      <c r="H39" s="5" t="s">
        <v>15696</v>
      </c>
      <c r="I39" s="5" t="s">
        <v>15831</v>
      </c>
      <c r="J39" s="5" t="s">
        <v>15832</v>
      </c>
      <c r="K39" s="11">
        <v>1</v>
      </c>
    </row>
    <row r="40" spans="2:11" ht="21.75" customHeight="1" x14ac:dyDescent="0.35">
      <c r="B40" s="12"/>
      <c r="C40" s="7" t="s">
        <v>15823</v>
      </c>
      <c r="D40" s="12">
        <v>31</v>
      </c>
      <c r="E40" s="7" t="s">
        <v>15833</v>
      </c>
      <c r="F40" s="7" t="s">
        <v>15834</v>
      </c>
      <c r="G40" s="7" t="s">
        <v>15835</v>
      </c>
      <c r="H40" s="7" t="s">
        <v>15696</v>
      </c>
      <c r="I40" s="7" t="s">
        <v>15836</v>
      </c>
      <c r="J40" s="7" t="s">
        <v>15837</v>
      </c>
      <c r="K40" s="12">
        <v>1</v>
      </c>
    </row>
    <row r="41" spans="2:11" ht="37.5" customHeight="1" x14ac:dyDescent="0.35">
      <c r="B41" s="11"/>
      <c r="C41" s="5" t="s">
        <v>15823</v>
      </c>
      <c r="D41" s="11">
        <v>32</v>
      </c>
      <c r="E41" s="5" t="s">
        <v>15838</v>
      </c>
      <c r="F41" s="5" t="s">
        <v>15839</v>
      </c>
      <c r="G41" s="5" t="s">
        <v>8708</v>
      </c>
      <c r="H41" s="5" t="s">
        <v>15696</v>
      </c>
      <c r="I41" s="5" t="s">
        <v>12138</v>
      </c>
      <c r="J41" s="5" t="s">
        <v>15840</v>
      </c>
      <c r="K41" s="11">
        <v>1</v>
      </c>
    </row>
    <row r="42" spans="2:11" ht="21.75" customHeight="1" x14ac:dyDescent="0.35">
      <c r="B42" s="12"/>
      <c r="C42" s="7" t="s">
        <v>15823</v>
      </c>
      <c r="D42" s="12">
        <v>33</v>
      </c>
      <c r="E42" s="7" t="s">
        <v>15841</v>
      </c>
      <c r="F42" s="7" t="s">
        <v>15842</v>
      </c>
      <c r="G42" s="7" t="s">
        <v>15843</v>
      </c>
      <c r="H42" s="7" t="s">
        <v>15696</v>
      </c>
      <c r="I42" s="7" t="s">
        <v>15836</v>
      </c>
      <c r="J42" s="7" t="s">
        <v>15837</v>
      </c>
      <c r="K42" s="12">
        <v>1</v>
      </c>
    </row>
    <row r="43" spans="2:11" ht="21.75" customHeight="1" x14ac:dyDescent="0.35">
      <c r="B43" s="11"/>
      <c r="C43" s="5" t="s">
        <v>15823</v>
      </c>
      <c r="D43" s="11">
        <v>34</v>
      </c>
      <c r="E43" s="5" t="s">
        <v>15844</v>
      </c>
      <c r="F43" s="5" t="s">
        <v>15845</v>
      </c>
      <c r="G43" s="5" t="s">
        <v>549</v>
      </c>
      <c r="H43" s="5" t="s">
        <v>15696</v>
      </c>
      <c r="I43" s="5" t="s">
        <v>15836</v>
      </c>
      <c r="J43" s="5" t="s">
        <v>15837</v>
      </c>
      <c r="K43" s="11">
        <v>1</v>
      </c>
    </row>
    <row r="44" spans="2:11" ht="21.75" customHeight="1" x14ac:dyDescent="0.35">
      <c r="B44" s="12"/>
      <c r="C44" s="7" t="s">
        <v>15823</v>
      </c>
      <c r="D44" s="12">
        <v>35</v>
      </c>
      <c r="E44" s="7" t="s">
        <v>15846</v>
      </c>
      <c r="F44" s="7" t="s">
        <v>15847</v>
      </c>
      <c r="G44" s="7" t="s">
        <v>14504</v>
      </c>
      <c r="H44" s="7" t="s">
        <v>15696</v>
      </c>
      <c r="I44" s="7" t="s">
        <v>15836</v>
      </c>
      <c r="J44" s="7" t="s">
        <v>15837</v>
      </c>
      <c r="K44" s="12">
        <v>1</v>
      </c>
    </row>
    <row r="45" spans="2:11" ht="37.5" customHeight="1" x14ac:dyDescent="0.35">
      <c r="B45" s="11"/>
      <c r="C45" s="5" t="s">
        <v>15823</v>
      </c>
      <c r="D45" s="11">
        <v>36</v>
      </c>
      <c r="E45" s="5" t="s">
        <v>15848</v>
      </c>
      <c r="F45" s="5" t="s">
        <v>15849</v>
      </c>
      <c r="G45" s="5" t="s">
        <v>1593</v>
      </c>
      <c r="H45" s="5" t="s">
        <v>50</v>
      </c>
      <c r="I45" s="5" t="s">
        <v>15821</v>
      </c>
      <c r="J45" s="5" t="s">
        <v>15850</v>
      </c>
      <c r="K45" s="11">
        <v>1</v>
      </c>
    </row>
    <row r="46" spans="2:11" ht="37.5" customHeight="1" x14ac:dyDescent="0.35">
      <c r="B46" s="12">
        <v>7</v>
      </c>
      <c r="C46" s="7" t="s">
        <v>15851</v>
      </c>
      <c r="D46" s="12">
        <v>1</v>
      </c>
      <c r="E46" s="7" t="s">
        <v>15852</v>
      </c>
      <c r="F46" s="7" t="s">
        <v>15853</v>
      </c>
      <c r="G46" s="7" t="s">
        <v>15712</v>
      </c>
      <c r="H46" s="7" t="s">
        <v>15690</v>
      </c>
      <c r="I46" s="7" t="s">
        <v>15691</v>
      </c>
      <c r="J46" s="7" t="s">
        <v>15692</v>
      </c>
      <c r="K46" s="12">
        <v>1</v>
      </c>
    </row>
    <row r="47" spans="2:11" ht="21.75" customHeight="1" x14ac:dyDescent="0.35">
      <c r="B47" s="11">
        <v>7</v>
      </c>
      <c r="C47" s="5" t="s">
        <v>15851</v>
      </c>
      <c r="D47" s="11">
        <v>2</v>
      </c>
      <c r="E47" s="5" t="s">
        <v>15854</v>
      </c>
      <c r="F47" s="5" t="s">
        <v>15855</v>
      </c>
      <c r="G47" s="5" t="s">
        <v>15777</v>
      </c>
      <c r="H47" s="5" t="s">
        <v>15690</v>
      </c>
      <c r="I47" s="5" t="s">
        <v>15691</v>
      </c>
      <c r="J47" s="5" t="s">
        <v>15692</v>
      </c>
      <c r="K47" s="11">
        <v>1</v>
      </c>
    </row>
    <row r="48" spans="2:11" ht="37.5" customHeight="1" x14ac:dyDescent="0.35">
      <c r="B48" s="12">
        <v>7</v>
      </c>
      <c r="C48" s="7" t="s">
        <v>15851</v>
      </c>
      <c r="D48" s="12">
        <v>3</v>
      </c>
      <c r="E48" s="7" t="s">
        <v>15856</v>
      </c>
      <c r="F48" s="7" t="s">
        <v>15857</v>
      </c>
      <c r="G48" s="7" t="s">
        <v>15858</v>
      </c>
      <c r="H48" s="7" t="s">
        <v>15859</v>
      </c>
      <c r="I48" s="7" t="s">
        <v>15691</v>
      </c>
      <c r="J48" s="7" t="s">
        <v>15860</v>
      </c>
      <c r="K48" s="12">
        <v>1</v>
      </c>
    </row>
    <row r="49" spans="2:11" ht="21.75" customHeight="1" x14ac:dyDescent="0.35">
      <c r="B49" s="11">
        <v>7</v>
      </c>
      <c r="C49" s="5" t="s">
        <v>15851</v>
      </c>
      <c r="D49" s="11">
        <v>4</v>
      </c>
      <c r="E49" s="5" t="s">
        <v>15861</v>
      </c>
      <c r="F49" s="5" t="s">
        <v>15862</v>
      </c>
      <c r="G49" s="5" t="s">
        <v>497</v>
      </c>
      <c r="H49" s="5" t="s">
        <v>15690</v>
      </c>
      <c r="I49" s="5" t="s">
        <v>15863</v>
      </c>
      <c r="J49" s="5" t="s">
        <v>15864</v>
      </c>
      <c r="K49" s="11">
        <v>1</v>
      </c>
    </row>
    <row r="50" spans="2:11" ht="37.5" customHeight="1" x14ac:dyDescent="0.35">
      <c r="B50" s="12">
        <v>7</v>
      </c>
      <c r="C50" s="7" t="s">
        <v>15851</v>
      </c>
      <c r="D50" s="12">
        <v>5</v>
      </c>
      <c r="E50" s="7" t="s">
        <v>15865</v>
      </c>
      <c r="F50" s="7" t="s">
        <v>15866</v>
      </c>
      <c r="G50" s="7" t="s">
        <v>15867</v>
      </c>
      <c r="H50" s="7" t="s">
        <v>15690</v>
      </c>
      <c r="I50" s="7" t="s">
        <v>15868</v>
      </c>
      <c r="J50" s="7" t="s">
        <v>15869</v>
      </c>
      <c r="K50" s="12">
        <v>1</v>
      </c>
    </row>
    <row r="51" spans="2:11" ht="37.5" customHeight="1" x14ac:dyDescent="0.35">
      <c r="B51" s="11">
        <v>7</v>
      </c>
      <c r="C51" s="5" t="s">
        <v>15851</v>
      </c>
      <c r="D51" s="11">
        <v>6</v>
      </c>
      <c r="E51" s="5" t="s">
        <v>15870</v>
      </c>
      <c r="F51" s="5" t="s">
        <v>15871</v>
      </c>
      <c r="G51" s="5" t="s">
        <v>15867</v>
      </c>
      <c r="H51" s="5" t="s">
        <v>15690</v>
      </c>
      <c r="I51" s="5" t="s">
        <v>15691</v>
      </c>
      <c r="J51" s="5" t="s">
        <v>15692</v>
      </c>
      <c r="K51" s="11">
        <v>1</v>
      </c>
    </row>
    <row r="52" spans="2:11" ht="37.5" customHeight="1" x14ac:dyDescent="0.35">
      <c r="B52" s="12">
        <v>7</v>
      </c>
      <c r="C52" s="7" t="s">
        <v>15851</v>
      </c>
      <c r="D52" s="12">
        <v>7</v>
      </c>
      <c r="E52" s="7" t="s">
        <v>15872</v>
      </c>
      <c r="F52" s="7" t="s">
        <v>15873</v>
      </c>
      <c r="G52" s="7" t="s">
        <v>15712</v>
      </c>
      <c r="H52" s="7" t="s">
        <v>50</v>
      </c>
      <c r="I52" s="7" t="s">
        <v>15874</v>
      </c>
      <c r="J52" s="7" t="s">
        <v>15875</v>
      </c>
      <c r="K52" s="12">
        <v>1</v>
      </c>
    </row>
    <row r="53" spans="2:11" ht="37.5" customHeight="1" x14ac:dyDescent="0.35">
      <c r="B53" s="11">
        <v>7</v>
      </c>
      <c r="C53" s="5" t="s">
        <v>15851</v>
      </c>
      <c r="D53" s="11">
        <v>8</v>
      </c>
      <c r="E53" s="5" t="s">
        <v>15876</v>
      </c>
      <c r="F53" s="5" t="s">
        <v>15877</v>
      </c>
      <c r="G53" s="5" t="s">
        <v>15712</v>
      </c>
      <c r="H53" s="5" t="s">
        <v>15690</v>
      </c>
      <c r="I53" s="5" t="s">
        <v>15878</v>
      </c>
      <c r="J53" s="5" t="s">
        <v>15879</v>
      </c>
      <c r="K53" s="11">
        <v>1</v>
      </c>
    </row>
    <row r="54" spans="2:11" ht="37.5" customHeight="1" x14ac:dyDescent="0.35">
      <c r="B54" s="12">
        <v>7</v>
      </c>
      <c r="C54" s="7" t="s">
        <v>15851</v>
      </c>
      <c r="D54" s="12">
        <v>9</v>
      </c>
      <c r="E54" s="7" t="s">
        <v>15880</v>
      </c>
      <c r="F54" s="7" t="s">
        <v>15881</v>
      </c>
      <c r="G54" s="7" t="s">
        <v>15882</v>
      </c>
      <c r="H54" s="7" t="s">
        <v>15690</v>
      </c>
      <c r="I54" s="7" t="s">
        <v>15883</v>
      </c>
      <c r="J54" s="7" t="s">
        <v>15884</v>
      </c>
      <c r="K54" s="12">
        <v>1</v>
      </c>
    </row>
    <row r="55" spans="2:11" ht="37.5" customHeight="1" x14ac:dyDescent="0.35">
      <c r="B55" s="11">
        <v>7</v>
      </c>
      <c r="C55" s="5" t="s">
        <v>15851</v>
      </c>
      <c r="D55" s="11">
        <v>10</v>
      </c>
      <c r="E55" s="5" t="s">
        <v>15885</v>
      </c>
      <c r="F55" s="5" t="s">
        <v>15886</v>
      </c>
      <c r="G55" s="5" t="s">
        <v>15756</v>
      </c>
      <c r="H55" s="5" t="s">
        <v>15690</v>
      </c>
      <c r="I55" s="5" t="s">
        <v>15887</v>
      </c>
      <c r="J55" s="5" t="s">
        <v>15888</v>
      </c>
      <c r="K55" s="11">
        <v>1</v>
      </c>
    </row>
    <row r="56" spans="2:11" ht="37.5" customHeight="1" x14ac:dyDescent="0.35">
      <c r="B56" s="12">
        <v>7</v>
      </c>
      <c r="C56" s="7" t="s">
        <v>15851</v>
      </c>
      <c r="D56" s="12">
        <v>11</v>
      </c>
      <c r="E56" s="7" t="s">
        <v>15889</v>
      </c>
      <c r="F56" s="7" t="s">
        <v>15890</v>
      </c>
      <c r="G56" s="7" t="s">
        <v>15782</v>
      </c>
      <c r="H56" s="7" t="s">
        <v>15690</v>
      </c>
      <c r="I56" s="7" t="s">
        <v>15883</v>
      </c>
      <c r="J56" s="7" t="s">
        <v>15884</v>
      </c>
      <c r="K56" s="12">
        <v>1</v>
      </c>
    </row>
    <row r="57" spans="2:11" ht="37.5" customHeight="1" x14ac:dyDescent="0.35">
      <c r="B57" s="11">
        <v>7</v>
      </c>
      <c r="C57" s="5" t="s">
        <v>15851</v>
      </c>
      <c r="D57" s="11">
        <v>12</v>
      </c>
      <c r="E57" s="5" t="s">
        <v>15891</v>
      </c>
      <c r="F57" s="5" t="s">
        <v>15892</v>
      </c>
      <c r="G57" s="5" t="s">
        <v>15893</v>
      </c>
      <c r="H57" s="5" t="s">
        <v>15690</v>
      </c>
      <c r="I57" s="5" t="s">
        <v>15883</v>
      </c>
      <c r="J57" s="5" t="s">
        <v>15884</v>
      </c>
      <c r="K57" s="11">
        <v>1</v>
      </c>
    </row>
    <row r="58" spans="2:11" ht="37.5" customHeight="1" x14ac:dyDescent="0.35">
      <c r="B58" s="12">
        <v>7</v>
      </c>
      <c r="C58" s="7" t="s">
        <v>15851</v>
      </c>
      <c r="D58" s="12">
        <v>13</v>
      </c>
      <c r="E58" s="7" t="s">
        <v>15894</v>
      </c>
      <c r="F58" s="7" t="s">
        <v>15895</v>
      </c>
      <c r="G58" s="7" t="s">
        <v>15896</v>
      </c>
      <c r="H58" s="7" t="s">
        <v>15690</v>
      </c>
      <c r="I58" s="7" t="s">
        <v>15691</v>
      </c>
      <c r="J58" s="7" t="s">
        <v>15692</v>
      </c>
      <c r="K58" s="12">
        <v>1</v>
      </c>
    </row>
    <row r="59" spans="2:11" ht="37.5" customHeight="1" x14ac:dyDescent="0.35">
      <c r="B59" s="11">
        <v>7</v>
      </c>
      <c r="C59" s="5" t="s">
        <v>15851</v>
      </c>
      <c r="D59" s="11">
        <v>14</v>
      </c>
      <c r="E59" s="5" t="s">
        <v>15897</v>
      </c>
      <c r="F59" s="5" t="s">
        <v>15898</v>
      </c>
      <c r="G59" s="5" t="s">
        <v>15899</v>
      </c>
      <c r="H59" s="5" t="s">
        <v>15690</v>
      </c>
      <c r="I59" s="5" t="s">
        <v>15691</v>
      </c>
      <c r="J59" s="5" t="s">
        <v>15692</v>
      </c>
      <c r="K59" s="11">
        <v>1</v>
      </c>
    </row>
    <row r="60" spans="2:11" ht="37.5" customHeight="1" x14ac:dyDescent="0.35">
      <c r="B60" s="12">
        <v>7</v>
      </c>
      <c r="C60" s="7" t="s">
        <v>15851</v>
      </c>
      <c r="D60" s="12">
        <v>15</v>
      </c>
      <c r="E60" s="7" t="s">
        <v>15900</v>
      </c>
      <c r="F60" s="7" t="s">
        <v>15901</v>
      </c>
      <c r="G60" s="7" t="s">
        <v>15902</v>
      </c>
      <c r="H60" s="7" t="s">
        <v>15690</v>
      </c>
      <c r="I60" s="7" t="s">
        <v>15691</v>
      </c>
      <c r="J60" s="7" t="s">
        <v>15692</v>
      </c>
      <c r="K60" s="12">
        <v>1</v>
      </c>
    </row>
    <row r="61" spans="2:11" ht="37.5" customHeight="1" x14ac:dyDescent="0.35">
      <c r="B61" s="11">
        <v>7</v>
      </c>
      <c r="C61" s="5" t="s">
        <v>15851</v>
      </c>
      <c r="D61" s="11">
        <v>16</v>
      </c>
      <c r="E61" s="5" t="s">
        <v>15903</v>
      </c>
      <c r="F61" s="5" t="s">
        <v>15904</v>
      </c>
      <c r="G61" s="5" t="s">
        <v>3703</v>
      </c>
      <c r="H61" s="5" t="s">
        <v>50</v>
      </c>
      <c r="I61" s="5" t="s">
        <v>15905</v>
      </c>
      <c r="J61" s="5" t="s">
        <v>15906</v>
      </c>
      <c r="K61" s="11">
        <v>1</v>
      </c>
    </row>
    <row r="62" spans="2:11" ht="21.75" customHeight="1" x14ac:dyDescent="0.35">
      <c r="B62" s="12">
        <v>7</v>
      </c>
      <c r="C62" s="7" t="s">
        <v>15851</v>
      </c>
      <c r="D62" s="12">
        <v>17</v>
      </c>
      <c r="E62" s="7" t="s">
        <v>15907</v>
      </c>
      <c r="F62" s="7" t="s">
        <v>15908</v>
      </c>
      <c r="G62" s="7" t="s">
        <v>8413</v>
      </c>
      <c r="H62" s="7" t="s">
        <v>15690</v>
      </c>
      <c r="I62" s="7" t="s">
        <v>15909</v>
      </c>
      <c r="J62" s="7" t="s">
        <v>15910</v>
      </c>
      <c r="K62" s="12">
        <v>1</v>
      </c>
    </row>
    <row r="63" spans="2:11" ht="21.75" customHeight="1" x14ac:dyDescent="0.35">
      <c r="B63" s="11">
        <v>7</v>
      </c>
      <c r="C63" s="5" t="s">
        <v>15851</v>
      </c>
      <c r="D63" s="11">
        <v>18</v>
      </c>
      <c r="E63" s="5" t="s">
        <v>15911</v>
      </c>
      <c r="F63" s="5" t="s">
        <v>15912</v>
      </c>
      <c r="G63" s="5" t="s">
        <v>15777</v>
      </c>
      <c r="H63" s="5" t="s">
        <v>15690</v>
      </c>
      <c r="I63" s="5" t="s">
        <v>15909</v>
      </c>
      <c r="J63" s="5" t="s">
        <v>15910</v>
      </c>
      <c r="K63" s="11">
        <v>1</v>
      </c>
    </row>
    <row r="64" spans="2:11" ht="37.5" customHeight="1" x14ac:dyDescent="0.35">
      <c r="B64" s="12">
        <v>7</v>
      </c>
      <c r="C64" s="7" t="s">
        <v>15851</v>
      </c>
      <c r="D64" s="12">
        <v>19</v>
      </c>
      <c r="E64" s="7" t="s">
        <v>15913</v>
      </c>
      <c r="F64" s="7" t="s">
        <v>15914</v>
      </c>
      <c r="G64" s="7" t="s">
        <v>15858</v>
      </c>
      <c r="H64" s="7" t="s">
        <v>15915</v>
      </c>
      <c r="I64" s="7" t="s">
        <v>15916</v>
      </c>
      <c r="J64" s="7" t="s">
        <v>15917</v>
      </c>
      <c r="K64" s="12">
        <v>1</v>
      </c>
    </row>
    <row r="65" spans="2:11" ht="37.5" customHeight="1" x14ac:dyDescent="0.35">
      <c r="B65" s="11">
        <v>7</v>
      </c>
      <c r="C65" s="5" t="s">
        <v>15851</v>
      </c>
      <c r="D65" s="11">
        <v>20</v>
      </c>
      <c r="E65" s="5" t="s">
        <v>15918</v>
      </c>
      <c r="F65" s="5" t="s">
        <v>15919</v>
      </c>
      <c r="G65" s="5" t="s">
        <v>15920</v>
      </c>
      <c r="H65" s="5" t="s">
        <v>15690</v>
      </c>
      <c r="I65" s="5" t="s">
        <v>15921</v>
      </c>
      <c r="J65" s="5" t="s">
        <v>15922</v>
      </c>
      <c r="K65" s="11">
        <v>1</v>
      </c>
    </row>
    <row r="66" spans="2:11" ht="37.5" customHeight="1" x14ac:dyDescent="0.35">
      <c r="B66" s="12">
        <v>7</v>
      </c>
      <c r="C66" s="7" t="s">
        <v>15851</v>
      </c>
      <c r="D66" s="12">
        <v>21</v>
      </c>
      <c r="E66" s="7" t="s">
        <v>15923</v>
      </c>
      <c r="F66" s="7" t="s">
        <v>15924</v>
      </c>
      <c r="G66" s="7" t="s">
        <v>15782</v>
      </c>
      <c r="H66" s="7" t="s">
        <v>15690</v>
      </c>
      <c r="I66" s="7" t="s">
        <v>15925</v>
      </c>
      <c r="J66" s="7" t="s">
        <v>15926</v>
      </c>
      <c r="K66" s="12">
        <v>1</v>
      </c>
    </row>
    <row r="67" spans="2:11" ht="37.5" customHeight="1" x14ac:dyDescent="0.35">
      <c r="B67" s="11">
        <v>7</v>
      </c>
      <c r="C67" s="5" t="s">
        <v>15851</v>
      </c>
      <c r="D67" s="11">
        <v>22</v>
      </c>
      <c r="E67" s="5" t="s">
        <v>15927</v>
      </c>
      <c r="F67" s="5" t="s">
        <v>15928</v>
      </c>
      <c r="G67" s="5" t="s">
        <v>15929</v>
      </c>
      <c r="H67" s="5" t="s">
        <v>15690</v>
      </c>
      <c r="I67" s="5" t="s">
        <v>15930</v>
      </c>
      <c r="J67" s="5" t="s">
        <v>15931</v>
      </c>
      <c r="K67" s="11">
        <v>1</v>
      </c>
    </row>
    <row r="68" spans="2:11" ht="37.5" customHeight="1" x14ac:dyDescent="0.35">
      <c r="B68" s="12">
        <v>7</v>
      </c>
      <c r="C68" s="7" t="s">
        <v>15851</v>
      </c>
      <c r="D68" s="12">
        <v>23</v>
      </c>
      <c r="E68" s="7" t="s">
        <v>15932</v>
      </c>
      <c r="F68" s="7" t="s">
        <v>15933</v>
      </c>
      <c r="G68" s="7" t="s">
        <v>15934</v>
      </c>
      <c r="H68" s="7" t="s">
        <v>15690</v>
      </c>
      <c r="I68" s="7" t="s">
        <v>15758</v>
      </c>
      <c r="J68" s="7" t="s">
        <v>15935</v>
      </c>
      <c r="K68" s="12">
        <v>1</v>
      </c>
    </row>
    <row r="69" spans="2:11" ht="37.5" customHeight="1" x14ac:dyDescent="0.35">
      <c r="B69" s="11">
        <v>7</v>
      </c>
      <c r="C69" s="5" t="s">
        <v>15851</v>
      </c>
      <c r="D69" s="11">
        <v>24</v>
      </c>
      <c r="E69" s="5" t="s">
        <v>15936</v>
      </c>
      <c r="F69" s="5" t="s">
        <v>15937</v>
      </c>
      <c r="G69" s="5" t="s">
        <v>15938</v>
      </c>
      <c r="H69" s="5" t="s">
        <v>15690</v>
      </c>
      <c r="I69" s="5" t="s">
        <v>15939</v>
      </c>
      <c r="J69" s="5" t="s">
        <v>15940</v>
      </c>
      <c r="K69" s="11">
        <v>1</v>
      </c>
    </row>
    <row r="70" spans="2:11" ht="37.5" customHeight="1" x14ac:dyDescent="0.35">
      <c r="B70" s="12">
        <v>7</v>
      </c>
      <c r="C70" s="7" t="s">
        <v>15851</v>
      </c>
      <c r="D70" s="12">
        <v>25</v>
      </c>
      <c r="E70" s="7" t="s">
        <v>15941</v>
      </c>
      <c r="F70" s="7" t="s">
        <v>15942</v>
      </c>
      <c r="G70" s="7" t="s">
        <v>27</v>
      </c>
      <c r="H70" s="7" t="s">
        <v>15943</v>
      </c>
      <c r="I70" s="7" t="s">
        <v>15944</v>
      </c>
      <c r="J70" s="7" t="s">
        <v>15945</v>
      </c>
      <c r="K70" s="12">
        <v>1</v>
      </c>
    </row>
    <row r="71" spans="2:11" ht="37.5" customHeight="1" x14ac:dyDescent="0.35">
      <c r="B71" s="11">
        <v>7</v>
      </c>
      <c r="C71" s="5" t="s">
        <v>15851</v>
      </c>
      <c r="D71" s="11">
        <v>26</v>
      </c>
      <c r="E71" s="5" t="s">
        <v>15946</v>
      </c>
      <c r="F71" s="5" t="s">
        <v>15947</v>
      </c>
      <c r="G71" s="5" t="s">
        <v>15948</v>
      </c>
      <c r="H71" s="5" t="s">
        <v>15949</v>
      </c>
      <c r="I71" s="5" t="s">
        <v>15950</v>
      </c>
      <c r="J71" s="5" t="s">
        <v>15951</v>
      </c>
      <c r="K71" s="11">
        <v>1</v>
      </c>
    </row>
    <row r="72" spans="2:11" ht="37.5" customHeight="1" x14ac:dyDescent="0.35">
      <c r="B72" s="12">
        <v>7</v>
      </c>
      <c r="C72" s="7" t="s">
        <v>15851</v>
      </c>
      <c r="D72" s="12">
        <v>27</v>
      </c>
      <c r="E72" s="7" t="s">
        <v>15952</v>
      </c>
      <c r="F72" s="7" t="s">
        <v>15953</v>
      </c>
      <c r="G72" s="7" t="s">
        <v>15954</v>
      </c>
      <c r="H72" s="7" t="s">
        <v>15949</v>
      </c>
      <c r="I72" s="7" t="s">
        <v>15955</v>
      </c>
      <c r="J72" s="7" t="s">
        <v>15956</v>
      </c>
      <c r="K72" s="12">
        <v>1</v>
      </c>
    </row>
    <row r="73" spans="2:11" ht="37.5" customHeight="1" x14ac:dyDescent="0.35">
      <c r="B73" s="11">
        <v>7</v>
      </c>
      <c r="C73" s="5" t="s">
        <v>15851</v>
      </c>
      <c r="D73" s="11">
        <v>28</v>
      </c>
      <c r="E73" s="5" t="s">
        <v>15957</v>
      </c>
      <c r="F73" s="5" t="s">
        <v>15958</v>
      </c>
      <c r="G73" s="5" t="s">
        <v>15959</v>
      </c>
      <c r="H73" s="5" t="s">
        <v>15949</v>
      </c>
      <c r="I73" s="5" t="s">
        <v>15960</v>
      </c>
      <c r="J73" s="5" t="s">
        <v>15961</v>
      </c>
      <c r="K73" s="11">
        <v>1</v>
      </c>
    </row>
    <row r="74" spans="2:11" ht="37.5" customHeight="1" x14ac:dyDescent="0.35">
      <c r="B74" s="12">
        <v>7</v>
      </c>
      <c r="C74" s="7" t="s">
        <v>15851</v>
      </c>
      <c r="D74" s="12">
        <v>29</v>
      </c>
      <c r="E74" s="7" t="s">
        <v>15962</v>
      </c>
      <c r="F74" s="7" t="s">
        <v>15963</v>
      </c>
      <c r="G74" s="7" t="s">
        <v>15959</v>
      </c>
      <c r="H74" s="7" t="s">
        <v>50</v>
      </c>
      <c r="I74" s="7" t="s">
        <v>15964</v>
      </c>
      <c r="J74" s="7" t="s">
        <v>15965</v>
      </c>
      <c r="K74" s="12">
        <v>1</v>
      </c>
    </row>
    <row r="75" spans="2:11" ht="37.5" customHeight="1" x14ac:dyDescent="0.35">
      <c r="B75" s="11">
        <v>7</v>
      </c>
      <c r="C75" s="5" t="s">
        <v>15851</v>
      </c>
      <c r="D75" s="11">
        <v>30</v>
      </c>
      <c r="E75" s="5" t="s">
        <v>15966</v>
      </c>
      <c r="F75" s="5" t="s">
        <v>15967</v>
      </c>
      <c r="G75" s="5" t="s">
        <v>202</v>
      </c>
      <c r="H75" s="5" t="s">
        <v>15949</v>
      </c>
      <c r="I75" s="5" t="s">
        <v>15968</v>
      </c>
      <c r="J75" s="5" t="s">
        <v>15969</v>
      </c>
      <c r="K75" s="11">
        <v>1</v>
      </c>
    </row>
    <row r="76" spans="2:11" ht="37.5" customHeight="1" x14ac:dyDescent="0.35">
      <c r="B76" s="12">
        <v>7</v>
      </c>
      <c r="C76" s="7" t="s">
        <v>15851</v>
      </c>
      <c r="D76" s="12">
        <v>31</v>
      </c>
      <c r="E76" s="7" t="s">
        <v>15970</v>
      </c>
      <c r="F76" s="7" t="s">
        <v>15971</v>
      </c>
      <c r="G76" s="7" t="s">
        <v>15896</v>
      </c>
      <c r="H76" s="7" t="s">
        <v>15949</v>
      </c>
      <c r="I76" s="7" t="s">
        <v>15968</v>
      </c>
      <c r="J76" s="7" t="s">
        <v>15969</v>
      </c>
      <c r="K76" s="12">
        <v>1</v>
      </c>
    </row>
    <row r="77" spans="2:11" ht="37.5" customHeight="1" x14ac:dyDescent="0.35">
      <c r="B77" s="11"/>
      <c r="C77" s="5" t="s">
        <v>15972</v>
      </c>
      <c r="D77" s="11">
        <v>32</v>
      </c>
      <c r="E77" s="5" t="s">
        <v>15973</v>
      </c>
      <c r="F77" s="5" t="s">
        <v>15974</v>
      </c>
      <c r="G77" s="5" t="s">
        <v>15975</v>
      </c>
      <c r="H77" s="5" t="s">
        <v>15696</v>
      </c>
      <c r="I77" s="5" t="s">
        <v>15976</v>
      </c>
      <c r="J77" s="5" t="s">
        <v>15977</v>
      </c>
      <c r="K77" s="11">
        <v>1</v>
      </c>
    </row>
    <row r="78" spans="2:11" ht="37.5" customHeight="1" x14ac:dyDescent="0.35">
      <c r="B78" s="12"/>
      <c r="C78" s="7" t="s">
        <v>15972</v>
      </c>
      <c r="D78" s="12">
        <v>33</v>
      </c>
      <c r="E78" s="7" t="s">
        <v>15978</v>
      </c>
      <c r="F78" s="7" t="s">
        <v>15979</v>
      </c>
      <c r="G78" s="7" t="s">
        <v>7638</v>
      </c>
      <c r="H78" s="7" t="s">
        <v>50</v>
      </c>
      <c r="I78" s="7" t="s">
        <v>15980</v>
      </c>
      <c r="J78" s="7" t="s">
        <v>15981</v>
      </c>
      <c r="K78" s="12">
        <v>1</v>
      </c>
    </row>
    <row r="79" spans="2:11" ht="37.5" customHeight="1" x14ac:dyDescent="0.35">
      <c r="B79" s="11"/>
      <c r="C79" s="5" t="s">
        <v>15972</v>
      </c>
      <c r="D79" s="11">
        <v>34</v>
      </c>
      <c r="E79" s="5" t="s">
        <v>15982</v>
      </c>
      <c r="F79" s="5" t="s">
        <v>15983</v>
      </c>
      <c r="G79" s="5" t="s">
        <v>15984</v>
      </c>
      <c r="H79" s="5" t="s">
        <v>50</v>
      </c>
      <c r="I79" s="5" t="s">
        <v>15980</v>
      </c>
      <c r="J79" s="5" t="s">
        <v>15981</v>
      </c>
      <c r="K79" s="11">
        <v>1</v>
      </c>
    </row>
    <row r="80" spans="2:11" ht="37.5" customHeight="1" x14ac:dyDescent="0.35">
      <c r="B80" s="12"/>
      <c r="C80" s="7" t="s">
        <v>15972</v>
      </c>
      <c r="D80" s="12">
        <v>35</v>
      </c>
      <c r="E80" s="7" t="s">
        <v>15985</v>
      </c>
      <c r="F80" s="7" t="s">
        <v>15986</v>
      </c>
      <c r="G80" s="7" t="s">
        <v>15987</v>
      </c>
      <c r="H80" s="7" t="s">
        <v>15827</v>
      </c>
      <c r="I80" s="7" t="s">
        <v>15905</v>
      </c>
      <c r="J80" s="7" t="s">
        <v>15988</v>
      </c>
      <c r="K80" s="12">
        <v>1</v>
      </c>
    </row>
    <row r="81" spans="2:11" ht="37.5" customHeight="1" x14ac:dyDescent="0.35">
      <c r="B81" s="11"/>
      <c r="C81" s="5" t="s">
        <v>15972</v>
      </c>
      <c r="D81" s="11">
        <v>36</v>
      </c>
      <c r="E81" s="5" t="s">
        <v>15989</v>
      </c>
      <c r="F81" s="5" t="s">
        <v>15990</v>
      </c>
      <c r="G81" s="5" t="s">
        <v>755</v>
      </c>
      <c r="H81" s="5" t="s">
        <v>15827</v>
      </c>
      <c r="I81" s="5" t="s">
        <v>15905</v>
      </c>
      <c r="J81" s="5" t="s">
        <v>15988</v>
      </c>
      <c r="K81" s="11">
        <v>1</v>
      </c>
    </row>
    <row r="82" spans="2:11" ht="37.5" customHeight="1" x14ac:dyDescent="0.35">
      <c r="B82" s="12"/>
      <c r="C82" s="7" t="s">
        <v>15972</v>
      </c>
      <c r="D82" s="12">
        <v>37</v>
      </c>
      <c r="E82" s="7" t="s">
        <v>15991</v>
      </c>
      <c r="F82" s="7" t="s">
        <v>15992</v>
      </c>
      <c r="G82" s="7" t="s">
        <v>15993</v>
      </c>
      <c r="H82" s="7" t="s">
        <v>50</v>
      </c>
      <c r="I82" s="7" t="s">
        <v>15994</v>
      </c>
      <c r="J82" s="7" t="s">
        <v>15995</v>
      </c>
      <c r="K82" s="12">
        <v>1</v>
      </c>
    </row>
    <row r="83" spans="2:11" ht="37.5" customHeight="1" x14ac:dyDescent="0.35">
      <c r="B83" s="11"/>
      <c r="C83" s="5" t="s">
        <v>15972</v>
      </c>
      <c r="D83" s="11">
        <v>38</v>
      </c>
      <c r="E83" s="5" t="s">
        <v>15996</v>
      </c>
      <c r="F83" s="5" t="s">
        <v>15997</v>
      </c>
      <c r="G83" s="5" t="s">
        <v>15998</v>
      </c>
      <c r="H83" s="5" t="s">
        <v>50</v>
      </c>
      <c r="I83" s="5" t="s">
        <v>15905</v>
      </c>
      <c r="J83" s="5" t="s">
        <v>15906</v>
      </c>
      <c r="K83" s="11">
        <v>1</v>
      </c>
    </row>
    <row r="84" spans="2:11" ht="37.5" customHeight="1" x14ac:dyDescent="0.35">
      <c r="B84" s="12"/>
      <c r="C84" s="7" t="s">
        <v>15972</v>
      </c>
      <c r="D84" s="12">
        <v>39</v>
      </c>
      <c r="E84" s="7" t="s">
        <v>15999</v>
      </c>
      <c r="F84" s="7" t="s">
        <v>16000</v>
      </c>
      <c r="G84" s="7" t="s">
        <v>285</v>
      </c>
      <c r="H84" s="7" t="s">
        <v>15696</v>
      </c>
      <c r="I84" s="7" t="s">
        <v>15821</v>
      </c>
      <c r="J84" s="7" t="s">
        <v>15822</v>
      </c>
      <c r="K84" s="12">
        <v>1</v>
      </c>
    </row>
    <row r="85" spans="2:11" ht="37.5" customHeight="1" x14ac:dyDescent="0.35">
      <c r="B85" s="11"/>
      <c r="C85" s="5" t="s">
        <v>15972</v>
      </c>
      <c r="D85" s="11">
        <v>40</v>
      </c>
      <c r="E85" s="5" t="s">
        <v>16001</v>
      </c>
      <c r="F85" s="5" t="s">
        <v>16002</v>
      </c>
      <c r="G85" s="5" t="s">
        <v>15712</v>
      </c>
      <c r="H85" s="5" t="s">
        <v>15696</v>
      </c>
      <c r="I85" s="5" t="s">
        <v>16003</v>
      </c>
      <c r="J85" s="5" t="s">
        <v>16004</v>
      </c>
      <c r="K85" s="11">
        <v>1</v>
      </c>
    </row>
    <row r="86" spans="2:11" ht="37.5" customHeight="1" x14ac:dyDescent="0.35">
      <c r="B86" s="12"/>
      <c r="C86" s="7" t="s">
        <v>15972</v>
      </c>
      <c r="D86" s="12">
        <v>41</v>
      </c>
      <c r="E86" s="7" t="s">
        <v>16005</v>
      </c>
      <c r="F86" s="7" t="s">
        <v>16006</v>
      </c>
      <c r="G86" s="7" t="s">
        <v>16007</v>
      </c>
      <c r="H86" s="7" t="s">
        <v>15696</v>
      </c>
      <c r="I86" s="7" t="s">
        <v>15691</v>
      </c>
      <c r="J86" s="7" t="s">
        <v>16008</v>
      </c>
      <c r="K86" s="12">
        <v>1</v>
      </c>
    </row>
    <row r="87" spans="2:11" ht="37.5" customHeight="1" x14ac:dyDescent="0.35">
      <c r="B87" s="11"/>
      <c r="C87" s="5" t="s">
        <v>15972</v>
      </c>
      <c r="D87" s="11">
        <v>42</v>
      </c>
      <c r="E87" s="5" t="s">
        <v>16009</v>
      </c>
      <c r="F87" s="5" t="s">
        <v>16010</v>
      </c>
      <c r="G87" s="5" t="s">
        <v>16011</v>
      </c>
      <c r="H87" s="5" t="s">
        <v>15696</v>
      </c>
      <c r="I87" s="5" t="s">
        <v>15821</v>
      </c>
      <c r="J87" s="5" t="s">
        <v>15822</v>
      </c>
      <c r="K87" s="11">
        <v>1</v>
      </c>
    </row>
    <row r="88" spans="2:11" ht="37.5" customHeight="1" x14ac:dyDescent="0.35">
      <c r="B88" s="12"/>
      <c r="C88" s="7" t="s">
        <v>15972</v>
      </c>
      <c r="D88" s="12">
        <v>43</v>
      </c>
      <c r="E88" s="7" t="s">
        <v>16012</v>
      </c>
      <c r="F88" s="7" t="s">
        <v>16013</v>
      </c>
      <c r="G88" s="7" t="s">
        <v>8708</v>
      </c>
      <c r="H88" s="7" t="s">
        <v>15696</v>
      </c>
      <c r="I88" s="7" t="s">
        <v>15821</v>
      </c>
      <c r="J88" s="7" t="s">
        <v>15822</v>
      </c>
      <c r="K88" s="12">
        <v>1</v>
      </c>
    </row>
    <row r="89" spans="2:11" ht="37.5" customHeight="1" x14ac:dyDescent="0.35">
      <c r="B89" s="11"/>
      <c r="C89" s="5" t="s">
        <v>15972</v>
      </c>
      <c r="D89" s="11">
        <v>44</v>
      </c>
      <c r="E89" s="5" t="s">
        <v>16014</v>
      </c>
      <c r="F89" s="5" t="s">
        <v>16015</v>
      </c>
      <c r="G89" s="5" t="s">
        <v>16016</v>
      </c>
      <c r="H89" s="5" t="s">
        <v>15696</v>
      </c>
      <c r="I89" s="5" t="s">
        <v>16017</v>
      </c>
      <c r="J89" s="5" t="s">
        <v>16018</v>
      </c>
      <c r="K89" s="11">
        <v>1</v>
      </c>
    </row>
    <row r="90" spans="2:11" ht="37.5" customHeight="1" x14ac:dyDescent="0.35">
      <c r="B90" s="12"/>
      <c r="C90" s="7" t="s">
        <v>15972</v>
      </c>
      <c r="D90" s="12">
        <v>45</v>
      </c>
      <c r="E90" s="7" t="s">
        <v>16019</v>
      </c>
      <c r="F90" s="7" t="s">
        <v>16020</v>
      </c>
      <c r="G90" s="7" t="s">
        <v>742</v>
      </c>
      <c r="H90" s="7" t="s">
        <v>15696</v>
      </c>
      <c r="I90" s="7" t="s">
        <v>15821</v>
      </c>
      <c r="J90" s="7" t="s">
        <v>15822</v>
      </c>
      <c r="K90" s="12">
        <v>1</v>
      </c>
    </row>
    <row r="91" spans="2:11" ht="37.5" customHeight="1" x14ac:dyDescent="0.35">
      <c r="B91" s="11"/>
      <c r="C91" s="5" t="s">
        <v>15972</v>
      </c>
      <c r="D91" s="11">
        <v>46</v>
      </c>
      <c r="E91" s="5" t="s">
        <v>16021</v>
      </c>
      <c r="F91" s="5" t="s">
        <v>16022</v>
      </c>
      <c r="G91" s="5" t="s">
        <v>176</v>
      </c>
      <c r="H91" s="5" t="s">
        <v>15696</v>
      </c>
      <c r="I91" s="5" t="s">
        <v>15821</v>
      </c>
      <c r="J91" s="5" t="s">
        <v>15822</v>
      </c>
      <c r="K91" s="11">
        <v>1</v>
      </c>
    </row>
    <row r="92" spans="2:11" ht="37.5" customHeight="1" x14ac:dyDescent="0.35">
      <c r="B92" s="12"/>
      <c r="C92" s="7" t="s">
        <v>15972</v>
      </c>
      <c r="D92" s="12">
        <v>47</v>
      </c>
      <c r="E92" s="7" t="s">
        <v>16023</v>
      </c>
      <c r="F92" s="7" t="s">
        <v>16024</v>
      </c>
      <c r="G92" s="7" t="s">
        <v>16025</v>
      </c>
      <c r="H92" s="7" t="s">
        <v>15696</v>
      </c>
      <c r="I92" s="7" t="s">
        <v>15821</v>
      </c>
      <c r="J92" s="7" t="s">
        <v>15822</v>
      </c>
      <c r="K92" s="12">
        <v>1</v>
      </c>
    </row>
    <row r="93" spans="2:11" ht="37.5" customHeight="1" x14ac:dyDescent="0.35">
      <c r="B93" s="11"/>
      <c r="C93" s="5" t="s">
        <v>15972</v>
      </c>
      <c r="D93" s="11">
        <v>48</v>
      </c>
      <c r="E93" s="5" t="s">
        <v>16026</v>
      </c>
      <c r="F93" s="5" t="s">
        <v>16027</v>
      </c>
      <c r="G93" s="5" t="s">
        <v>950</v>
      </c>
      <c r="H93" s="5" t="s">
        <v>15696</v>
      </c>
      <c r="I93" s="5" t="s">
        <v>15821</v>
      </c>
      <c r="J93" s="5" t="s">
        <v>15822</v>
      </c>
      <c r="K93" s="11">
        <v>1</v>
      </c>
    </row>
    <row r="94" spans="2:11" ht="37.5" customHeight="1" x14ac:dyDescent="0.35">
      <c r="B94" s="12"/>
      <c r="C94" s="7" t="s">
        <v>15972</v>
      </c>
      <c r="D94" s="12">
        <v>49</v>
      </c>
      <c r="E94" s="7" t="s">
        <v>16028</v>
      </c>
      <c r="F94" s="7" t="s">
        <v>16029</v>
      </c>
      <c r="G94" s="7" t="s">
        <v>16030</v>
      </c>
      <c r="H94" s="7" t="s">
        <v>15696</v>
      </c>
      <c r="I94" s="7" t="s">
        <v>15821</v>
      </c>
      <c r="J94" s="7" t="s">
        <v>15822</v>
      </c>
      <c r="K94" s="12">
        <v>1</v>
      </c>
    </row>
    <row r="95" spans="2:11" ht="37.5" customHeight="1" x14ac:dyDescent="0.35">
      <c r="B95" s="11">
        <v>8</v>
      </c>
      <c r="C95" s="5" t="s">
        <v>16031</v>
      </c>
      <c r="D95" s="11">
        <v>1</v>
      </c>
      <c r="E95" s="5" t="s">
        <v>16032</v>
      </c>
      <c r="F95" s="5" t="s">
        <v>16033</v>
      </c>
      <c r="G95" s="5" t="s">
        <v>358</v>
      </c>
      <c r="H95" s="5" t="s">
        <v>15696</v>
      </c>
      <c r="I95" s="5" t="s">
        <v>16034</v>
      </c>
      <c r="J95" s="5" t="s">
        <v>16035</v>
      </c>
      <c r="K95" s="11">
        <v>1</v>
      </c>
    </row>
    <row r="96" spans="2:11" ht="37.5" customHeight="1" x14ac:dyDescent="0.35">
      <c r="B96" s="12">
        <v>8</v>
      </c>
      <c r="C96" s="7" t="s">
        <v>16031</v>
      </c>
      <c r="D96" s="12">
        <v>2</v>
      </c>
      <c r="E96" s="7" t="s">
        <v>16036</v>
      </c>
      <c r="F96" s="7" t="s">
        <v>16037</v>
      </c>
      <c r="G96" s="7" t="s">
        <v>16038</v>
      </c>
      <c r="H96" s="7" t="s">
        <v>15696</v>
      </c>
      <c r="I96" s="7" t="s">
        <v>16039</v>
      </c>
      <c r="J96" s="7" t="s">
        <v>16040</v>
      </c>
      <c r="K96" s="12">
        <v>1</v>
      </c>
    </row>
    <row r="97" spans="2:11" ht="37.5" customHeight="1" x14ac:dyDescent="0.35">
      <c r="B97" s="11">
        <v>8</v>
      </c>
      <c r="C97" s="5" t="s">
        <v>16031</v>
      </c>
      <c r="D97" s="11">
        <v>3</v>
      </c>
      <c r="E97" s="5" t="s">
        <v>16041</v>
      </c>
      <c r="F97" s="5" t="s">
        <v>16042</v>
      </c>
      <c r="G97" s="5" t="s">
        <v>16043</v>
      </c>
      <c r="H97" s="5" t="s">
        <v>50</v>
      </c>
      <c r="I97" s="5" t="s">
        <v>16044</v>
      </c>
      <c r="J97" s="5" t="s">
        <v>16045</v>
      </c>
      <c r="K97" s="11">
        <v>1</v>
      </c>
    </row>
    <row r="98" spans="2:11" ht="37.5" customHeight="1" x14ac:dyDescent="0.35">
      <c r="B98" s="12">
        <v>9</v>
      </c>
      <c r="C98" s="7" t="s">
        <v>16046</v>
      </c>
      <c r="D98" s="12">
        <v>1</v>
      </c>
      <c r="E98" s="7" t="s">
        <v>16047</v>
      </c>
      <c r="F98" s="7" t="s">
        <v>16048</v>
      </c>
      <c r="G98" s="7" t="s">
        <v>761</v>
      </c>
      <c r="H98" s="7" t="s">
        <v>15690</v>
      </c>
      <c r="I98" s="7" t="s">
        <v>15691</v>
      </c>
      <c r="J98" s="7" t="s">
        <v>15692</v>
      </c>
      <c r="K98" s="12">
        <v>1</v>
      </c>
    </row>
    <row r="99" spans="2:11" ht="21.75" customHeight="1" x14ac:dyDescent="0.35">
      <c r="B99" s="11">
        <v>9</v>
      </c>
      <c r="C99" s="5" t="s">
        <v>16046</v>
      </c>
      <c r="D99" s="11">
        <v>2</v>
      </c>
      <c r="E99" s="5" t="s">
        <v>16049</v>
      </c>
      <c r="F99" s="5" t="s">
        <v>16050</v>
      </c>
      <c r="G99" s="5" t="s">
        <v>16051</v>
      </c>
      <c r="H99" s="5" t="s">
        <v>15690</v>
      </c>
      <c r="I99" s="5" t="s">
        <v>15691</v>
      </c>
      <c r="J99" s="5" t="s">
        <v>15692</v>
      </c>
      <c r="K99" s="11">
        <v>1</v>
      </c>
    </row>
    <row r="100" spans="2:11" ht="37.5" customHeight="1" x14ac:dyDescent="0.35">
      <c r="B100" s="12">
        <v>10</v>
      </c>
      <c r="C100" s="7" t="s">
        <v>16052</v>
      </c>
      <c r="D100" s="12">
        <v>1</v>
      </c>
      <c r="E100" s="7" t="s">
        <v>16053</v>
      </c>
      <c r="F100" s="7" t="s">
        <v>16054</v>
      </c>
      <c r="G100" s="7" t="s">
        <v>358</v>
      </c>
      <c r="H100" s="7" t="s">
        <v>16055</v>
      </c>
      <c r="I100" s="7" t="s">
        <v>16056</v>
      </c>
      <c r="J100" s="7" t="s">
        <v>16057</v>
      </c>
      <c r="K100" s="12">
        <v>1</v>
      </c>
    </row>
    <row r="101" spans="2:11" ht="21.75" customHeight="1" x14ac:dyDescent="0.35">
      <c r="B101" s="11">
        <v>10</v>
      </c>
      <c r="C101" s="5" t="s">
        <v>16052</v>
      </c>
      <c r="D101" s="11">
        <v>2</v>
      </c>
      <c r="E101" s="5" t="s">
        <v>16058</v>
      </c>
      <c r="F101" s="5" t="s">
        <v>16059</v>
      </c>
      <c r="G101" s="5" t="s">
        <v>15835</v>
      </c>
      <c r="H101" s="5" t="s">
        <v>50</v>
      </c>
      <c r="I101" s="5" t="s">
        <v>16060</v>
      </c>
      <c r="J101" s="5" t="s">
        <v>16061</v>
      </c>
      <c r="K101" s="11">
        <v>1</v>
      </c>
    </row>
    <row r="102" spans="2:11" ht="37.5" customHeight="1" x14ac:dyDescent="0.35">
      <c r="B102" s="12">
        <v>11</v>
      </c>
      <c r="C102" s="7" t="s">
        <v>15454</v>
      </c>
      <c r="D102" s="12">
        <v>1</v>
      </c>
      <c r="E102" s="7" t="s">
        <v>16062</v>
      </c>
      <c r="F102" s="7" t="s">
        <v>16063</v>
      </c>
      <c r="G102" s="7" t="s">
        <v>24</v>
      </c>
      <c r="H102" s="7" t="s">
        <v>16055</v>
      </c>
      <c r="I102" s="7" t="s">
        <v>16064</v>
      </c>
      <c r="J102" s="7" t="s">
        <v>16065</v>
      </c>
      <c r="K102" s="12">
        <v>1</v>
      </c>
    </row>
    <row r="103" spans="2:11" ht="37.5" customHeight="1" x14ac:dyDescent="0.35">
      <c r="B103" s="11">
        <v>11</v>
      </c>
      <c r="C103" s="5" t="s">
        <v>15454</v>
      </c>
      <c r="D103" s="11">
        <v>2</v>
      </c>
      <c r="E103" s="5" t="s">
        <v>16066</v>
      </c>
      <c r="F103" s="5" t="s">
        <v>16067</v>
      </c>
      <c r="G103" s="5" t="s">
        <v>15807</v>
      </c>
      <c r="H103" s="5" t="s">
        <v>16055</v>
      </c>
      <c r="I103" s="5" t="s">
        <v>16064</v>
      </c>
      <c r="J103" s="5" t="s">
        <v>16065</v>
      </c>
      <c r="K103" s="11">
        <v>1</v>
      </c>
    </row>
    <row r="104" spans="2:11" ht="37.5" customHeight="1" x14ac:dyDescent="0.35">
      <c r="B104" s="12">
        <v>11</v>
      </c>
      <c r="C104" s="7" t="s">
        <v>15454</v>
      </c>
      <c r="D104" s="12">
        <v>3</v>
      </c>
      <c r="E104" s="7" t="s">
        <v>16068</v>
      </c>
      <c r="F104" s="7" t="s">
        <v>16069</v>
      </c>
      <c r="G104" s="7" t="s">
        <v>15812</v>
      </c>
      <c r="H104" s="7" t="s">
        <v>16055</v>
      </c>
      <c r="I104" s="7" t="s">
        <v>16064</v>
      </c>
      <c r="J104" s="7" t="s">
        <v>16065</v>
      </c>
      <c r="K104" s="12">
        <v>1</v>
      </c>
    </row>
    <row r="105" spans="2:11" ht="37.5" customHeight="1" x14ac:dyDescent="0.35">
      <c r="B105" s="11">
        <v>11</v>
      </c>
      <c r="C105" s="5" t="s">
        <v>15454</v>
      </c>
      <c r="D105" s="11">
        <v>4</v>
      </c>
      <c r="E105" s="5" t="s">
        <v>16070</v>
      </c>
      <c r="F105" s="5" t="s">
        <v>16071</v>
      </c>
      <c r="G105" s="5" t="s">
        <v>15826</v>
      </c>
      <c r="H105" s="5" t="s">
        <v>15696</v>
      </c>
      <c r="I105" s="5" t="s">
        <v>16072</v>
      </c>
      <c r="J105" s="5" t="s">
        <v>16073</v>
      </c>
      <c r="K105" s="11">
        <v>1</v>
      </c>
    </row>
    <row r="106" spans="2:11" ht="37.5" customHeight="1" x14ac:dyDescent="0.35">
      <c r="B106" s="12">
        <v>12</v>
      </c>
      <c r="C106" s="7" t="s">
        <v>16074</v>
      </c>
      <c r="D106" s="12">
        <v>1</v>
      </c>
      <c r="E106" s="7" t="s">
        <v>16075</v>
      </c>
      <c r="F106" s="7" t="s">
        <v>16076</v>
      </c>
      <c r="G106" s="7" t="s">
        <v>358</v>
      </c>
      <c r="H106" s="7" t="s">
        <v>15827</v>
      </c>
      <c r="I106" s="7" t="s">
        <v>12138</v>
      </c>
      <c r="J106" s="7" t="s">
        <v>16077</v>
      </c>
      <c r="K106" s="12">
        <v>1</v>
      </c>
    </row>
    <row r="107" spans="2:11" ht="37.5" customHeight="1" x14ac:dyDescent="0.35">
      <c r="B107" s="11">
        <v>12</v>
      </c>
      <c r="C107" s="5" t="s">
        <v>16074</v>
      </c>
      <c r="D107" s="11">
        <v>2</v>
      </c>
      <c r="E107" s="5" t="s">
        <v>16078</v>
      </c>
      <c r="F107" s="5" t="s">
        <v>16079</v>
      </c>
      <c r="G107" s="5" t="s">
        <v>24</v>
      </c>
      <c r="H107" s="5" t="s">
        <v>15827</v>
      </c>
      <c r="I107" s="5" t="s">
        <v>10406</v>
      </c>
      <c r="J107" s="5" t="s">
        <v>16080</v>
      </c>
      <c r="K107" s="11">
        <v>1</v>
      </c>
    </row>
    <row r="108" spans="2:11" ht="37.5" customHeight="1" x14ac:dyDescent="0.35">
      <c r="B108" s="12">
        <v>12</v>
      </c>
      <c r="C108" s="7" t="s">
        <v>16074</v>
      </c>
      <c r="D108" s="12">
        <v>3</v>
      </c>
      <c r="E108" s="7" t="s">
        <v>16081</v>
      </c>
      <c r="F108" s="7" t="s">
        <v>16082</v>
      </c>
      <c r="G108" s="7" t="s">
        <v>2405</v>
      </c>
      <c r="H108" s="7" t="s">
        <v>15827</v>
      </c>
      <c r="I108" s="7" t="s">
        <v>12138</v>
      </c>
      <c r="J108" s="7" t="s">
        <v>16077</v>
      </c>
      <c r="K108" s="12">
        <v>1</v>
      </c>
    </row>
    <row r="109" spans="2:11" ht="21.75" customHeight="1" x14ac:dyDescent="0.35">
      <c r="B109" s="11">
        <v>12</v>
      </c>
      <c r="C109" s="5" t="s">
        <v>16074</v>
      </c>
      <c r="D109" s="11">
        <v>4</v>
      </c>
      <c r="E109" s="5" t="s">
        <v>16083</v>
      </c>
      <c r="F109" s="5" t="s">
        <v>16084</v>
      </c>
      <c r="G109" s="5" t="s">
        <v>497</v>
      </c>
      <c r="H109" s="5" t="s">
        <v>15827</v>
      </c>
      <c r="I109" s="5" t="s">
        <v>12138</v>
      </c>
      <c r="J109" s="5" t="s">
        <v>16077</v>
      </c>
      <c r="K109" s="11">
        <v>1</v>
      </c>
    </row>
    <row r="110" spans="2:11" ht="21.75" customHeight="1" x14ac:dyDescent="0.35">
      <c r="B110" s="12">
        <v>12</v>
      </c>
      <c r="C110" s="7" t="s">
        <v>16074</v>
      </c>
      <c r="D110" s="12">
        <v>5</v>
      </c>
      <c r="E110" s="7" t="s">
        <v>16085</v>
      </c>
      <c r="F110" s="7" t="s">
        <v>16086</v>
      </c>
      <c r="G110" s="7" t="s">
        <v>868</v>
      </c>
      <c r="H110" s="7" t="s">
        <v>15827</v>
      </c>
      <c r="I110" s="7" t="s">
        <v>12138</v>
      </c>
      <c r="J110" s="7" t="s">
        <v>16077</v>
      </c>
      <c r="K110" s="12">
        <v>1</v>
      </c>
    </row>
    <row r="111" spans="2:11" ht="21.75" customHeight="1" x14ac:dyDescent="0.35">
      <c r="B111" s="11">
        <v>12</v>
      </c>
      <c r="C111" s="5" t="s">
        <v>16074</v>
      </c>
      <c r="D111" s="11">
        <v>6</v>
      </c>
      <c r="E111" s="5" t="s">
        <v>16087</v>
      </c>
      <c r="F111" s="5" t="s">
        <v>16088</v>
      </c>
      <c r="G111" s="5" t="s">
        <v>16089</v>
      </c>
      <c r="H111" s="5" t="s">
        <v>50</v>
      </c>
      <c r="I111" s="5" t="s">
        <v>16090</v>
      </c>
      <c r="J111" s="5" t="s">
        <v>16091</v>
      </c>
      <c r="K111" s="11">
        <v>1</v>
      </c>
    </row>
    <row r="112" spans="2:11" ht="37.5" customHeight="1" x14ac:dyDescent="0.35">
      <c r="B112" s="12">
        <v>12</v>
      </c>
      <c r="C112" s="7" t="s">
        <v>16074</v>
      </c>
      <c r="D112" s="12">
        <v>7</v>
      </c>
      <c r="E112" s="7" t="s">
        <v>16092</v>
      </c>
      <c r="F112" s="7" t="s">
        <v>16093</v>
      </c>
      <c r="G112" s="7" t="s">
        <v>3328</v>
      </c>
      <c r="H112" s="7" t="s">
        <v>15827</v>
      </c>
      <c r="I112" s="7" t="s">
        <v>12138</v>
      </c>
      <c r="J112" s="7" t="s">
        <v>16077</v>
      </c>
      <c r="K112" s="12">
        <v>1</v>
      </c>
    </row>
    <row r="113" spans="2:11" ht="37.5" customHeight="1" x14ac:dyDescent="0.35">
      <c r="B113" s="11">
        <v>12</v>
      </c>
      <c r="C113" s="5" t="s">
        <v>16074</v>
      </c>
      <c r="D113" s="11">
        <v>8</v>
      </c>
      <c r="E113" s="5" t="s">
        <v>16094</v>
      </c>
      <c r="F113" s="5" t="s">
        <v>16095</v>
      </c>
      <c r="G113" s="5" t="s">
        <v>2495</v>
      </c>
      <c r="H113" s="5" t="s">
        <v>50</v>
      </c>
      <c r="I113" s="5" t="s">
        <v>16090</v>
      </c>
      <c r="J113" s="5" t="s">
        <v>16091</v>
      </c>
      <c r="K113" s="11">
        <v>1</v>
      </c>
    </row>
    <row r="114" spans="2:11" ht="37.5" customHeight="1" x14ac:dyDescent="0.35">
      <c r="B114" s="12">
        <v>12</v>
      </c>
      <c r="C114" s="7" t="s">
        <v>16074</v>
      </c>
      <c r="D114" s="12">
        <v>9</v>
      </c>
      <c r="E114" s="7" t="s">
        <v>16096</v>
      </c>
      <c r="F114" s="7" t="s">
        <v>16097</v>
      </c>
      <c r="G114" s="7" t="s">
        <v>967</v>
      </c>
      <c r="H114" s="7" t="s">
        <v>15827</v>
      </c>
      <c r="I114" s="7" t="s">
        <v>16098</v>
      </c>
      <c r="J114" s="7" t="s">
        <v>16099</v>
      </c>
      <c r="K114" s="12">
        <v>1</v>
      </c>
    </row>
    <row r="115" spans="2:11" ht="21.75" customHeight="1" x14ac:dyDescent="0.35">
      <c r="B115" s="11">
        <v>12</v>
      </c>
      <c r="C115" s="5" t="s">
        <v>16074</v>
      </c>
      <c r="D115" s="11">
        <v>10</v>
      </c>
      <c r="E115" s="5" t="s">
        <v>16100</v>
      </c>
      <c r="F115" s="5" t="s">
        <v>16101</v>
      </c>
      <c r="G115" s="5" t="s">
        <v>16102</v>
      </c>
      <c r="H115" s="5" t="s">
        <v>15827</v>
      </c>
      <c r="I115" s="5" t="s">
        <v>15905</v>
      </c>
      <c r="J115" s="5" t="s">
        <v>15988</v>
      </c>
      <c r="K115" s="11">
        <v>1</v>
      </c>
    </row>
    <row r="116" spans="2:11" ht="37.5" customHeight="1" x14ac:dyDescent="0.35">
      <c r="B116" s="12">
        <v>12</v>
      </c>
      <c r="C116" s="7" t="s">
        <v>16074</v>
      </c>
      <c r="D116" s="12">
        <v>11</v>
      </c>
      <c r="E116" s="7" t="s">
        <v>16103</v>
      </c>
      <c r="F116" s="7" t="s">
        <v>16104</v>
      </c>
      <c r="G116" s="7" t="s">
        <v>3946</v>
      </c>
      <c r="H116" s="7" t="s">
        <v>15827</v>
      </c>
      <c r="I116" s="7" t="s">
        <v>12138</v>
      </c>
      <c r="J116" s="7" t="s">
        <v>16077</v>
      </c>
      <c r="K116" s="12">
        <v>1</v>
      </c>
    </row>
    <row r="117" spans="2:11" ht="37.5" customHeight="1" x14ac:dyDescent="0.35">
      <c r="B117" s="11">
        <v>12</v>
      </c>
      <c r="C117" s="5" t="s">
        <v>16074</v>
      </c>
      <c r="D117" s="11">
        <v>12</v>
      </c>
      <c r="E117" s="5" t="s">
        <v>16105</v>
      </c>
      <c r="F117" s="5" t="s">
        <v>16106</v>
      </c>
      <c r="G117" s="5" t="s">
        <v>244</v>
      </c>
      <c r="H117" s="5" t="s">
        <v>15827</v>
      </c>
      <c r="I117" s="5" t="s">
        <v>16107</v>
      </c>
      <c r="J117" s="5" t="s">
        <v>16108</v>
      </c>
      <c r="K117" s="11">
        <v>1</v>
      </c>
    </row>
    <row r="118" spans="2:11" ht="21.75" customHeight="1" x14ac:dyDescent="0.35">
      <c r="B118" s="12">
        <v>12</v>
      </c>
      <c r="C118" s="7" t="s">
        <v>16074</v>
      </c>
      <c r="D118" s="12">
        <v>13</v>
      </c>
      <c r="E118" s="7" t="s">
        <v>16109</v>
      </c>
      <c r="F118" s="7" t="s">
        <v>16110</v>
      </c>
      <c r="G118" s="7" t="s">
        <v>15835</v>
      </c>
      <c r="H118" s="7" t="s">
        <v>15827</v>
      </c>
      <c r="I118" s="7" t="s">
        <v>10406</v>
      </c>
      <c r="J118" s="7" t="s">
        <v>16080</v>
      </c>
      <c r="K118" s="12">
        <v>1</v>
      </c>
    </row>
    <row r="119" spans="2:11" ht="37.5" customHeight="1" x14ac:dyDescent="0.35">
      <c r="B119" s="11">
        <v>12</v>
      </c>
      <c r="C119" s="5" t="s">
        <v>16074</v>
      </c>
      <c r="D119" s="11">
        <v>14</v>
      </c>
      <c r="E119" s="5" t="s">
        <v>16111</v>
      </c>
      <c r="F119" s="5" t="s">
        <v>16112</v>
      </c>
      <c r="G119" s="5" t="s">
        <v>16113</v>
      </c>
      <c r="H119" s="5" t="s">
        <v>15827</v>
      </c>
      <c r="I119" s="5" t="s">
        <v>10406</v>
      </c>
      <c r="J119" s="5" t="s">
        <v>16080</v>
      </c>
      <c r="K119" s="11">
        <v>1</v>
      </c>
    </row>
    <row r="120" spans="2:11" ht="37.5" customHeight="1" x14ac:dyDescent="0.35">
      <c r="B120" s="12">
        <v>12</v>
      </c>
      <c r="C120" s="7" t="s">
        <v>16074</v>
      </c>
      <c r="D120" s="12">
        <v>15</v>
      </c>
      <c r="E120" s="7" t="s">
        <v>16114</v>
      </c>
      <c r="F120" s="7" t="s">
        <v>16115</v>
      </c>
      <c r="G120" s="7" t="s">
        <v>372</v>
      </c>
      <c r="H120" s="7" t="s">
        <v>15827</v>
      </c>
      <c r="I120" s="7" t="s">
        <v>10406</v>
      </c>
      <c r="J120" s="7" t="s">
        <v>16080</v>
      </c>
      <c r="K120" s="12">
        <v>1</v>
      </c>
    </row>
    <row r="121" spans="2:11" ht="21.75" customHeight="1" x14ac:dyDescent="0.35">
      <c r="B121" s="11">
        <v>12</v>
      </c>
      <c r="C121" s="5" t="s">
        <v>16074</v>
      </c>
      <c r="D121" s="11">
        <v>16</v>
      </c>
      <c r="E121" s="5" t="s">
        <v>16116</v>
      </c>
      <c r="F121" s="5" t="s">
        <v>16117</v>
      </c>
      <c r="G121" s="5" t="s">
        <v>8413</v>
      </c>
      <c r="H121" s="5" t="s">
        <v>50</v>
      </c>
      <c r="I121" s="5" t="s">
        <v>10406</v>
      </c>
      <c r="J121" s="5" t="s">
        <v>16118</v>
      </c>
      <c r="K121" s="11">
        <v>1</v>
      </c>
    </row>
    <row r="122" spans="2:11" ht="37.5" customHeight="1" x14ac:dyDescent="0.35">
      <c r="B122" s="12">
        <v>12</v>
      </c>
      <c r="C122" s="7" t="s">
        <v>16074</v>
      </c>
      <c r="D122" s="12">
        <v>17</v>
      </c>
      <c r="E122" s="7" t="s">
        <v>16119</v>
      </c>
      <c r="F122" s="7" t="s">
        <v>16120</v>
      </c>
      <c r="G122" s="7" t="s">
        <v>16121</v>
      </c>
      <c r="H122" s="7" t="s">
        <v>15696</v>
      </c>
      <c r="I122" s="7" t="s">
        <v>16122</v>
      </c>
      <c r="J122" s="7" t="s">
        <v>16123</v>
      </c>
      <c r="K122" s="12">
        <v>1</v>
      </c>
    </row>
    <row r="123" spans="2:11" ht="37.5" customHeight="1" x14ac:dyDescent="0.35">
      <c r="B123" s="11">
        <v>12</v>
      </c>
      <c r="C123" s="5" t="s">
        <v>16074</v>
      </c>
      <c r="D123" s="11">
        <v>18</v>
      </c>
      <c r="E123" s="5" t="s">
        <v>16124</v>
      </c>
      <c r="F123" s="5" t="s">
        <v>16125</v>
      </c>
      <c r="G123" s="5" t="s">
        <v>15807</v>
      </c>
      <c r="H123" s="5" t="s">
        <v>15827</v>
      </c>
      <c r="I123" s="5" t="s">
        <v>12138</v>
      </c>
      <c r="J123" s="5" t="s">
        <v>16077</v>
      </c>
      <c r="K123" s="11">
        <v>1</v>
      </c>
    </row>
    <row r="124" spans="2:11" ht="37.5" customHeight="1" x14ac:dyDescent="0.35">
      <c r="B124" s="12">
        <v>12</v>
      </c>
      <c r="C124" s="7" t="s">
        <v>16074</v>
      </c>
      <c r="D124" s="12">
        <v>19</v>
      </c>
      <c r="E124" s="7" t="s">
        <v>16126</v>
      </c>
      <c r="F124" s="7" t="s">
        <v>16127</v>
      </c>
      <c r="G124" s="7" t="s">
        <v>16128</v>
      </c>
      <c r="H124" s="7" t="s">
        <v>15827</v>
      </c>
      <c r="I124" s="7" t="s">
        <v>12138</v>
      </c>
      <c r="J124" s="7" t="s">
        <v>16077</v>
      </c>
      <c r="K124" s="12">
        <v>1</v>
      </c>
    </row>
    <row r="125" spans="2:11" ht="37.5" customHeight="1" x14ac:dyDescent="0.35">
      <c r="B125" s="11">
        <v>12</v>
      </c>
      <c r="C125" s="5" t="s">
        <v>16074</v>
      </c>
      <c r="D125" s="11">
        <v>20</v>
      </c>
      <c r="E125" s="5" t="s">
        <v>16129</v>
      </c>
      <c r="F125" s="5" t="s">
        <v>16130</v>
      </c>
      <c r="G125" s="5" t="s">
        <v>1593</v>
      </c>
      <c r="H125" s="5" t="s">
        <v>15827</v>
      </c>
      <c r="I125" s="5" t="s">
        <v>12138</v>
      </c>
      <c r="J125" s="5" t="s">
        <v>16077</v>
      </c>
      <c r="K125" s="11">
        <v>1</v>
      </c>
    </row>
    <row r="126" spans="2:11" ht="37.5" customHeight="1" x14ac:dyDescent="0.35">
      <c r="B126" s="12">
        <v>13</v>
      </c>
      <c r="C126" s="7" t="s">
        <v>11248</v>
      </c>
      <c r="D126" s="12">
        <v>1</v>
      </c>
      <c r="E126" s="7" t="s">
        <v>16131</v>
      </c>
      <c r="F126" s="7" t="s">
        <v>16132</v>
      </c>
      <c r="G126" s="7" t="s">
        <v>24</v>
      </c>
      <c r="H126" s="7" t="s">
        <v>15827</v>
      </c>
      <c r="I126" s="7" t="s">
        <v>16133</v>
      </c>
      <c r="J126" s="7" t="s">
        <v>16134</v>
      </c>
      <c r="K126" s="12">
        <v>1</v>
      </c>
    </row>
    <row r="127" spans="2:11" ht="37.5" customHeight="1" x14ac:dyDescent="0.35">
      <c r="B127" s="11">
        <v>14</v>
      </c>
      <c r="C127" s="5" t="s">
        <v>5415</v>
      </c>
      <c r="D127" s="11">
        <v>1</v>
      </c>
      <c r="E127" s="5" t="s">
        <v>16135</v>
      </c>
      <c r="F127" s="5" t="s">
        <v>16136</v>
      </c>
      <c r="G127" s="5" t="s">
        <v>414</v>
      </c>
      <c r="H127" s="5" t="s">
        <v>16055</v>
      </c>
      <c r="I127" s="5" t="s">
        <v>16137</v>
      </c>
      <c r="J127" s="5" t="s">
        <v>16138</v>
      </c>
      <c r="K127" s="11">
        <v>1</v>
      </c>
    </row>
    <row r="128" spans="2:11" ht="37.5" customHeight="1" x14ac:dyDescent="0.35">
      <c r="B128" s="12">
        <v>14</v>
      </c>
      <c r="C128" s="7" t="s">
        <v>5415</v>
      </c>
      <c r="D128" s="12">
        <v>2</v>
      </c>
      <c r="E128" s="7" t="s">
        <v>16139</v>
      </c>
      <c r="F128" s="7" t="s">
        <v>16140</v>
      </c>
      <c r="G128" s="7" t="s">
        <v>414</v>
      </c>
      <c r="H128" s="7" t="s">
        <v>16055</v>
      </c>
      <c r="I128" s="7" t="s">
        <v>16141</v>
      </c>
      <c r="J128" s="7" t="s">
        <v>16142</v>
      </c>
      <c r="K128" s="12">
        <v>1</v>
      </c>
    </row>
    <row r="129" spans="2:11" ht="37.5" customHeight="1" x14ac:dyDescent="0.35">
      <c r="B129" s="11">
        <v>14</v>
      </c>
      <c r="C129" s="5" t="s">
        <v>5415</v>
      </c>
      <c r="D129" s="11">
        <v>3</v>
      </c>
      <c r="E129" s="5" t="s">
        <v>16143</v>
      </c>
      <c r="F129" s="5" t="s">
        <v>16144</v>
      </c>
      <c r="G129" s="5" t="s">
        <v>24</v>
      </c>
      <c r="H129" s="5" t="s">
        <v>15743</v>
      </c>
      <c r="I129" s="5" t="s">
        <v>16145</v>
      </c>
      <c r="J129" s="5" t="s">
        <v>16146</v>
      </c>
      <c r="K129" s="11">
        <v>1</v>
      </c>
    </row>
    <row r="130" spans="2:11" ht="37.5" customHeight="1" x14ac:dyDescent="0.35">
      <c r="B130" s="12">
        <v>14</v>
      </c>
      <c r="C130" s="7" t="s">
        <v>5415</v>
      </c>
      <c r="D130" s="12">
        <v>4</v>
      </c>
      <c r="E130" s="7" t="s">
        <v>16147</v>
      </c>
      <c r="F130" s="7" t="s">
        <v>16148</v>
      </c>
      <c r="G130" s="7" t="s">
        <v>31</v>
      </c>
      <c r="H130" s="7" t="s">
        <v>50</v>
      </c>
      <c r="I130" s="7" t="s">
        <v>16149</v>
      </c>
      <c r="J130" s="7" t="s">
        <v>16150</v>
      </c>
      <c r="K130" s="12">
        <v>1</v>
      </c>
    </row>
    <row r="131" spans="2:11" ht="37.5" customHeight="1" x14ac:dyDescent="0.35">
      <c r="B131" s="11">
        <v>14</v>
      </c>
      <c r="C131" s="5" t="s">
        <v>5415</v>
      </c>
      <c r="D131" s="11">
        <v>5</v>
      </c>
      <c r="E131" s="5" t="s">
        <v>16151</v>
      </c>
      <c r="F131" s="5" t="s">
        <v>16152</v>
      </c>
      <c r="G131" s="5" t="s">
        <v>497</v>
      </c>
      <c r="H131" s="5" t="s">
        <v>50</v>
      </c>
      <c r="I131" s="5" t="s">
        <v>16153</v>
      </c>
      <c r="J131" s="5" t="s">
        <v>16154</v>
      </c>
      <c r="K131" s="11">
        <v>1</v>
      </c>
    </row>
    <row r="132" spans="2:11" ht="37.5" customHeight="1" x14ac:dyDescent="0.35">
      <c r="B132" s="12">
        <v>14</v>
      </c>
      <c r="C132" s="7" t="s">
        <v>5415</v>
      </c>
      <c r="D132" s="12">
        <v>6</v>
      </c>
      <c r="E132" s="7" t="s">
        <v>16155</v>
      </c>
      <c r="F132" s="7" t="s">
        <v>16156</v>
      </c>
      <c r="G132" s="7" t="s">
        <v>16157</v>
      </c>
      <c r="H132" s="7" t="s">
        <v>15827</v>
      </c>
      <c r="I132" s="7" t="s">
        <v>16158</v>
      </c>
      <c r="J132" s="7" t="s">
        <v>16159</v>
      </c>
      <c r="K132" s="12">
        <v>1</v>
      </c>
    </row>
    <row r="133" spans="2:11" ht="37.5" customHeight="1" x14ac:dyDescent="0.35">
      <c r="B133" s="11">
        <v>14</v>
      </c>
      <c r="C133" s="5" t="s">
        <v>5415</v>
      </c>
      <c r="D133" s="11">
        <v>7</v>
      </c>
      <c r="E133" s="5" t="s">
        <v>16160</v>
      </c>
      <c r="F133" s="5" t="s">
        <v>16161</v>
      </c>
      <c r="G133" s="5" t="s">
        <v>16162</v>
      </c>
      <c r="H133" s="5" t="s">
        <v>15827</v>
      </c>
      <c r="I133" s="5" t="s">
        <v>16158</v>
      </c>
      <c r="J133" s="5" t="s">
        <v>16159</v>
      </c>
      <c r="K133" s="11">
        <v>1</v>
      </c>
    </row>
    <row r="134" spans="2:11" ht="37.5" customHeight="1" x14ac:dyDescent="0.35">
      <c r="B134" s="12">
        <v>15</v>
      </c>
      <c r="C134" s="7" t="s">
        <v>16163</v>
      </c>
      <c r="D134" s="12">
        <v>1</v>
      </c>
      <c r="E134" s="7" t="s">
        <v>16164</v>
      </c>
      <c r="F134" s="7" t="s">
        <v>16165</v>
      </c>
      <c r="G134" s="7" t="s">
        <v>24</v>
      </c>
      <c r="H134" s="7" t="s">
        <v>15690</v>
      </c>
      <c r="I134" s="7" t="s">
        <v>16166</v>
      </c>
      <c r="J134" s="7" t="s">
        <v>16167</v>
      </c>
      <c r="K134" s="12">
        <v>1</v>
      </c>
    </row>
    <row r="135" spans="2:11" ht="37.5" customHeight="1" x14ac:dyDescent="0.35">
      <c r="B135" s="11">
        <v>16</v>
      </c>
      <c r="C135" s="5" t="s">
        <v>7707</v>
      </c>
      <c r="D135" s="11">
        <v>1</v>
      </c>
      <c r="E135" s="5" t="s">
        <v>16168</v>
      </c>
      <c r="F135" s="5" t="s">
        <v>16169</v>
      </c>
      <c r="G135" s="5" t="s">
        <v>16170</v>
      </c>
      <c r="H135" s="5" t="s">
        <v>15696</v>
      </c>
      <c r="I135" s="5" t="s">
        <v>16171</v>
      </c>
      <c r="J135" s="5" t="s">
        <v>16172</v>
      </c>
      <c r="K135" s="11">
        <v>1</v>
      </c>
    </row>
    <row r="136" spans="2:11" ht="37.5" customHeight="1" x14ac:dyDescent="0.35">
      <c r="B136" s="12">
        <v>16</v>
      </c>
      <c r="C136" s="7" t="s">
        <v>7707</v>
      </c>
      <c r="D136" s="12">
        <v>2</v>
      </c>
      <c r="E136" s="7" t="s">
        <v>16173</v>
      </c>
      <c r="F136" s="7" t="s">
        <v>16174</v>
      </c>
      <c r="G136" s="7" t="s">
        <v>16175</v>
      </c>
      <c r="H136" s="7" t="s">
        <v>15696</v>
      </c>
      <c r="I136" s="7" t="s">
        <v>16176</v>
      </c>
      <c r="J136" s="7" t="s">
        <v>16177</v>
      </c>
      <c r="K136" s="12">
        <v>1</v>
      </c>
    </row>
    <row r="137" spans="2:11" ht="37.5" customHeight="1" x14ac:dyDescent="0.35">
      <c r="B137" s="11">
        <v>16</v>
      </c>
      <c r="C137" s="5" t="s">
        <v>7707</v>
      </c>
      <c r="D137" s="11">
        <v>3</v>
      </c>
      <c r="E137" s="5" t="s">
        <v>16178</v>
      </c>
      <c r="F137" s="5" t="s">
        <v>16179</v>
      </c>
      <c r="G137" s="5" t="s">
        <v>24</v>
      </c>
      <c r="H137" s="5" t="s">
        <v>16055</v>
      </c>
      <c r="I137" s="5" t="s">
        <v>16180</v>
      </c>
      <c r="J137" s="5" t="s">
        <v>16181</v>
      </c>
      <c r="K137" s="11">
        <v>1</v>
      </c>
    </row>
    <row r="138" spans="2:11" ht="37.5" customHeight="1" x14ac:dyDescent="0.35">
      <c r="B138" s="12">
        <v>16</v>
      </c>
      <c r="C138" s="7" t="s">
        <v>7707</v>
      </c>
      <c r="D138" s="12">
        <v>4</v>
      </c>
      <c r="E138" s="7" t="s">
        <v>16182</v>
      </c>
      <c r="F138" s="7" t="s">
        <v>16183</v>
      </c>
      <c r="G138" s="7" t="s">
        <v>358</v>
      </c>
      <c r="H138" s="7" t="s">
        <v>15696</v>
      </c>
      <c r="I138" s="7" t="s">
        <v>16158</v>
      </c>
      <c r="J138" s="7" t="s">
        <v>16184</v>
      </c>
      <c r="K138" s="12">
        <v>1</v>
      </c>
    </row>
    <row r="139" spans="2:11" ht="37.5" customHeight="1" x14ac:dyDescent="0.35">
      <c r="B139" s="11">
        <v>16</v>
      </c>
      <c r="C139" s="5" t="s">
        <v>7707</v>
      </c>
      <c r="D139" s="11">
        <v>5</v>
      </c>
      <c r="E139" s="5" t="s">
        <v>16185</v>
      </c>
      <c r="F139" s="5" t="s">
        <v>16186</v>
      </c>
      <c r="G139" s="5" t="s">
        <v>761</v>
      </c>
      <c r="H139" s="5" t="s">
        <v>15696</v>
      </c>
      <c r="I139" s="5" t="s">
        <v>16158</v>
      </c>
      <c r="J139" s="5" t="s">
        <v>16184</v>
      </c>
      <c r="K139" s="11">
        <v>1</v>
      </c>
    </row>
    <row r="140" spans="2:11" ht="37.5" customHeight="1" x14ac:dyDescent="0.35">
      <c r="B140" s="12">
        <v>16</v>
      </c>
      <c r="C140" s="7" t="s">
        <v>7707</v>
      </c>
      <c r="D140" s="12">
        <v>6</v>
      </c>
      <c r="E140" s="7" t="s">
        <v>16187</v>
      </c>
      <c r="F140" s="7" t="s">
        <v>16188</v>
      </c>
      <c r="G140" s="7" t="s">
        <v>16189</v>
      </c>
      <c r="H140" s="7" t="s">
        <v>15690</v>
      </c>
      <c r="I140" s="7" t="s">
        <v>16190</v>
      </c>
      <c r="J140" s="7" t="s">
        <v>16191</v>
      </c>
      <c r="K140" s="12">
        <v>1</v>
      </c>
    </row>
    <row r="141" spans="2:11" ht="37.5" customHeight="1" x14ac:dyDescent="0.35">
      <c r="B141" s="11">
        <v>16</v>
      </c>
      <c r="C141" s="5" t="s">
        <v>7707</v>
      </c>
      <c r="D141" s="11">
        <v>7</v>
      </c>
      <c r="E141" s="5" t="s">
        <v>16192</v>
      </c>
      <c r="F141" s="5" t="s">
        <v>16193</v>
      </c>
      <c r="G141" s="5" t="s">
        <v>15826</v>
      </c>
      <c r="H141" s="5" t="s">
        <v>15827</v>
      </c>
      <c r="I141" s="5" t="s">
        <v>16194</v>
      </c>
      <c r="J141" s="5" t="s">
        <v>16195</v>
      </c>
      <c r="K141" s="11">
        <v>1</v>
      </c>
    </row>
    <row r="142" spans="2:11" ht="37.5" customHeight="1" x14ac:dyDescent="0.35">
      <c r="B142" s="12">
        <v>17</v>
      </c>
      <c r="C142" s="7" t="s">
        <v>11016</v>
      </c>
      <c r="D142" s="12">
        <v>1</v>
      </c>
      <c r="E142" s="7" t="s">
        <v>16196</v>
      </c>
      <c r="F142" s="7" t="s">
        <v>16197</v>
      </c>
      <c r="G142" s="7" t="s">
        <v>15807</v>
      </c>
      <c r="H142" s="7" t="s">
        <v>16198</v>
      </c>
      <c r="I142" s="7" t="s">
        <v>16199</v>
      </c>
      <c r="J142" s="7" t="s">
        <v>16200</v>
      </c>
      <c r="K142" s="12">
        <v>1</v>
      </c>
    </row>
    <row r="143" spans="2:11" ht="37.5" customHeight="1" x14ac:dyDescent="0.35">
      <c r="B143" s="11">
        <v>17</v>
      </c>
      <c r="C143" s="5" t="s">
        <v>11016</v>
      </c>
      <c r="D143" s="11">
        <v>2</v>
      </c>
      <c r="E143" s="5" t="s">
        <v>16201</v>
      </c>
      <c r="F143" s="5" t="s">
        <v>16202</v>
      </c>
      <c r="G143" s="5" t="s">
        <v>15807</v>
      </c>
      <c r="H143" s="5" t="s">
        <v>16198</v>
      </c>
      <c r="I143" s="5" t="s">
        <v>15905</v>
      </c>
      <c r="J143" s="5" t="s">
        <v>16203</v>
      </c>
      <c r="K143" s="11">
        <v>1</v>
      </c>
    </row>
    <row r="144" spans="2:11" ht="37.5" customHeight="1" x14ac:dyDescent="0.35">
      <c r="B144" s="12">
        <v>17</v>
      </c>
      <c r="C144" s="7" t="s">
        <v>11016</v>
      </c>
      <c r="D144" s="12">
        <v>3</v>
      </c>
      <c r="E144" s="7" t="s">
        <v>16204</v>
      </c>
      <c r="F144" s="7" t="s">
        <v>16205</v>
      </c>
      <c r="G144" s="7" t="s">
        <v>15812</v>
      </c>
      <c r="H144" s="7" t="s">
        <v>16198</v>
      </c>
      <c r="I144" s="7" t="s">
        <v>15905</v>
      </c>
      <c r="J144" s="7" t="s">
        <v>16203</v>
      </c>
      <c r="K144" s="12">
        <v>1</v>
      </c>
    </row>
    <row r="145" spans="2:11" ht="37.5" customHeight="1" x14ac:dyDescent="0.35">
      <c r="B145" s="11">
        <v>17</v>
      </c>
      <c r="C145" s="5" t="s">
        <v>11016</v>
      </c>
      <c r="D145" s="11">
        <v>4</v>
      </c>
      <c r="E145" s="5" t="s">
        <v>16206</v>
      </c>
      <c r="F145" s="5" t="s">
        <v>16207</v>
      </c>
      <c r="G145" s="5" t="s">
        <v>15812</v>
      </c>
      <c r="H145" s="5" t="s">
        <v>16198</v>
      </c>
      <c r="I145" s="5" t="s">
        <v>16199</v>
      </c>
      <c r="J145" s="5" t="s">
        <v>16200</v>
      </c>
      <c r="K145" s="11">
        <v>1</v>
      </c>
    </row>
    <row r="146" spans="2:11" ht="37.5" customHeight="1" x14ac:dyDescent="0.35">
      <c r="B146" s="12">
        <v>17</v>
      </c>
      <c r="C146" s="7" t="s">
        <v>11016</v>
      </c>
      <c r="D146" s="12">
        <v>5</v>
      </c>
      <c r="E146" s="7" t="s">
        <v>16208</v>
      </c>
      <c r="F146" s="7" t="s">
        <v>16209</v>
      </c>
      <c r="G146" s="7" t="s">
        <v>3946</v>
      </c>
      <c r="H146" s="7" t="s">
        <v>16210</v>
      </c>
      <c r="I146" s="7" t="s">
        <v>15905</v>
      </c>
      <c r="J146" s="7" t="s">
        <v>16211</v>
      </c>
      <c r="K146" s="12">
        <v>1</v>
      </c>
    </row>
    <row r="147" spans="2:11" ht="37.5" customHeight="1" x14ac:dyDescent="0.35">
      <c r="B147" s="11">
        <v>17</v>
      </c>
      <c r="C147" s="5" t="s">
        <v>11016</v>
      </c>
      <c r="D147" s="11">
        <v>6</v>
      </c>
      <c r="E147" s="5" t="s">
        <v>16212</v>
      </c>
      <c r="F147" s="5" t="s">
        <v>16213</v>
      </c>
      <c r="G147" s="5" t="s">
        <v>15826</v>
      </c>
      <c r="H147" s="5" t="s">
        <v>16210</v>
      </c>
      <c r="I147" s="5" t="s">
        <v>16214</v>
      </c>
      <c r="J147" s="5" t="s">
        <v>16215</v>
      </c>
      <c r="K147" s="11">
        <v>1</v>
      </c>
    </row>
    <row r="148" spans="2:11" ht="37.5" customHeight="1" x14ac:dyDescent="0.35">
      <c r="B148" s="12">
        <v>17</v>
      </c>
      <c r="C148" s="7" t="s">
        <v>11016</v>
      </c>
      <c r="D148" s="12">
        <v>7</v>
      </c>
      <c r="E148" s="7" t="s">
        <v>16216</v>
      </c>
      <c r="F148" s="7" t="s">
        <v>16217</v>
      </c>
      <c r="G148" s="7" t="s">
        <v>15807</v>
      </c>
      <c r="H148" s="7" t="s">
        <v>16210</v>
      </c>
      <c r="I148" s="7" t="s">
        <v>15905</v>
      </c>
      <c r="J148" s="7" t="s">
        <v>16211</v>
      </c>
      <c r="K148" s="12">
        <v>1</v>
      </c>
    </row>
    <row r="149" spans="2:11" ht="37.5" customHeight="1" x14ac:dyDescent="0.35">
      <c r="B149" s="11">
        <v>18</v>
      </c>
      <c r="C149" s="5" t="s">
        <v>10502</v>
      </c>
      <c r="D149" s="11">
        <v>1</v>
      </c>
      <c r="E149" s="5" t="s">
        <v>16218</v>
      </c>
      <c r="F149" s="5" t="s">
        <v>16219</v>
      </c>
      <c r="G149" s="5" t="s">
        <v>24</v>
      </c>
      <c r="H149" s="5" t="s">
        <v>16220</v>
      </c>
      <c r="I149" s="5" t="s">
        <v>16221</v>
      </c>
      <c r="J149" s="5" t="s">
        <v>16222</v>
      </c>
      <c r="K149" s="11">
        <v>2</v>
      </c>
    </row>
    <row r="150" spans="2:11" ht="37.5" customHeight="1" x14ac:dyDescent="0.35">
      <c r="B150" s="12">
        <v>18</v>
      </c>
      <c r="C150" s="7" t="s">
        <v>10502</v>
      </c>
      <c r="D150" s="12">
        <v>2</v>
      </c>
      <c r="E150" s="7" t="s">
        <v>16223</v>
      </c>
      <c r="F150" s="7" t="s">
        <v>16224</v>
      </c>
      <c r="G150" s="7" t="s">
        <v>358</v>
      </c>
      <c r="H150" s="7" t="s">
        <v>16225</v>
      </c>
      <c r="I150" s="7" t="s">
        <v>16226</v>
      </c>
      <c r="J150" s="7" t="s">
        <v>16227</v>
      </c>
      <c r="K150" s="12">
        <v>2</v>
      </c>
    </row>
    <row r="151" spans="2:11" ht="52.5" customHeight="1" x14ac:dyDescent="0.35">
      <c r="B151" s="11">
        <v>18</v>
      </c>
      <c r="C151" s="5" t="s">
        <v>10502</v>
      </c>
      <c r="D151" s="11">
        <v>3</v>
      </c>
      <c r="E151" s="5" t="s">
        <v>16228</v>
      </c>
      <c r="F151" s="5" t="s">
        <v>16229</v>
      </c>
      <c r="G151" s="5" t="s">
        <v>27</v>
      </c>
      <c r="H151" s="5" t="s">
        <v>16230</v>
      </c>
      <c r="I151" s="5" t="s">
        <v>16231</v>
      </c>
      <c r="J151" s="5" t="s">
        <v>16232</v>
      </c>
      <c r="K151" s="11">
        <v>2</v>
      </c>
    </row>
    <row r="152" spans="2:11" ht="21.75" customHeight="1" x14ac:dyDescent="0.35">
      <c r="B152" s="12">
        <v>18</v>
      </c>
      <c r="C152" s="7" t="s">
        <v>10502</v>
      </c>
      <c r="D152" s="12">
        <v>4</v>
      </c>
      <c r="E152" s="7" t="s">
        <v>16233</v>
      </c>
      <c r="F152" s="7" t="s">
        <v>16234</v>
      </c>
      <c r="G152" s="7" t="s">
        <v>8413</v>
      </c>
      <c r="H152" s="7" t="s">
        <v>50</v>
      </c>
      <c r="I152" s="7" t="s">
        <v>16235</v>
      </c>
      <c r="J152" s="7" t="s">
        <v>16236</v>
      </c>
      <c r="K152" s="12">
        <v>1</v>
      </c>
    </row>
    <row r="153" spans="2:11" ht="37.5" customHeight="1" x14ac:dyDescent="0.35">
      <c r="B153" s="11">
        <v>18</v>
      </c>
      <c r="C153" s="5" t="s">
        <v>10502</v>
      </c>
      <c r="D153" s="11">
        <v>5</v>
      </c>
      <c r="E153" s="5" t="s">
        <v>16237</v>
      </c>
      <c r="F153" s="5" t="s">
        <v>16238</v>
      </c>
      <c r="G153" s="5" t="s">
        <v>31</v>
      </c>
      <c r="H153" s="5" t="s">
        <v>50</v>
      </c>
      <c r="I153" s="5" t="s">
        <v>16149</v>
      </c>
      <c r="J153" s="5" t="s">
        <v>16150</v>
      </c>
      <c r="K153" s="11">
        <v>1</v>
      </c>
    </row>
    <row r="154" spans="2:11" ht="37.5" customHeight="1" x14ac:dyDescent="0.35">
      <c r="B154" s="12">
        <v>18</v>
      </c>
      <c r="C154" s="7" t="s">
        <v>10502</v>
      </c>
      <c r="D154" s="12">
        <v>6</v>
      </c>
      <c r="E154" s="7" t="s">
        <v>16239</v>
      </c>
      <c r="F154" s="7" t="s">
        <v>16240</v>
      </c>
      <c r="G154" s="7" t="s">
        <v>4213</v>
      </c>
      <c r="H154" s="7" t="s">
        <v>15757</v>
      </c>
      <c r="I154" s="7" t="s">
        <v>16241</v>
      </c>
      <c r="J154" s="7" t="s">
        <v>16242</v>
      </c>
      <c r="K154" s="12">
        <v>1</v>
      </c>
    </row>
    <row r="155" spans="2:11" ht="37.5" customHeight="1" x14ac:dyDescent="0.35">
      <c r="B155" s="11">
        <v>18</v>
      </c>
      <c r="C155" s="5" t="s">
        <v>10502</v>
      </c>
      <c r="D155" s="11">
        <v>7</v>
      </c>
      <c r="E155" s="5" t="s">
        <v>16243</v>
      </c>
      <c r="F155" s="5" t="s">
        <v>16244</v>
      </c>
      <c r="G155" s="5" t="s">
        <v>9781</v>
      </c>
      <c r="H155" s="5" t="s">
        <v>15757</v>
      </c>
      <c r="I155" s="5" t="s">
        <v>16245</v>
      </c>
      <c r="J155" s="5" t="s">
        <v>16246</v>
      </c>
      <c r="K155" s="11">
        <v>1</v>
      </c>
    </row>
    <row r="156" spans="2:11" ht="37.5" customHeight="1" x14ac:dyDescent="0.35">
      <c r="B156" s="12">
        <v>18</v>
      </c>
      <c r="C156" s="7" t="s">
        <v>10502</v>
      </c>
      <c r="D156" s="12">
        <v>8</v>
      </c>
      <c r="E156" s="7" t="s">
        <v>16247</v>
      </c>
      <c r="F156" s="7" t="s">
        <v>16248</v>
      </c>
      <c r="G156" s="7" t="s">
        <v>16249</v>
      </c>
      <c r="H156" s="7" t="s">
        <v>50</v>
      </c>
      <c r="I156" s="7" t="s">
        <v>16250</v>
      </c>
      <c r="J156" s="7" t="s">
        <v>16251</v>
      </c>
      <c r="K156" s="12">
        <v>1</v>
      </c>
    </row>
    <row r="157" spans="2:11" ht="37.5" customHeight="1" x14ac:dyDescent="0.35">
      <c r="B157" s="11">
        <v>18</v>
      </c>
      <c r="C157" s="5" t="s">
        <v>10502</v>
      </c>
      <c r="D157" s="11">
        <v>9</v>
      </c>
      <c r="E157" s="5" t="s">
        <v>16252</v>
      </c>
      <c r="F157" s="5" t="s">
        <v>16253</v>
      </c>
      <c r="G157" s="5" t="s">
        <v>160</v>
      </c>
      <c r="H157" s="5" t="s">
        <v>15757</v>
      </c>
      <c r="I157" s="5" t="s">
        <v>16250</v>
      </c>
      <c r="J157" s="5" t="s">
        <v>16254</v>
      </c>
      <c r="K157" s="11">
        <v>1</v>
      </c>
    </row>
    <row r="158" spans="2:11" ht="52.5" customHeight="1" x14ac:dyDescent="0.35">
      <c r="B158" s="12">
        <v>18</v>
      </c>
      <c r="C158" s="7" t="s">
        <v>10502</v>
      </c>
      <c r="D158" s="12">
        <v>10</v>
      </c>
      <c r="E158" s="7" t="s">
        <v>16255</v>
      </c>
      <c r="F158" s="7" t="s">
        <v>16256</v>
      </c>
      <c r="G158" s="7" t="s">
        <v>831</v>
      </c>
      <c r="H158" s="7" t="s">
        <v>16257</v>
      </c>
      <c r="I158" s="7" t="s">
        <v>16258</v>
      </c>
      <c r="J158" s="7" t="s">
        <v>16259</v>
      </c>
      <c r="K158" s="12">
        <v>2</v>
      </c>
    </row>
    <row r="159" spans="2:11" ht="37.5" customHeight="1" x14ac:dyDescent="0.35">
      <c r="B159" s="11">
        <v>18</v>
      </c>
      <c r="C159" s="5" t="s">
        <v>10502</v>
      </c>
      <c r="D159" s="11">
        <v>11</v>
      </c>
      <c r="E159" s="5" t="s">
        <v>16260</v>
      </c>
      <c r="F159" s="5" t="s">
        <v>16261</v>
      </c>
      <c r="G159" s="5" t="s">
        <v>402</v>
      </c>
      <c r="H159" s="5" t="s">
        <v>50</v>
      </c>
      <c r="I159" s="5" t="s">
        <v>16262</v>
      </c>
      <c r="J159" s="5" t="s">
        <v>16263</v>
      </c>
      <c r="K159" s="11">
        <v>1</v>
      </c>
    </row>
    <row r="160" spans="2:11" ht="37.5" customHeight="1" x14ac:dyDescent="0.35">
      <c r="B160" s="12">
        <v>18</v>
      </c>
      <c r="C160" s="7" t="s">
        <v>10502</v>
      </c>
      <c r="D160" s="12">
        <v>12</v>
      </c>
      <c r="E160" s="7" t="s">
        <v>16264</v>
      </c>
      <c r="F160" s="7" t="s">
        <v>16265</v>
      </c>
      <c r="G160" s="7" t="s">
        <v>557</v>
      </c>
      <c r="H160" s="7" t="s">
        <v>16266</v>
      </c>
      <c r="I160" s="7" t="s">
        <v>16267</v>
      </c>
      <c r="J160" s="7" t="s">
        <v>16268</v>
      </c>
      <c r="K160" s="12">
        <v>1</v>
      </c>
    </row>
    <row r="161" spans="2:11" ht="37.5" customHeight="1" x14ac:dyDescent="0.35">
      <c r="B161" s="11">
        <v>18</v>
      </c>
      <c r="C161" s="5" t="s">
        <v>10502</v>
      </c>
      <c r="D161" s="11">
        <v>13</v>
      </c>
      <c r="E161" s="5" t="s">
        <v>16269</v>
      </c>
      <c r="F161" s="5" t="s">
        <v>16270</v>
      </c>
      <c r="G161" s="5" t="s">
        <v>15835</v>
      </c>
      <c r="H161" s="5" t="s">
        <v>15827</v>
      </c>
      <c r="I161" s="5" t="s">
        <v>16271</v>
      </c>
      <c r="J161" s="5" t="s">
        <v>16272</v>
      </c>
      <c r="K161" s="11">
        <v>1</v>
      </c>
    </row>
    <row r="162" spans="2:11" ht="37.5" customHeight="1" x14ac:dyDescent="0.35">
      <c r="B162" s="12">
        <v>18</v>
      </c>
      <c r="C162" s="7" t="s">
        <v>10502</v>
      </c>
      <c r="D162" s="12">
        <v>14</v>
      </c>
      <c r="E162" s="7" t="s">
        <v>16273</v>
      </c>
      <c r="F162" s="7" t="s">
        <v>16274</v>
      </c>
      <c r="G162" s="7" t="s">
        <v>15993</v>
      </c>
      <c r="H162" s="7" t="s">
        <v>16275</v>
      </c>
      <c r="I162" s="7" t="s">
        <v>16276</v>
      </c>
      <c r="J162" s="7" t="s">
        <v>16277</v>
      </c>
      <c r="K162" s="12">
        <v>1</v>
      </c>
    </row>
    <row r="163" spans="2:11" ht="37.5" customHeight="1" x14ac:dyDescent="0.35">
      <c r="B163" s="11">
        <v>18</v>
      </c>
      <c r="C163" s="5" t="s">
        <v>10502</v>
      </c>
      <c r="D163" s="11">
        <v>15</v>
      </c>
      <c r="E163" s="5" t="s">
        <v>16278</v>
      </c>
      <c r="F163" s="5" t="s">
        <v>16279</v>
      </c>
      <c r="G163" s="5" t="s">
        <v>742</v>
      </c>
      <c r="H163" s="5" t="s">
        <v>16280</v>
      </c>
      <c r="I163" s="5" t="s">
        <v>16276</v>
      </c>
      <c r="J163" s="5" t="s">
        <v>16281</v>
      </c>
      <c r="K163" s="11">
        <v>1</v>
      </c>
    </row>
    <row r="164" spans="2:11" ht="37.5" customHeight="1" x14ac:dyDescent="0.35">
      <c r="B164" s="12">
        <v>18</v>
      </c>
      <c r="C164" s="7" t="s">
        <v>10502</v>
      </c>
      <c r="D164" s="12">
        <v>16</v>
      </c>
      <c r="E164" s="7" t="s">
        <v>16282</v>
      </c>
      <c r="F164" s="7" t="s">
        <v>16283</v>
      </c>
      <c r="G164" s="7" t="s">
        <v>16284</v>
      </c>
      <c r="H164" s="7" t="s">
        <v>16280</v>
      </c>
      <c r="I164" s="7" t="s">
        <v>16276</v>
      </c>
      <c r="J164" s="7" t="s">
        <v>16281</v>
      </c>
      <c r="K164" s="12">
        <v>1</v>
      </c>
    </row>
    <row r="165" spans="2:11" ht="37.5" customHeight="1" x14ac:dyDescent="0.35">
      <c r="B165" s="11">
        <v>18</v>
      </c>
      <c r="C165" s="5" t="s">
        <v>10502</v>
      </c>
      <c r="D165" s="11">
        <v>17</v>
      </c>
      <c r="E165" s="5" t="s">
        <v>16285</v>
      </c>
      <c r="F165" s="5" t="s">
        <v>16286</v>
      </c>
      <c r="G165" s="5" t="s">
        <v>16287</v>
      </c>
      <c r="H165" s="5" t="s">
        <v>15696</v>
      </c>
      <c r="I165" s="5" t="s">
        <v>16276</v>
      </c>
      <c r="J165" s="5" t="s">
        <v>16288</v>
      </c>
      <c r="K165" s="11">
        <v>1</v>
      </c>
    </row>
    <row r="166" spans="2:11" ht="37.5" customHeight="1" x14ac:dyDescent="0.35">
      <c r="B166" s="12">
        <v>18</v>
      </c>
      <c r="C166" s="7" t="s">
        <v>10502</v>
      </c>
      <c r="D166" s="12">
        <v>18</v>
      </c>
      <c r="E166" s="7" t="s">
        <v>16289</v>
      </c>
      <c r="F166" s="7" t="s">
        <v>16290</v>
      </c>
      <c r="G166" s="7" t="s">
        <v>15445</v>
      </c>
      <c r="H166" s="7" t="s">
        <v>15696</v>
      </c>
      <c r="I166" s="7" t="s">
        <v>16276</v>
      </c>
      <c r="J166" s="7" t="s">
        <v>16288</v>
      </c>
      <c r="K166" s="12">
        <v>1</v>
      </c>
    </row>
    <row r="167" spans="2:11" ht="37.5" customHeight="1" x14ac:dyDescent="0.35">
      <c r="B167" s="11">
        <v>18</v>
      </c>
      <c r="C167" s="5" t="s">
        <v>10502</v>
      </c>
      <c r="D167" s="11">
        <v>19</v>
      </c>
      <c r="E167" s="5" t="s">
        <v>16291</v>
      </c>
      <c r="F167" s="5" t="s">
        <v>16292</v>
      </c>
      <c r="G167" s="5" t="s">
        <v>950</v>
      </c>
      <c r="H167" s="5" t="s">
        <v>15696</v>
      </c>
      <c r="I167" s="5" t="s">
        <v>16276</v>
      </c>
      <c r="J167" s="5" t="s">
        <v>16288</v>
      </c>
      <c r="K167" s="11">
        <v>1</v>
      </c>
    </row>
    <row r="168" spans="2:11" ht="37.5" customHeight="1" x14ac:dyDescent="0.35">
      <c r="B168" s="12">
        <v>18</v>
      </c>
      <c r="C168" s="7" t="s">
        <v>10502</v>
      </c>
      <c r="D168" s="12">
        <v>20</v>
      </c>
      <c r="E168" s="7" t="s">
        <v>16293</v>
      </c>
      <c r="F168" s="7" t="s">
        <v>16294</v>
      </c>
      <c r="G168" s="7" t="s">
        <v>16030</v>
      </c>
      <c r="H168" s="7" t="s">
        <v>15696</v>
      </c>
      <c r="I168" s="7" t="s">
        <v>16276</v>
      </c>
      <c r="J168" s="7" t="s">
        <v>16288</v>
      </c>
      <c r="K168" s="12">
        <v>1</v>
      </c>
    </row>
    <row r="169" spans="2:11" ht="37.5" customHeight="1" x14ac:dyDescent="0.35">
      <c r="B169" s="11">
        <v>19</v>
      </c>
      <c r="C169" s="5" t="s">
        <v>16295</v>
      </c>
      <c r="D169" s="11">
        <v>1</v>
      </c>
      <c r="E169" s="5" t="s">
        <v>16296</v>
      </c>
      <c r="F169" s="5" t="s">
        <v>16297</v>
      </c>
      <c r="G169" s="5" t="s">
        <v>15683</v>
      </c>
      <c r="H169" s="5" t="s">
        <v>15696</v>
      </c>
      <c r="I169" s="5" t="s">
        <v>16298</v>
      </c>
      <c r="J169" s="5" t="s">
        <v>16299</v>
      </c>
      <c r="K169" s="11">
        <v>1</v>
      </c>
    </row>
    <row r="170" spans="2:11" ht="37.5" customHeight="1" x14ac:dyDescent="0.35">
      <c r="B170" s="12">
        <v>19</v>
      </c>
      <c r="C170" s="7" t="s">
        <v>16295</v>
      </c>
      <c r="D170" s="12">
        <v>2</v>
      </c>
      <c r="E170" s="7" t="s">
        <v>16300</v>
      </c>
      <c r="F170" s="7" t="s">
        <v>16301</v>
      </c>
      <c r="G170" s="7" t="s">
        <v>15683</v>
      </c>
      <c r="H170" s="7" t="s">
        <v>15696</v>
      </c>
      <c r="I170" s="7" t="s">
        <v>16298</v>
      </c>
      <c r="J170" s="7" t="s">
        <v>16299</v>
      </c>
      <c r="K170" s="12">
        <v>1</v>
      </c>
    </row>
    <row r="171" spans="2:11" ht="37.5" customHeight="1" x14ac:dyDescent="0.35">
      <c r="B171" s="11">
        <v>19</v>
      </c>
      <c r="C171" s="5" t="s">
        <v>16295</v>
      </c>
      <c r="D171" s="11">
        <v>3</v>
      </c>
      <c r="E171" s="5" t="s">
        <v>16302</v>
      </c>
      <c r="F171" s="5" t="s">
        <v>16303</v>
      </c>
      <c r="G171" s="5" t="s">
        <v>16304</v>
      </c>
      <c r="H171" s="5" t="s">
        <v>15696</v>
      </c>
      <c r="I171" s="5" t="s">
        <v>16298</v>
      </c>
      <c r="J171" s="5" t="s">
        <v>16299</v>
      </c>
      <c r="K171" s="11">
        <v>1</v>
      </c>
    </row>
    <row r="172" spans="2:11" ht="37.5" customHeight="1" x14ac:dyDescent="0.35">
      <c r="B172" s="12">
        <v>19</v>
      </c>
      <c r="C172" s="7" t="s">
        <v>16295</v>
      </c>
      <c r="D172" s="12">
        <v>4</v>
      </c>
      <c r="E172" s="7" t="s">
        <v>16305</v>
      </c>
      <c r="F172" s="7" t="s">
        <v>16306</v>
      </c>
      <c r="G172" s="7" t="s">
        <v>16307</v>
      </c>
      <c r="H172" s="7" t="s">
        <v>15696</v>
      </c>
      <c r="I172" s="7" t="s">
        <v>16298</v>
      </c>
      <c r="J172" s="7" t="s">
        <v>16299</v>
      </c>
      <c r="K172" s="12">
        <v>1</v>
      </c>
    </row>
    <row r="173" spans="2:11" ht="37.5" customHeight="1" x14ac:dyDescent="0.35">
      <c r="B173" s="11">
        <v>19</v>
      </c>
      <c r="C173" s="5" t="s">
        <v>16295</v>
      </c>
      <c r="D173" s="11">
        <v>5</v>
      </c>
      <c r="E173" s="5" t="s">
        <v>16308</v>
      </c>
      <c r="F173" s="5" t="s">
        <v>16309</v>
      </c>
      <c r="G173" s="5" t="s">
        <v>16310</v>
      </c>
      <c r="H173" s="5" t="s">
        <v>15696</v>
      </c>
      <c r="I173" s="5" t="s">
        <v>16298</v>
      </c>
      <c r="J173" s="5" t="s">
        <v>16299</v>
      </c>
      <c r="K173" s="11">
        <v>1</v>
      </c>
    </row>
    <row r="174" spans="2:11" ht="37.5" customHeight="1" x14ac:dyDescent="0.35">
      <c r="B174" s="12">
        <v>19</v>
      </c>
      <c r="C174" s="7" t="s">
        <v>16295</v>
      </c>
      <c r="D174" s="12">
        <v>6</v>
      </c>
      <c r="E174" s="7" t="s">
        <v>16311</v>
      </c>
      <c r="F174" s="7" t="s">
        <v>16312</v>
      </c>
      <c r="G174" s="7" t="s">
        <v>16313</v>
      </c>
      <c r="H174" s="7" t="s">
        <v>15696</v>
      </c>
      <c r="I174" s="7" t="s">
        <v>16298</v>
      </c>
      <c r="J174" s="7" t="s">
        <v>16299</v>
      </c>
      <c r="K174" s="12">
        <v>1</v>
      </c>
    </row>
    <row r="175" spans="2:11" ht="37.5" customHeight="1" x14ac:dyDescent="0.35">
      <c r="B175" s="11">
        <v>19</v>
      </c>
      <c r="C175" s="5" t="s">
        <v>16295</v>
      </c>
      <c r="D175" s="11">
        <v>7</v>
      </c>
      <c r="E175" s="5" t="s">
        <v>16314</v>
      </c>
      <c r="F175" s="5" t="s">
        <v>16315</v>
      </c>
      <c r="G175" s="5" t="s">
        <v>16316</v>
      </c>
      <c r="H175" s="5" t="s">
        <v>15696</v>
      </c>
      <c r="I175" s="5" t="s">
        <v>16298</v>
      </c>
      <c r="J175" s="5" t="s">
        <v>16299</v>
      </c>
      <c r="K175" s="11">
        <v>1</v>
      </c>
    </row>
    <row r="176" spans="2:11" ht="37.5" customHeight="1" x14ac:dyDescent="0.35">
      <c r="B176" s="12">
        <v>19</v>
      </c>
      <c r="C176" s="7" t="s">
        <v>16295</v>
      </c>
      <c r="D176" s="12">
        <v>8</v>
      </c>
      <c r="E176" s="7" t="s">
        <v>16317</v>
      </c>
      <c r="F176" s="7" t="s">
        <v>16318</v>
      </c>
      <c r="G176" s="7" t="s">
        <v>16319</v>
      </c>
      <c r="H176" s="7" t="s">
        <v>15696</v>
      </c>
      <c r="I176" s="7" t="s">
        <v>16298</v>
      </c>
      <c r="J176" s="7" t="s">
        <v>16299</v>
      </c>
      <c r="K176" s="12">
        <v>1</v>
      </c>
    </row>
    <row r="177" spans="2:11" ht="37.5" customHeight="1" x14ac:dyDescent="0.35">
      <c r="B177" s="11">
        <v>19</v>
      </c>
      <c r="C177" s="5" t="s">
        <v>16295</v>
      </c>
      <c r="D177" s="11">
        <v>9</v>
      </c>
      <c r="E177" s="5" t="s">
        <v>16320</v>
      </c>
      <c r="F177" s="5" t="s">
        <v>16321</v>
      </c>
      <c r="G177" s="5" t="s">
        <v>16322</v>
      </c>
      <c r="H177" s="5" t="s">
        <v>15696</v>
      </c>
      <c r="I177" s="5" t="s">
        <v>16298</v>
      </c>
      <c r="J177" s="5" t="s">
        <v>16299</v>
      </c>
      <c r="K177" s="11">
        <v>1</v>
      </c>
    </row>
    <row r="178" spans="2:11" ht="37.5" customHeight="1" x14ac:dyDescent="0.35">
      <c r="B178" s="12">
        <v>20</v>
      </c>
      <c r="C178" s="7" t="s">
        <v>16323</v>
      </c>
      <c r="D178" s="12">
        <v>1</v>
      </c>
      <c r="E178" s="7" t="s">
        <v>16324</v>
      </c>
      <c r="F178" s="7" t="s">
        <v>16325</v>
      </c>
      <c r="G178" s="7" t="s">
        <v>16326</v>
      </c>
      <c r="H178" s="7" t="s">
        <v>15696</v>
      </c>
      <c r="I178" s="7" t="s">
        <v>16298</v>
      </c>
      <c r="J178" s="7" t="s">
        <v>16299</v>
      </c>
      <c r="K178" s="12">
        <v>1</v>
      </c>
    </row>
    <row r="179" spans="2:11" ht="37.5" customHeight="1" x14ac:dyDescent="0.35">
      <c r="B179" s="11">
        <v>20</v>
      </c>
      <c r="C179" s="5" t="s">
        <v>16323</v>
      </c>
      <c r="D179" s="11">
        <v>2</v>
      </c>
      <c r="E179" s="5" t="s">
        <v>16327</v>
      </c>
      <c r="F179" s="5" t="s">
        <v>16328</v>
      </c>
      <c r="G179" s="5" t="s">
        <v>16329</v>
      </c>
      <c r="H179" s="5" t="s">
        <v>15696</v>
      </c>
      <c r="I179" s="5" t="s">
        <v>16298</v>
      </c>
      <c r="J179" s="5" t="s">
        <v>16299</v>
      </c>
      <c r="K179" s="11">
        <v>1</v>
      </c>
    </row>
    <row r="180" spans="2:11" ht="37.5" customHeight="1" x14ac:dyDescent="0.35">
      <c r="B180" s="12">
        <v>20</v>
      </c>
      <c r="C180" s="7" t="s">
        <v>16323</v>
      </c>
      <c r="D180" s="12">
        <v>3</v>
      </c>
      <c r="E180" s="7" t="s">
        <v>16330</v>
      </c>
      <c r="F180" s="7" t="s">
        <v>16331</v>
      </c>
      <c r="G180" s="7" t="s">
        <v>2076</v>
      </c>
      <c r="H180" s="7" t="s">
        <v>15696</v>
      </c>
      <c r="I180" s="7" t="s">
        <v>16298</v>
      </c>
      <c r="J180" s="7" t="s">
        <v>16299</v>
      </c>
      <c r="K180" s="12">
        <v>1</v>
      </c>
    </row>
    <row r="181" spans="2:11" ht="37.5" customHeight="1" x14ac:dyDescent="0.35">
      <c r="B181" s="11">
        <v>20</v>
      </c>
      <c r="C181" s="5" t="s">
        <v>16323</v>
      </c>
      <c r="D181" s="11">
        <v>4</v>
      </c>
      <c r="E181" s="5" t="s">
        <v>16332</v>
      </c>
      <c r="F181" s="5" t="s">
        <v>16333</v>
      </c>
      <c r="G181" s="5" t="s">
        <v>16334</v>
      </c>
      <c r="H181" s="5" t="s">
        <v>15696</v>
      </c>
      <c r="I181" s="5" t="s">
        <v>16335</v>
      </c>
      <c r="J181" s="5" t="s">
        <v>16336</v>
      </c>
      <c r="K181" s="11">
        <v>1</v>
      </c>
    </row>
    <row r="182" spans="2:11" ht="37.5" customHeight="1" x14ac:dyDescent="0.35">
      <c r="B182" s="12">
        <v>20</v>
      </c>
      <c r="C182" s="7" t="s">
        <v>16323</v>
      </c>
      <c r="D182" s="12">
        <v>5</v>
      </c>
      <c r="E182" s="7" t="s">
        <v>16337</v>
      </c>
      <c r="F182" s="7" t="s">
        <v>16338</v>
      </c>
      <c r="G182" s="7" t="s">
        <v>16334</v>
      </c>
      <c r="H182" s="7" t="s">
        <v>15696</v>
      </c>
      <c r="I182" s="7" t="s">
        <v>16335</v>
      </c>
      <c r="J182" s="7" t="s">
        <v>16336</v>
      </c>
      <c r="K182" s="12">
        <v>1</v>
      </c>
    </row>
    <row r="183" spans="2:11" ht="37.5" customHeight="1" x14ac:dyDescent="0.35">
      <c r="B183" s="11">
        <v>20</v>
      </c>
      <c r="C183" s="5" t="s">
        <v>16323</v>
      </c>
      <c r="D183" s="11">
        <v>6</v>
      </c>
      <c r="E183" s="5" t="s">
        <v>16339</v>
      </c>
      <c r="F183" s="5" t="s">
        <v>16340</v>
      </c>
      <c r="G183" s="5" t="s">
        <v>16326</v>
      </c>
      <c r="H183" s="5" t="s">
        <v>15696</v>
      </c>
      <c r="I183" s="5" t="s">
        <v>16335</v>
      </c>
      <c r="J183" s="5" t="s">
        <v>16336</v>
      </c>
      <c r="K183" s="11">
        <v>1</v>
      </c>
    </row>
    <row r="184" spans="2:11" ht="37.5" customHeight="1" x14ac:dyDescent="0.35">
      <c r="B184" s="12">
        <v>20</v>
      </c>
      <c r="C184" s="7" t="s">
        <v>16323</v>
      </c>
      <c r="D184" s="12">
        <v>7</v>
      </c>
      <c r="E184" s="7" t="s">
        <v>16341</v>
      </c>
      <c r="F184" s="7" t="s">
        <v>16342</v>
      </c>
      <c r="G184" s="7" t="s">
        <v>16343</v>
      </c>
      <c r="H184" s="7" t="s">
        <v>15696</v>
      </c>
      <c r="I184" s="7" t="s">
        <v>16335</v>
      </c>
      <c r="J184" s="7" t="s">
        <v>16336</v>
      </c>
      <c r="K184" s="12">
        <v>1</v>
      </c>
    </row>
    <row r="185" spans="2:11" ht="52.5" customHeight="1" x14ac:dyDescent="0.35">
      <c r="B185" s="11">
        <v>20</v>
      </c>
      <c r="C185" s="5" t="s">
        <v>16323</v>
      </c>
      <c r="D185" s="11">
        <v>8</v>
      </c>
      <c r="E185" s="5" t="s">
        <v>16344</v>
      </c>
      <c r="F185" s="5" t="s">
        <v>16345</v>
      </c>
      <c r="G185" s="5" t="s">
        <v>16346</v>
      </c>
      <c r="H185" s="5" t="s">
        <v>50</v>
      </c>
      <c r="I185" s="5" t="s">
        <v>16335</v>
      </c>
      <c r="J185" s="5" t="s">
        <v>16347</v>
      </c>
      <c r="K185" s="11">
        <v>1</v>
      </c>
    </row>
    <row r="186" spans="2:11" ht="37.5" customHeight="1" x14ac:dyDescent="0.35">
      <c r="B186" s="12">
        <v>20</v>
      </c>
      <c r="C186" s="7" t="s">
        <v>16323</v>
      </c>
      <c r="D186" s="12">
        <v>9</v>
      </c>
      <c r="E186" s="7" t="s">
        <v>16348</v>
      </c>
      <c r="F186" s="7" t="s">
        <v>16349</v>
      </c>
      <c r="G186" s="7" t="s">
        <v>16350</v>
      </c>
      <c r="H186" s="7" t="s">
        <v>50</v>
      </c>
      <c r="I186" s="7" t="s">
        <v>16335</v>
      </c>
      <c r="J186" s="7" t="s">
        <v>16347</v>
      </c>
      <c r="K186" s="12">
        <v>1</v>
      </c>
    </row>
    <row r="187" spans="2:11" ht="37.5" customHeight="1" x14ac:dyDescent="0.35">
      <c r="B187" s="11">
        <v>20</v>
      </c>
      <c r="C187" s="5" t="s">
        <v>16323</v>
      </c>
      <c r="D187" s="11">
        <v>10</v>
      </c>
      <c r="E187" s="5" t="s">
        <v>16351</v>
      </c>
      <c r="F187" s="5" t="s">
        <v>16352</v>
      </c>
      <c r="G187" s="5" t="s">
        <v>16353</v>
      </c>
      <c r="H187" s="5" t="s">
        <v>50</v>
      </c>
      <c r="I187" s="5" t="s">
        <v>16335</v>
      </c>
      <c r="J187" s="5" t="s">
        <v>16347</v>
      </c>
      <c r="K187" s="11">
        <v>1</v>
      </c>
    </row>
    <row r="188" spans="2:11" ht="37.5" customHeight="1" x14ac:dyDescent="0.35">
      <c r="B188" s="12">
        <v>20</v>
      </c>
      <c r="C188" s="7" t="s">
        <v>16323</v>
      </c>
      <c r="D188" s="12">
        <v>11</v>
      </c>
      <c r="E188" s="7" t="s">
        <v>16354</v>
      </c>
      <c r="F188" s="7" t="s">
        <v>16355</v>
      </c>
      <c r="G188" s="7" t="s">
        <v>16356</v>
      </c>
      <c r="H188" s="7" t="s">
        <v>50</v>
      </c>
      <c r="I188" s="7" t="s">
        <v>16335</v>
      </c>
      <c r="J188" s="7" t="s">
        <v>16347</v>
      </c>
      <c r="K188" s="12">
        <v>1</v>
      </c>
    </row>
    <row r="189" spans="2:11" ht="37.5" customHeight="1" x14ac:dyDescent="0.35">
      <c r="B189" s="11">
        <v>20</v>
      </c>
      <c r="C189" s="5" t="s">
        <v>16323</v>
      </c>
      <c r="D189" s="11">
        <v>12</v>
      </c>
      <c r="E189" s="5" t="s">
        <v>16357</v>
      </c>
      <c r="F189" s="5" t="s">
        <v>16358</v>
      </c>
      <c r="G189" s="5" t="s">
        <v>15515</v>
      </c>
      <c r="H189" s="5" t="s">
        <v>50</v>
      </c>
      <c r="I189" s="5" t="s">
        <v>16335</v>
      </c>
      <c r="J189" s="5" t="s">
        <v>16347</v>
      </c>
      <c r="K189" s="11">
        <v>1</v>
      </c>
    </row>
    <row r="190" spans="2:11" ht="37.5" customHeight="1" x14ac:dyDescent="0.35">
      <c r="B190" s="12">
        <v>20</v>
      </c>
      <c r="C190" s="7" t="s">
        <v>16323</v>
      </c>
      <c r="D190" s="12">
        <v>13</v>
      </c>
      <c r="E190" s="7" t="s">
        <v>16351</v>
      </c>
      <c r="F190" s="7" t="s">
        <v>16359</v>
      </c>
      <c r="G190" s="7" t="s">
        <v>16353</v>
      </c>
      <c r="H190" s="7" t="s">
        <v>50</v>
      </c>
      <c r="I190" s="7" t="s">
        <v>16335</v>
      </c>
      <c r="J190" s="7" t="s">
        <v>16347</v>
      </c>
      <c r="K190" s="12">
        <v>1</v>
      </c>
    </row>
    <row r="191" spans="2:11" ht="37.5" customHeight="1" x14ac:dyDescent="0.35">
      <c r="B191" s="11">
        <v>20</v>
      </c>
      <c r="C191" s="5" t="s">
        <v>16323</v>
      </c>
      <c r="D191" s="11">
        <v>14</v>
      </c>
      <c r="E191" s="5" t="s">
        <v>16360</v>
      </c>
      <c r="F191" s="5" t="s">
        <v>16361</v>
      </c>
      <c r="G191" s="5" t="s">
        <v>16362</v>
      </c>
      <c r="H191" s="5" t="s">
        <v>50</v>
      </c>
      <c r="I191" s="5" t="s">
        <v>16335</v>
      </c>
      <c r="J191" s="5" t="s">
        <v>16347</v>
      </c>
      <c r="K191" s="11">
        <v>1</v>
      </c>
    </row>
    <row r="192" spans="2:11" ht="37.5" customHeight="1" x14ac:dyDescent="0.35">
      <c r="B192" s="12">
        <v>20</v>
      </c>
      <c r="C192" s="7" t="s">
        <v>16323</v>
      </c>
      <c r="D192" s="12">
        <v>15</v>
      </c>
      <c r="E192" s="7" t="s">
        <v>16363</v>
      </c>
      <c r="F192" s="7" t="s">
        <v>16364</v>
      </c>
      <c r="G192" s="7" t="s">
        <v>16326</v>
      </c>
      <c r="H192" s="7" t="s">
        <v>50</v>
      </c>
      <c r="I192" s="7" t="s">
        <v>16335</v>
      </c>
      <c r="J192" s="7" t="s">
        <v>16347</v>
      </c>
      <c r="K192" s="12">
        <v>1</v>
      </c>
    </row>
    <row r="193" spans="2:11" ht="37.5" customHeight="1" x14ac:dyDescent="0.35">
      <c r="B193" s="11">
        <v>20</v>
      </c>
      <c r="C193" s="5" t="s">
        <v>16323</v>
      </c>
      <c r="D193" s="11">
        <v>16</v>
      </c>
      <c r="E193" s="5" t="s">
        <v>16365</v>
      </c>
      <c r="F193" s="5" t="s">
        <v>16366</v>
      </c>
      <c r="G193" s="5" t="s">
        <v>16007</v>
      </c>
      <c r="H193" s="5" t="s">
        <v>50</v>
      </c>
      <c r="I193" s="5" t="s">
        <v>16335</v>
      </c>
      <c r="J193" s="5" t="s">
        <v>16347</v>
      </c>
      <c r="K193" s="11">
        <v>1</v>
      </c>
    </row>
    <row r="194" spans="2:11" ht="37.5" customHeight="1" x14ac:dyDescent="0.35">
      <c r="B194" s="12">
        <v>20</v>
      </c>
      <c r="C194" s="7" t="s">
        <v>16323</v>
      </c>
      <c r="D194" s="12">
        <v>17</v>
      </c>
      <c r="E194" s="7" t="s">
        <v>16367</v>
      </c>
      <c r="F194" s="7" t="s">
        <v>16368</v>
      </c>
      <c r="G194" s="7" t="s">
        <v>16369</v>
      </c>
      <c r="H194" s="7" t="s">
        <v>50</v>
      </c>
      <c r="I194" s="7" t="s">
        <v>16335</v>
      </c>
      <c r="J194" s="7" t="s">
        <v>16347</v>
      </c>
      <c r="K194" s="12">
        <v>1</v>
      </c>
    </row>
    <row r="195" spans="2:11" ht="37.5" customHeight="1" x14ac:dyDescent="0.35">
      <c r="B195" s="11">
        <v>20</v>
      </c>
      <c r="C195" s="5" t="s">
        <v>16323</v>
      </c>
      <c r="D195" s="11">
        <v>18</v>
      </c>
      <c r="E195" s="5" t="s">
        <v>16370</v>
      </c>
      <c r="F195" s="5" t="s">
        <v>16371</v>
      </c>
      <c r="G195" s="5" t="s">
        <v>16372</v>
      </c>
      <c r="H195" s="5" t="s">
        <v>50</v>
      </c>
      <c r="I195" s="5" t="s">
        <v>16335</v>
      </c>
      <c r="J195" s="5" t="s">
        <v>16347</v>
      </c>
      <c r="K195" s="11">
        <v>1</v>
      </c>
    </row>
    <row r="196" spans="2:11" ht="37.5" customHeight="1" x14ac:dyDescent="0.35">
      <c r="B196" s="12">
        <v>20</v>
      </c>
      <c r="C196" s="7" t="s">
        <v>16323</v>
      </c>
      <c r="D196" s="12">
        <v>19</v>
      </c>
      <c r="E196" s="7" t="s">
        <v>16373</v>
      </c>
      <c r="F196" s="7" t="s">
        <v>16374</v>
      </c>
      <c r="G196" s="7" t="s">
        <v>16375</v>
      </c>
      <c r="H196" s="7" t="s">
        <v>50</v>
      </c>
      <c r="I196" s="7" t="s">
        <v>16335</v>
      </c>
      <c r="J196" s="7" t="s">
        <v>16347</v>
      </c>
      <c r="K196" s="12">
        <v>1</v>
      </c>
    </row>
    <row r="197" spans="2:11" ht="37.5" customHeight="1" x14ac:dyDescent="0.35">
      <c r="B197" s="11">
        <v>20</v>
      </c>
      <c r="C197" s="5" t="s">
        <v>16323</v>
      </c>
      <c r="D197" s="11">
        <v>20</v>
      </c>
      <c r="E197" s="5" t="s">
        <v>16376</v>
      </c>
      <c r="F197" s="5" t="s">
        <v>16377</v>
      </c>
      <c r="G197" s="5" t="s">
        <v>1793</v>
      </c>
      <c r="H197" s="5" t="s">
        <v>50</v>
      </c>
      <c r="I197" s="5" t="s">
        <v>16335</v>
      </c>
      <c r="J197" s="5" t="s">
        <v>16347</v>
      </c>
      <c r="K197" s="11">
        <v>1</v>
      </c>
    </row>
    <row r="198" spans="2:11" ht="37.5" customHeight="1" x14ac:dyDescent="0.35">
      <c r="B198" s="12">
        <v>20</v>
      </c>
      <c r="C198" s="7" t="s">
        <v>16323</v>
      </c>
      <c r="D198" s="12">
        <v>21</v>
      </c>
      <c r="E198" s="7" t="s">
        <v>16378</v>
      </c>
      <c r="F198" s="7" t="s">
        <v>16379</v>
      </c>
      <c r="G198" s="7" t="s">
        <v>16189</v>
      </c>
      <c r="H198" s="7" t="s">
        <v>50</v>
      </c>
      <c r="I198" s="7" t="s">
        <v>16335</v>
      </c>
      <c r="J198" s="7" t="s">
        <v>16347</v>
      </c>
      <c r="K198" s="12">
        <v>1</v>
      </c>
    </row>
    <row r="199" spans="2:11" ht="37.5" customHeight="1" x14ac:dyDescent="0.35">
      <c r="B199" s="11">
        <v>20</v>
      </c>
      <c r="C199" s="5" t="s">
        <v>16323</v>
      </c>
      <c r="D199" s="11">
        <v>22</v>
      </c>
      <c r="E199" s="5" t="s">
        <v>16380</v>
      </c>
      <c r="F199" s="5" t="s">
        <v>16381</v>
      </c>
      <c r="G199" s="5" t="s">
        <v>16382</v>
      </c>
      <c r="H199" s="5" t="s">
        <v>50</v>
      </c>
      <c r="I199" s="5" t="s">
        <v>16335</v>
      </c>
      <c r="J199" s="5" t="s">
        <v>16347</v>
      </c>
      <c r="K199" s="11">
        <v>1</v>
      </c>
    </row>
    <row r="200" spans="2:11" ht="37.5" customHeight="1" x14ac:dyDescent="0.35">
      <c r="B200" s="12">
        <v>20</v>
      </c>
      <c r="C200" s="7" t="s">
        <v>16323</v>
      </c>
      <c r="D200" s="12">
        <v>23</v>
      </c>
      <c r="E200" s="7" t="s">
        <v>16383</v>
      </c>
      <c r="F200" s="7" t="s">
        <v>16384</v>
      </c>
      <c r="G200" s="7" t="s">
        <v>16385</v>
      </c>
      <c r="H200" s="7" t="s">
        <v>50</v>
      </c>
      <c r="I200" s="7" t="s">
        <v>16335</v>
      </c>
      <c r="J200" s="7" t="s">
        <v>16347</v>
      </c>
      <c r="K200" s="12">
        <v>1</v>
      </c>
    </row>
    <row r="201" spans="2:11" ht="37.5" customHeight="1" x14ac:dyDescent="0.35">
      <c r="B201" s="11">
        <v>20</v>
      </c>
      <c r="C201" s="5" t="s">
        <v>16323</v>
      </c>
      <c r="D201" s="11">
        <v>24</v>
      </c>
      <c r="E201" s="5" t="s">
        <v>16386</v>
      </c>
      <c r="F201" s="5" t="s">
        <v>16387</v>
      </c>
      <c r="G201" s="5" t="s">
        <v>16388</v>
      </c>
      <c r="H201" s="5" t="s">
        <v>50</v>
      </c>
      <c r="I201" s="5" t="s">
        <v>16335</v>
      </c>
      <c r="J201" s="5" t="s">
        <v>16347</v>
      </c>
      <c r="K201" s="11">
        <v>1</v>
      </c>
    </row>
    <row r="202" spans="2:11" ht="37.5" customHeight="1" x14ac:dyDescent="0.35">
      <c r="B202" s="12">
        <v>20</v>
      </c>
      <c r="C202" s="7" t="s">
        <v>16323</v>
      </c>
      <c r="D202" s="12">
        <v>25</v>
      </c>
      <c r="E202" s="7" t="s">
        <v>16389</v>
      </c>
      <c r="F202" s="7" t="s">
        <v>16390</v>
      </c>
      <c r="G202" s="7" t="s">
        <v>16391</v>
      </c>
      <c r="H202" s="7" t="s">
        <v>50</v>
      </c>
      <c r="I202" s="7" t="s">
        <v>16335</v>
      </c>
      <c r="J202" s="7" t="s">
        <v>16347</v>
      </c>
      <c r="K202" s="12">
        <v>1</v>
      </c>
    </row>
    <row r="203" spans="2:11" ht="37.5" customHeight="1" x14ac:dyDescent="0.35">
      <c r="B203" s="11">
        <v>20</v>
      </c>
      <c r="C203" s="5" t="s">
        <v>16323</v>
      </c>
      <c r="D203" s="11">
        <v>26</v>
      </c>
      <c r="E203" s="5" t="s">
        <v>16392</v>
      </c>
      <c r="F203" s="5" t="s">
        <v>16393</v>
      </c>
      <c r="G203" s="5" t="s">
        <v>31</v>
      </c>
      <c r="H203" s="5" t="s">
        <v>50</v>
      </c>
      <c r="I203" s="5" t="s">
        <v>16335</v>
      </c>
      <c r="J203" s="5" t="s">
        <v>16347</v>
      </c>
      <c r="K203" s="11">
        <v>1</v>
      </c>
    </row>
    <row r="204" spans="2:11" ht="37.5" customHeight="1" x14ac:dyDescent="0.35">
      <c r="B204" s="12">
        <v>20</v>
      </c>
      <c r="C204" s="7" t="s">
        <v>16323</v>
      </c>
      <c r="D204" s="12">
        <v>27</v>
      </c>
      <c r="E204" s="7" t="s">
        <v>16394</v>
      </c>
      <c r="F204" s="7" t="s">
        <v>16395</v>
      </c>
      <c r="G204" s="7" t="s">
        <v>16396</v>
      </c>
      <c r="H204" s="7" t="s">
        <v>50</v>
      </c>
      <c r="I204" s="7" t="s">
        <v>16335</v>
      </c>
      <c r="J204" s="7" t="s">
        <v>16347</v>
      </c>
      <c r="K204" s="12">
        <v>1</v>
      </c>
    </row>
    <row r="205" spans="2:11" ht="37.5" customHeight="1" x14ac:dyDescent="0.35">
      <c r="B205" s="11">
        <v>20</v>
      </c>
      <c r="C205" s="5" t="s">
        <v>16323</v>
      </c>
      <c r="D205" s="11">
        <v>28</v>
      </c>
      <c r="E205" s="5" t="s">
        <v>16397</v>
      </c>
      <c r="F205" s="5" t="s">
        <v>16398</v>
      </c>
      <c r="G205" s="5" t="s">
        <v>16399</v>
      </c>
      <c r="H205" s="5" t="s">
        <v>50</v>
      </c>
      <c r="I205" s="5" t="s">
        <v>16335</v>
      </c>
      <c r="J205" s="5" t="s">
        <v>16347</v>
      </c>
      <c r="K205" s="11">
        <v>1</v>
      </c>
    </row>
    <row r="206" spans="2:11" ht="37.5" customHeight="1" x14ac:dyDescent="0.35">
      <c r="B206" s="12">
        <v>20</v>
      </c>
      <c r="C206" s="7" t="s">
        <v>16323</v>
      </c>
      <c r="D206" s="12">
        <v>29</v>
      </c>
      <c r="E206" s="7" t="s">
        <v>16400</v>
      </c>
      <c r="F206" s="7" t="s">
        <v>16401</v>
      </c>
      <c r="G206" s="7" t="s">
        <v>16189</v>
      </c>
      <c r="H206" s="7" t="s">
        <v>50</v>
      </c>
      <c r="I206" s="7" t="s">
        <v>16335</v>
      </c>
      <c r="J206" s="7" t="s">
        <v>16347</v>
      </c>
      <c r="K206" s="12">
        <v>1</v>
      </c>
    </row>
    <row r="207" spans="2:11" ht="37.5" customHeight="1" x14ac:dyDescent="0.35">
      <c r="B207" s="11">
        <v>20</v>
      </c>
      <c r="C207" s="5" t="s">
        <v>16323</v>
      </c>
      <c r="D207" s="11">
        <v>30</v>
      </c>
      <c r="E207" s="5" t="s">
        <v>16402</v>
      </c>
      <c r="F207" s="5" t="s">
        <v>16403</v>
      </c>
      <c r="G207" s="5" t="s">
        <v>16404</v>
      </c>
      <c r="H207" s="5" t="s">
        <v>50</v>
      </c>
      <c r="I207" s="5" t="s">
        <v>16335</v>
      </c>
      <c r="J207" s="5" t="s">
        <v>16347</v>
      </c>
      <c r="K207" s="11">
        <v>1</v>
      </c>
    </row>
    <row r="208" spans="2:11" ht="37.5" customHeight="1" x14ac:dyDescent="0.35">
      <c r="B208" s="12">
        <v>20</v>
      </c>
      <c r="C208" s="7" t="s">
        <v>16323</v>
      </c>
      <c r="D208" s="12">
        <v>31</v>
      </c>
      <c r="E208" s="7" t="s">
        <v>16405</v>
      </c>
      <c r="F208" s="7" t="s">
        <v>16406</v>
      </c>
      <c r="G208" s="7" t="s">
        <v>16407</v>
      </c>
      <c r="H208" s="7" t="s">
        <v>50</v>
      </c>
      <c r="I208" s="7" t="s">
        <v>16335</v>
      </c>
      <c r="J208" s="7" t="s">
        <v>16347</v>
      </c>
      <c r="K208" s="12">
        <v>1</v>
      </c>
    </row>
    <row r="209" spans="2:11" ht="37.5" customHeight="1" x14ac:dyDescent="0.35">
      <c r="B209" s="11">
        <v>20</v>
      </c>
      <c r="C209" s="5" t="s">
        <v>16323</v>
      </c>
      <c r="D209" s="11">
        <v>32</v>
      </c>
      <c r="E209" s="5" t="s">
        <v>16408</v>
      </c>
      <c r="F209" s="5" t="s">
        <v>16409</v>
      </c>
      <c r="G209" s="5" t="s">
        <v>3185</v>
      </c>
      <c r="H209" s="5" t="s">
        <v>50</v>
      </c>
      <c r="I209" s="5" t="s">
        <v>16335</v>
      </c>
      <c r="J209" s="5" t="s">
        <v>16347</v>
      </c>
      <c r="K209" s="11">
        <v>1</v>
      </c>
    </row>
    <row r="210" spans="2:11" ht="37.5" customHeight="1" x14ac:dyDescent="0.35">
      <c r="B210" s="12">
        <v>20</v>
      </c>
      <c r="C210" s="7" t="s">
        <v>16323</v>
      </c>
      <c r="D210" s="12">
        <v>33</v>
      </c>
      <c r="E210" s="7" t="s">
        <v>16410</v>
      </c>
      <c r="F210" s="7" t="s">
        <v>16411</v>
      </c>
      <c r="G210" s="7" t="s">
        <v>16412</v>
      </c>
      <c r="H210" s="7" t="s">
        <v>50</v>
      </c>
      <c r="I210" s="7" t="s">
        <v>16335</v>
      </c>
      <c r="J210" s="7" t="s">
        <v>16347</v>
      </c>
      <c r="K210" s="12">
        <v>1</v>
      </c>
    </row>
    <row r="211" spans="2:11" ht="37.5" customHeight="1" x14ac:dyDescent="0.35">
      <c r="B211" s="11">
        <v>20</v>
      </c>
      <c r="C211" s="5" t="s">
        <v>16323</v>
      </c>
      <c r="D211" s="11">
        <v>34</v>
      </c>
      <c r="E211" s="5" t="s">
        <v>16413</v>
      </c>
      <c r="F211" s="5" t="s">
        <v>16414</v>
      </c>
      <c r="G211" s="5" t="s">
        <v>4260</v>
      </c>
      <c r="H211" s="5" t="s">
        <v>50</v>
      </c>
      <c r="I211" s="5" t="s">
        <v>16335</v>
      </c>
      <c r="J211" s="5" t="s">
        <v>16347</v>
      </c>
      <c r="K211" s="11">
        <v>1</v>
      </c>
    </row>
    <row r="212" spans="2:11" ht="37.5" customHeight="1" x14ac:dyDescent="0.35">
      <c r="B212" s="12">
        <v>20</v>
      </c>
      <c r="C212" s="7" t="s">
        <v>16323</v>
      </c>
      <c r="D212" s="12">
        <v>35</v>
      </c>
      <c r="E212" s="7" t="s">
        <v>16415</v>
      </c>
      <c r="F212" s="7" t="s">
        <v>16416</v>
      </c>
      <c r="G212" s="7" t="s">
        <v>16417</v>
      </c>
      <c r="H212" s="7" t="s">
        <v>50</v>
      </c>
      <c r="I212" s="7" t="s">
        <v>16335</v>
      </c>
      <c r="J212" s="7" t="s">
        <v>16347</v>
      </c>
      <c r="K212" s="12">
        <v>1</v>
      </c>
    </row>
    <row r="213" spans="2:11" ht="37.5" customHeight="1" x14ac:dyDescent="0.35">
      <c r="B213" s="11">
        <v>20</v>
      </c>
      <c r="C213" s="5" t="s">
        <v>16323</v>
      </c>
      <c r="D213" s="11">
        <v>36</v>
      </c>
      <c r="E213" s="5" t="s">
        <v>16418</v>
      </c>
      <c r="F213" s="5" t="s">
        <v>16419</v>
      </c>
      <c r="G213" s="5" t="s">
        <v>16420</v>
      </c>
      <c r="H213" s="5" t="s">
        <v>50</v>
      </c>
      <c r="I213" s="5" t="s">
        <v>16335</v>
      </c>
      <c r="J213" s="5" t="s">
        <v>16347</v>
      </c>
      <c r="K213" s="11">
        <v>1</v>
      </c>
    </row>
    <row r="214" spans="2:11" ht="37.5" customHeight="1" x14ac:dyDescent="0.35">
      <c r="B214" s="12">
        <v>20</v>
      </c>
      <c r="C214" s="7" t="s">
        <v>16323</v>
      </c>
      <c r="D214" s="12">
        <v>37</v>
      </c>
      <c r="E214" s="7" t="s">
        <v>16421</v>
      </c>
      <c r="F214" s="7" t="s">
        <v>16422</v>
      </c>
      <c r="G214" s="7" t="s">
        <v>16423</v>
      </c>
      <c r="H214" s="7" t="s">
        <v>50</v>
      </c>
      <c r="I214" s="7" t="s">
        <v>16335</v>
      </c>
      <c r="J214" s="7" t="s">
        <v>16347</v>
      </c>
      <c r="K214" s="12">
        <v>1</v>
      </c>
    </row>
    <row r="215" spans="2:11" ht="37.5" customHeight="1" x14ac:dyDescent="0.35">
      <c r="B215" s="11">
        <v>20</v>
      </c>
      <c r="C215" s="5" t="s">
        <v>16323</v>
      </c>
      <c r="D215" s="11">
        <v>38</v>
      </c>
      <c r="E215" s="5" t="s">
        <v>16424</v>
      </c>
      <c r="F215" s="5" t="s">
        <v>16425</v>
      </c>
      <c r="G215" s="5" t="s">
        <v>16051</v>
      </c>
      <c r="H215" s="5" t="s">
        <v>50</v>
      </c>
      <c r="I215" s="5" t="s">
        <v>16335</v>
      </c>
      <c r="J215" s="5" t="s">
        <v>16347</v>
      </c>
      <c r="K215" s="11">
        <v>1</v>
      </c>
    </row>
    <row r="216" spans="2:11" ht="37.5" customHeight="1" x14ac:dyDescent="0.35">
      <c r="B216" s="12">
        <v>20</v>
      </c>
      <c r="C216" s="7" t="s">
        <v>16323</v>
      </c>
      <c r="D216" s="12">
        <v>39</v>
      </c>
      <c r="E216" s="7" t="s">
        <v>16426</v>
      </c>
      <c r="F216" s="7" t="s">
        <v>16427</v>
      </c>
      <c r="G216" s="7" t="s">
        <v>285</v>
      </c>
      <c r="H216" s="7" t="s">
        <v>50</v>
      </c>
      <c r="I216" s="7" t="s">
        <v>16335</v>
      </c>
      <c r="J216" s="7" t="s">
        <v>16347</v>
      </c>
      <c r="K216" s="12">
        <v>1</v>
      </c>
    </row>
    <row r="217" spans="2:11" ht="37.5" customHeight="1" x14ac:dyDescent="0.35">
      <c r="B217" s="11">
        <v>20</v>
      </c>
      <c r="C217" s="5" t="s">
        <v>16323</v>
      </c>
      <c r="D217" s="11">
        <v>40</v>
      </c>
      <c r="E217" s="5" t="s">
        <v>16428</v>
      </c>
      <c r="F217" s="5" t="s">
        <v>16429</v>
      </c>
      <c r="G217" s="5" t="s">
        <v>16430</v>
      </c>
      <c r="H217" s="5" t="s">
        <v>50</v>
      </c>
      <c r="I217" s="5" t="s">
        <v>16335</v>
      </c>
      <c r="J217" s="5" t="s">
        <v>16347</v>
      </c>
      <c r="K217" s="11">
        <v>1</v>
      </c>
    </row>
    <row r="218" spans="2:11" ht="37.5" customHeight="1" x14ac:dyDescent="0.35">
      <c r="B218" s="12">
        <v>20</v>
      </c>
      <c r="C218" s="7" t="s">
        <v>16323</v>
      </c>
      <c r="D218" s="12">
        <v>41</v>
      </c>
      <c r="E218" s="7" t="s">
        <v>16431</v>
      </c>
      <c r="F218" s="7" t="s">
        <v>16432</v>
      </c>
      <c r="G218" s="7" t="s">
        <v>16433</v>
      </c>
      <c r="H218" s="7" t="s">
        <v>50</v>
      </c>
      <c r="I218" s="7" t="s">
        <v>16335</v>
      </c>
      <c r="J218" s="7" t="s">
        <v>16347</v>
      </c>
      <c r="K218" s="12">
        <v>1</v>
      </c>
    </row>
    <row r="219" spans="2:11" ht="37.5" customHeight="1" x14ac:dyDescent="0.35">
      <c r="B219" s="11">
        <v>20</v>
      </c>
      <c r="C219" s="5" t="s">
        <v>16323</v>
      </c>
      <c r="D219" s="11">
        <v>42</v>
      </c>
      <c r="E219" s="5" t="s">
        <v>16434</v>
      </c>
      <c r="F219" s="5" t="s">
        <v>16435</v>
      </c>
      <c r="G219" s="5" t="s">
        <v>16436</v>
      </c>
      <c r="H219" s="5" t="s">
        <v>50</v>
      </c>
      <c r="I219" s="5" t="s">
        <v>16335</v>
      </c>
      <c r="J219" s="5" t="s">
        <v>16347</v>
      </c>
      <c r="K219" s="11">
        <v>1</v>
      </c>
    </row>
    <row r="220" spans="2:11" ht="37.5" customHeight="1" x14ac:dyDescent="0.35">
      <c r="B220" s="12">
        <v>20</v>
      </c>
      <c r="C220" s="7" t="s">
        <v>16323</v>
      </c>
      <c r="D220" s="12">
        <v>43</v>
      </c>
      <c r="E220" s="7" t="s">
        <v>16437</v>
      </c>
      <c r="F220" s="7" t="s">
        <v>16438</v>
      </c>
      <c r="G220" s="7" t="s">
        <v>16439</v>
      </c>
      <c r="H220" s="7" t="s">
        <v>50</v>
      </c>
      <c r="I220" s="7" t="s">
        <v>16335</v>
      </c>
      <c r="J220" s="7" t="s">
        <v>16347</v>
      </c>
      <c r="K220" s="12">
        <v>1</v>
      </c>
    </row>
    <row r="221" spans="2:11" ht="37.5" customHeight="1" x14ac:dyDescent="0.35">
      <c r="B221" s="11">
        <v>20</v>
      </c>
      <c r="C221" s="5" t="s">
        <v>16323</v>
      </c>
      <c r="D221" s="11">
        <v>44</v>
      </c>
      <c r="E221" s="5" t="s">
        <v>16440</v>
      </c>
      <c r="F221" s="5" t="s">
        <v>16441</v>
      </c>
      <c r="G221" s="5" t="s">
        <v>16442</v>
      </c>
      <c r="H221" s="5" t="s">
        <v>50</v>
      </c>
      <c r="I221" s="5" t="s">
        <v>16335</v>
      </c>
      <c r="J221" s="5" t="s">
        <v>16347</v>
      </c>
      <c r="K221" s="11">
        <v>1</v>
      </c>
    </row>
    <row r="222" spans="2:11" ht="37.5" customHeight="1" x14ac:dyDescent="0.35">
      <c r="B222" s="12">
        <v>20</v>
      </c>
      <c r="C222" s="7" t="s">
        <v>16323</v>
      </c>
      <c r="D222" s="12">
        <v>45</v>
      </c>
      <c r="E222" s="7" t="s">
        <v>16443</v>
      </c>
      <c r="F222" s="7" t="s">
        <v>16444</v>
      </c>
      <c r="G222" s="7" t="s">
        <v>202</v>
      </c>
      <c r="H222" s="7" t="s">
        <v>50</v>
      </c>
      <c r="I222" s="7" t="s">
        <v>16335</v>
      </c>
      <c r="J222" s="7" t="s">
        <v>16347</v>
      </c>
      <c r="K222" s="12">
        <v>1</v>
      </c>
    </row>
    <row r="223" spans="2:11" ht="37.5" customHeight="1" x14ac:dyDescent="0.35">
      <c r="B223" s="11">
        <v>20</v>
      </c>
      <c r="C223" s="5" t="s">
        <v>16323</v>
      </c>
      <c r="D223" s="11">
        <v>46</v>
      </c>
      <c r="E223" s="5" t="s">
        <v>16445</v>
      </c>
      <c r="F223" s="5" t="s">
        <v>16446</v>
      </c>
      <c r="G223" s="5" t="s">
        <v>1784</v>
      </c>
      <c r="H223" s="5" t="s">
        <v>50</v>
      </c>
      <c r="I223" s="5" t="s">
        <v>16335</v>
      </c>
      <c r="J223" s="5" t="s">
        <v>16347</v>
      </c>
      <c r="K223" s="11">
        <v>1</v>
      </c>
    </row>
    <row r="224" spans="2:11" ht="37.5" customHeight="1" x14ac:dyDescent="0.35">
      <c r="B224" s="12">
        <v>20</v>
      </c>
      <c r="C224" s="7" t="s">
        <v>16323</v>
      </c>
      <c r="D224" s="12">
        <v>47</v>
      </c>
      <c r="E224" s="7" t="s">
        <v>16447</v>
      </c>
      <c r="F224" s="7" t="s">
        <v>16448</v>
      </c>
      <c r="G224" s="7" t="s">
        <v>16449</v>
      </c>
      <c r="H224" s="7" t="s">
        <v>50</v>
      </c>
      <c r="I224" s="7" t="s">
        <v>16335</v>
      </c>
      <c r="J224" s="7" t="s">
        <v>16347</v>
      </c>
      <c r="K224" s="12">
        <v>1</v>
      </c>
    </row>
    <row r="225" spans="2:11" ht="37.5" customHeight="1" x14ac:dyDescent="0.35">
      <c r="B225" s="11">
        <v>20</v>
      </c>
      <c r="C225" s="5" t="s">
        <v>16323</v>
      </c>
      <c r="D225" s="11">
        <v>48</v>
      </c>
      <c r="E225" s="5" t="s">
        <v>16450</v>
      </c>
      <c r="F225" s="5" t="s">
        <v>16451</v>
      </c>
      <c r="G225" s="5" t="s">
        <v>16452</v>
      </c>
      <c r="H225" s="5" t="s">
        <v>50</v>
      </c>
      <c r="I225" s="5" t="s">
        <v>16335</v>
      </c>
      <c r="J225" s="5" t="s">
        <v>16347</v>
      </c>
      <c r="K225" s="11">
        <v>1</v>
      </c>
    </row>
    <row r="226" spans="2:11" ht="37.5" customHeight="1" x14ac:dyDescent="0.35">
      <c r="B226" s="12">
        <v>20</v>
      </c>
      <c r="C226" s="7" t="s">
        <v>16323</v>
      </c>
      <c r="D226" s="12">
        <v>49</v>
      </c>
      <c r="E226" s="7" t="s">
        <v>16453</v>
      </c>
      <c r="F226" s="7" t="s">
        <v>16454</v>
      </c>
      <c r="G226" s="7" t="s">
        <v>16455</v>
      </c>
      <c r="H226" s="7" t="s">
        <v>50</v>
      </c>
      <c r="I226" s="7" t="s">
        <v>16335</v>
      </c>
      <c r="J226" s="7" t="s">
        <v>16347</v>
      </c>
      <c r="K226" s="12">
        <v>1</v>
      </c>
    </row>
    <row r="227" spans="2:11" ht="37.5" customHeight="1" x14ac:dyDescent="0.35">
      <c r="B227" s="11">
        <v>20</v>
      </c>
      <c r="C227" s="5" t="s">
        <v>16323</v>
      </c>
      <c r="D227" s="11">
        <v>50</v>
      </c>
      <c r="E227" s="5" t="s">
        <v>16456</v>
      </c>
      <c r="F227" s="5" t="s">
        <v>16457</v>
      </c>
      <c r="G227" s="5" t="s">
        <v>16458</v>
      </c>
      <c r="H227" s="5" t="s">
        <v>50</v>
      </c>
      <c r="I227" s="5" t="s">
        <v>16335</v>
      </c>
      <c r="J227" s="5" t="s">
        <v>16347</v>
      </c>
      <c r="K227" s="11">
        <v>1</v>
      </c>
    </row>
    <row r="228" spans="2:11" ht="37.5" customHeight="1" x14ac:dyDescent="0.35">
      <c r="B228" s="12">
        <v>20</v>
      </c>
      <c r="C228" s="7" t="s">
        <v>16323</v>
      </c>
      <c r="D228" s="12">
        <v>51</v>
      </c>
      <c r="E228" s="7" t="s">
        <v>16459</v>
      </c>
      <c r="F228" s="7" t="s">
        <v>16460</v>
      </c>
      <c r="G228" s="7" t="s">
        <v>16461</v>
      </c>
      <c r="H228" s="7" t="s">
        <v>50</v>
      </c>
      <c r="I228" s="7" t="s">
        <v>16335</v>
      </c>
      <c r="J228" s="7" t="s">
        <v>16347</v>
      </c>
      <c r="K228" s="12">
        <v>1</v>
      </c>
    </row>
    <row r="229" spans="2:11" ht="37.5" customHeight="1" x14ac:dyDescent="0.35">
      <c r="B229" s="11">
        <v>20</v>
      </c>
      <c r="C229" s="5" t="s">
        <v>16323</v>
      </c>
      <c r="D229" s="11">
        <v>52</v>
      </c>
      <c r="E229" s="5" t="s">
        <v>16462</v>
      </c>
      <c r="F229" s="5" t="s">
        <v>16463</v>
      </c>
      <c r="G229" s="5" t="s">
        <v>16464</v>
      </c>
      <c r="H229" s="5" t="s">
        <v>50</v>
      </c>
      <c r="I229" s="5" t="s">
        <v>16335</v>
      </c>
      <c r="J229" s="5" t="s">
        <v>16347</v>
      </c>
      <c r="K229" s="11">
        <v>1</v>
      </c>
    </row>
    <row r="230" spans="2:11" ht="37.5" customHeight="1" x14ac:dyDescent="0.35">
      <c r="B230" s="12">
        <v>20</v>
      </c>
      <c r="C230" s="7" t="s">
        <v>16323</v>
      </c>
      <c r="D230" s="12">
        <v>53</v>
      </c>
      <c r="E230" s="7" t="s">
        <v>16465</v>
      </c>
      <c r="F230" s="7" t="s">
        <v>16466</v>
      </c>
      <c r="G230" s="7" t="s">
        <v>16467</v>
      </c>
      <c r="H230" s="7" t="s">
        <v>50</v>
      </c>
      <c r="I230" s="7" t="s">
        <v>16335</v>
      </c>
      <c r="J230" s="7" t="s">
        <v>16347</v>
      </c>
      <c r="K230" s="12">
        <v>1</v>
      </c>
    </row>
    <row r="231" spans="2:11" ht="37.5" customHeight="1" x14ac:dyDescent="0.35">
      <c r="B231" s="11">
        <v>20</v>
      </c>
      <c r="C231" s="5" t="s">
        <v>16323</v>
      </c>
      <c r="D231" s="11">
        <v>54</v>
      </c>
      <c r="E231" s="5" t="s">
        <v>16468</v>
      </c>
      <c r="F231" s="5" t="s">
        <v>16469</v>
      </c>
      <c r="G231" s="5" t="s">
        <v>16470</v>
      </c>
      <c r="H231" s="5" t="s">
        <v>50</v>
      </c>
      <c r="I231" s="5" t="s">
        <v>16335</v>
      </c>
      <c r="J231" s="5" t="s">
        <v>16347</v>
      </c>
      <c r="K231" s="11">
        <v>1</v>
      </c>
    </row>
    <row r="232" spans="2:11" ht="37.5" customHeight="1" x14ac:dyDescent="0.35">
      <c r="B232" s="12">
        <v>20</v>
      </c>
      <c r="C232" s="7" t="s">
        <v>16323</v>
      </c>
      <c r="D232" s="12">
        <v>55</v>
      </c>
      <c r="E232" s="7" t="s">
        <v>16471</v>
      </c>
      <c r="F232" s="7" t="s">
        <v>16472</v>
      </c>
      <c r="G232" s="7" t="s">
        <v>16473</v>
      </c>
      <c r="H232" s="7" t="s">
        <v>50</v>
      </c>
      <c r="I232" s="7" t="s">
        <v>16335</v>
      </c>
      <c r="J232" s="7" t="s">
        <v>16347</v>
      </c>
      <c r="K232" s="12">
        <v>1</v>
      </c>
    </row>
    <row r="233" spans="2:11" ht="37.5" customHeight="1" x14ac:dyDescent="0.35">
      <c r="B233" s="11">
        <v>20</v>
      </c>
      <c r="C233" s="5" t="s">
        <v>16323</v>
      </c>
      <c r="D233" s="11">
        <v>56</v>
      </c>
      <c r="E233" s="5" t="s">
        <v>16474</v>
      </c>
      <c r="F233" s="5" t="s">
        <v>16475</v>
      </c>
      <c r="G233" s="5" t="s">
        <v>16476</v>
      </c>
      <c r="H233" s="5" t="s">
        <v>50</v>
      </c>
      <c r="I233" s="5" t="s">
        <v>16335</v>
      </c>
      <c r="J233" s="5" t="s">
        <v>16347</v>
      </c>
      <c r="K233" s="11">
        <v>1</v>
      </c>
    </row>
    <row r="234" spans="2:11" ht="37.5" customHeight="1" x14ac:dyDescent="0.35">
      <c r="B234" s="12">
        <v>20</v>
      </c>
      <c r="C234" s="7" t="s">
        <v>16323</v>
      </c>
      <c r="D234" s="12">
        <v>57</v>
      </c>
      <c r="E234" s="7" t="s">
        <v>16477</v>
      </c>
      <c r="F234" s="7" t="s">
        <v>16478</v>
      </c>
      <c r="G234" s="7" t="s">
        <v>16479</v>
      </c>
      <c r="H234" s="7" t="s">
        <v>50</v>
      </c>
      <c r="I234" s="7" t="s">
        <v>16335</v>
      </c>
      <c r="J234" s="7" t="s">
        <v>16347</v>
      </c>
      <c r="K234" s="12">
        <v>1</v>
      </c>
    </row>
    <row r="235" spans="2:11" ht="37.5" customHeight="1" x14ac:dyDescent="0.35">
      <c r="B235" s="11">
        <v>20</v>
      </c>
      <c r="C235" s="5" t="s">
        <v>16323</v>
      </c>
      <c r="D235" s="11">
        <v>58</v>
      </c>
      <c r="E235" s="5" t="s">
        <v>16480</v>
      </c>
      <c r="F235" s="5" t="s">
        <v>16481</v>
      </c>
      <c r="G235" s="5" t="s">
        <v>16482</v>
      </c>
      <c r="H235" s="5" t="s">
        <v>50</v>
      </c>
      <c r="I235" s="5" t="s">
        <v>16335</v>
      </c>
      <c r="J235" s="5" t="s">
        <v>16347</v>
      </c>
      <c r="K235" s="11">
        <v>1</v>
      </c>
    </row>
    <row r="236" spans="2:11" ht="37.5" customHeight="1" x14ac:dyDescent="0.35">
      <c r="B236" s="12">
        <v>20</v>
      </c>
      <c r="C236" s="7" t="s">
        <v>16323</v>
      </c>
      <c r="D236" s="12">
        <v>59</v>
      </c>
      <c r="E236" s="7" t="s">
        <v>16483</v>
      </c>
      <c r="F236" s="7" t="s">
        <v>16484</v>
      </c>
      <c r="G236" s="7" t="s">
        <v>16485</v>
      </c>
      <c r="H236" s="7" t="s">
        <v>50</v>
      </c>
      <c r="I236" s="7" t="s">
        <v>16335</v>
      </c>
      <c r="J236" s="7" t="s">
        <v>16347</v>
      </c>
      <c r="K236" s="12">
        <v>1</v>
      </c>
    </row>
    <row r="237" spans="2:11" ht="37.5" customHeight="1" x14ac:dyDescent="0.35">
      <c r="B237" s="11">
        <v>20</v>
      </c>
      <c r="C237" s="5" t="s">
        <v>16323</v>
      </c>
      <c r="D237" s="11">
        <v>60</v>
      </c>
      <c r="E237" s="5" t="s">
        <v>16486</v>
      </c>
      <c r="F237" s="5" t="s">
        <v>16487</v>
      </c>
      <c r="G237" s="5" t="s">
        <v>16488</v>
      </c>
      <c r="H237" s="5" t="s">
        <v>50</v>
      </c>
      <c r="I237" s="5" t="s">
        <v>16335</v>
      </c>
      <c r="J237" s="5" t="s">
        <v>16347</v>
      </c>
      <c r="K237" s="11">
        <v>1</v>
      </c>
    </row>
    <row r="238" spans="2:11" ht="37.5" customHeight="1" x14ac:dyDescent="0.35">
      <c r="B238" s="12">
        <v>20</v>
      </c>
      <c r="C238" s="7" t="s">
        <v>16323</v>
      </c>
      <c r="D238" s="12">
        <v>61</v>
      </c>
      <c r="E238" s="7" t="s">
        <v>16489</v>
      </c>
      <c r="F238" s="7" t="s">
        <v>16490</v>
      </c>
      <c r="G238" s="7" t="s">
        <v>16491</v>
      </c>
      <c r="H238" s="7" t="s">
        <v>50</v>
      </c>
      <c r="I238" s="7" t="s">
        <v>16335</v>
      </c>
      <c r="J238" s="7" t="s">
        <v>16347</v>
      </c>
      <c r="K238" s="12">
        <v>1</v>
      </c>
    </row>
    <row r="239" spans="2:11" ht="37.5" customHeight="1" x14ac:dyDescent="0.35">
      <c r="B239" s="11">
        <v>20</v>
      </c>
      <c r="C239" s="5" t="s">
        <v>16323</v>
      </c>
      <c r="D239" s="11">
        <v>62</v>
      </c>
      <c r="E239" s="5" t="s">
        <v>16492</v>
      </c>
      <c r="F239" s="5" t="s">
        <v>16493</v>
      </c>
      <c r="G239" s="5" t="s">
        <v>16494</v>
      </c>
      <c r="H239" s="5" t="s">
        <v>50</v>
      </c>
      <c r="I239" s="5" t="s">
        <v>16335</v>
      </c>
      <c r="J239" s="5" t="s">
        <v>16347</v>
      </c>
      <c r="K239" s="11">
        <v>1</v>
      </c>
    </row>
    <row r="240" spans="2:11" ht="37.5" customHeight="1" x14ac:dyDescent="0.35">
      <c r="B240" s="12">
        <v>20</v>
      </c>
      <c r="C240" s="7" t="s">
        <v>16323</v>
      </c>
      <c r="D240" s="12">
        <v>63</v>
      </c>
      <c r="E240" s="7" t="s">
        <v>16495</v>
      </c>
      <c r="F240" s="7" t="s">
        <v>16496</v>
      </c>
      <c r="G240" s="7" t="s">
        <v>16433</v>
      </c>
      <c r="H240" s="7" t="s">
        <v>50</v>
      </c>
      <c r="I240" s="7" t="s">
        <v>16335</v>
      </c>
      <c r="J240" s="7" t="s">
        <v>16347</v>
      </c>
      <c r="K240" s="12">
        <v>1</v>
      </c>
    </row>
    <row r="241" spans="2:11" ht="37.5" customHeight="1" x14ac:dyDescent="0.35">
      <c r="B241" s="11">
        <v>20</v>
      </c>
      <c r="C241" s="5" t="s">
        <v>16323</v>
      </c>
      <c r="D241" s="11">
        <v>64</v>
      </c>
      <c r="E241" s="5" t="s">
        <v>16497</v>
      </c>
      <c r="F241" s="5" t="s">
        <v>16498</v>
      </c>
      <c r="G241" s="5" t="s">
        <v>16499</v>
      </c>
      <c r="H241" s="5" t="s">
        <v>50</v>
      </c>
      <c r="I241" s="5" t="s">
        <v>16335</v>
      </c>
      <c r="J241" s="5" t="s">
        <v>16347</v>
      </c>
      <c r="K241" s="11">
        <v>1</v>
      </c>
    </row>
    <row r="242" spans="2:11" ht="37.5" customHeight="1" x14ac:dyDescent="0.35">
      <c r="B242" s="12">
        <v>20</v>
      </c>
      <c r="C242" s="7" t="s">
        <v>16323</v>
      </c>
      <c r="D242" s="12">
        <v>65</v>
      </c>
      <c r="E242" s="7" t="s">
        <v>16500</v>
      </c>
      <c r="F242" s="7" t="s">
        <v>16501</v>
      </c>
      <c r="G242" s="7" t="s">
        <v>16502</v>
      </c>
      <c r="H242" s="7" t="s">
        <v>50</v>
      </c>
      <c r="I242" s="7" t="s">
        <v>16335</v>
      </c>
      <c r="J242" s="7" t="s">
        <v>16347</v>
      </c>
      <c r="K242" s="12">
        <v>1</v>
      </c>
    </row>
    <row r="243" spans="2:11" ht="37.5" customHeight="1" x14ac:dyDescent="0.35">
      <c r="B243" s="11">
        <v>20</v>
      </c>
      <c r="C243" s="5" t="s">
        <v>16323</v>
      </c>
      <c r="D243" s="11">
        <v>66</v>
      </c>
      <c r="E243" s="5" t="s">
        <v>16503</v>
      </c>
      <c r="F243" s="5" t="s">
        <v>16504</v>
      </c>
      <c r="G243" s="5" t="s">
        <v>16505</v>
      </c>
      <c r="H243" s="5" t="s">
        <v>50</v>
      </c>
      <c r="I243" s="5" t="s">
        <v>16335</v>
      </c>
      <c r="J243" s="5" t="s">
        <v>16347</v>
      </c>
      <c r="K243" s="11">
        <v>1</v>
      </c>
    </row>
    <row r="244" spans="2:11" ht="37.5" customHeight="1" x14ac:dyDescent="0.35">
      <c r="B244" s="12">
        <v>20</v>
      </c>
      <c r="C244" s="7" t="s">
        <v>16323</v>
      </c>
      <c r="D244" s="12">
        <v>67</v>
      </c>
      <c r="E244" s="7" t="s">
        <v>16506</v>
      </c>
      <c r="F244" s="7" t="s">
        <v>16507</v>
      </c>
      <c r="G244" s="7" t="s">
        <v>15938</v>
      </c>
      <c r="H244" s="7" t="s">
        <v>50</v>
      </c>
      <c r="I244" s="7" t="s">
        <v>16335</v>
      </c>
      <c r="J244" s="7" t="s">
        <v>16347</v>
      </c>
      <c r="K244" s="12">
        <v>1</v>
      </c>
    </row>
    <row r="245" spans="2:11" ht="52.5" customHeight="1" x14ac:dyDescent="0.35">
      <c r="B245" s="11">
        <v>20</v>
      </c>
      <c r="C245" s="5" t="s">
        <v>16323</v>
      </c>
      <c r="D245" s="11">
        <v>68</v>
      </c>
      <c r="E245" s="5" t="s">
        <v>16508</v>
      </c>
      <c r="F245" s="5" t="s">
        <v>16509</v>
      </c>
      <c r="G245" s="5" t="s">
        <v>16510</v>
      </c>
      <c r="H245" s="5" t="s">
        <v>50</v>
      </c>
      <c r="I245" s="5" t="s">
        <v>16335</v>
      </c>
      <c r="J245" s="5" t="s">
        <v>16347</v>
      </c>
      <c r="K245" s="11">
        <v>1</v>
      </c>
    </row>
    <row r="246" spans="2:11" ht="37.5" customHeight="1" x14ac:dyDescent="0.35">
      <c r="B246" s="12">
        <v>20</v>
      </c>
      <c r="C246" s="7" t="s">
        <v>16323</v>
      </c>
      <c r="D246" s="12">
        <v>69</v>
      </c>
      <c r="E246" s="7" t="s">
        <v>16511</v>
      </c>
      <c r="F246" s="7" t="s">
        <v>16512</v>
      </c>
      <c r="G246" s="7" t="s">
        <v>16513</v>
      </c>
      <c r="H246" s="7" t="s">
        <v>50</v>
      </c>
      <c r="I246" s="7" t="s">
        <v>16335</v>
      </c>
      <c r="J246" s="7" t="s">
        <v>16347</v>
      </c>
      <c r="K246" s="12">
        <v>1</v>
      </c>
    </row>
    <row r="247" spans="2:11" ht="37.5" customHeight="1" x14ac:dyDescent="0.35">
      <c r="B247" s="11">
        <v>20</v>
      </c>
      <c r="C247" s="5" t="s">
        <v>16323</v>
      </c>
      <c r="D247" s="11">
        <v>70</v>
      </c>
      <c r="E247" s="5" t="s">
        <v>16514</v>
      </c>
      <c r="F247" s="5" t="s">
        <v>16515</v>
      </c>
      <c r="G247" s="5" t="s">
        <v>16516</v>
      </c>
      <c r="H247" s="5" t="s">
        <v>50</v>
      </c>
      <c r="I247" s="5" t="s">
        <v>16335</v>
      </c>
      <c r="J247" s="5" t="s">
        <v>16347</v>
      </c>
      <c r="K247" s="11">
        <v>1</v>
      </c>
    </row>
    <row r="248" spans="2:11" ht="37.5" customHeight="1" x14ac:dyDescent="0.35">
      <c r="B248" s="12">
        <v>20</v>
      </c>
      <c r="C248" s="7" t="s">
        <v>16323</v>
      </c>
      <c r="D248" s="12">
        <v>71</v>
      </c>
      <c r="E248" s="7" t="s">
        <v>16517</v>
      </c>
      <c r="F248" s="7" t="s">
        <v>16518</v>
      </c>
      <c r="G248" s="7" t="s">
        <v>16519</v>
      </c>
      <c r="H248" s="7" t="s">
        <v>50</v>
      </c>
      <c r="I248" s="7" t="s">
        <v>16335</v>
      </c>
      <c r="J248" s="7" t="s">
        <v>16347</v>
      </c>
      <c r="K248" s="12">
        <v>1</v>
      </c>
    </row>
    <row r="249" spans="2:11" ht="37.5" customHeight="1" x14ac:dyDescent="0.35">
      <c r="B249" s="11">
        <v>20</v>
      </c>
      <c r="C249" s="5" t="s">
        <v>16323</v>
      </c>
      <c r="D249" s="11">
        <v>72</v>
      </c>
      <c r="E249" s="5" t="s">
        <v>16520</v>
      </c>
      <c r="F249" s="5" t="s">
        <v>16521</v>
      </c>
      <c r="G249" s="5" t="s">
        <v>16522</v>
      </c>
      <c r="H249" s="5" t="s">
        <v>50</v>
      </c>
      <c r="I249" s="5" t="s">
        <v>16335</v>
      </c>
      <c r="J249" s="5" t="s">
        <v>16347</v>
      </c>
      <c r="K249" s="11">
        <v>1</v>
      </c>
    </row>
    <row r="250" spans="2:11" ht="37.5" customHeight="1" x14ac:dyDescent="0.35">
      <c r="B250" s="12">
        <v>20</v>
      </c>
      <c r="C250" s="7" t="s">
        <v>16323</v>
      </c>
      <c r="D250" s="12">
        <v>73</v>
      </c>
      <c r="E250" s="7" t="s">
        <v>16523</v>
      </c>
      <c r="F250" s="7" t="s">
        <v>16524</v>
      </c>
      <c r="G250" s="7" t="s">
        <v>16525</v>
      </c>
      <c r="H250" s="7" t="s">
        <v>50</v>
      </c>
      <c r="I250" s="7" t="s">
        <v>16335</v>
      </c>
      <c r="J250" s="7" t="s">
        <v>16347</v>
      </c>
      <c r="K250" s="12">
        <v>1</v>
      </c>
    </row>
    <row r="251" spans="2:11" ht="37.5" customHeight="1" x14ac:dyDescent="0.35">
      <c r="B251" s="11">
        <v>20</v>
      </c>
      <c r="C251" s="5" t="s">
        <v>16323</v>
      </c>
      <c r="D251" s="11">
        <v>74</v>
      </c>
      <c r="E251" s="5" t="s">
        <v>16526</v>
      </c>
      <c r="F251" s="5" t="s">
        <v>16527</v>
      </c>
      <c r="G251" s="5" t="s">
        <v>16528</v>
      </c>
      <c r="H251" s="5" t="s">
        <v>50</v>
      </c>
      <c r="I251" s="5" t="s">
        <v>16335</v>
      </c>
      <c r="J251" s="5" t="s">
        <v>16347</v>
      </c>
      <c r="K251" s="11">
        <v>1</v>
      </c>
    </row>
    <row r="252" spans="2:11" ht="37.5" customHeight="1" x14ac:dyDescent="0.35">
      <c r="B252" s="12">
        <v>20</v>
      </c>
      <c r="C252" s="7" t="s">
        <v>16323</v>
      </c>
      <c r="D252" s="12">
        <v>75</v>
      </c>
      <c r="E252" s="7" t="s">
        <v>16529</v>
      </c>
      <c r="F252" s="7" t="s">
        <v>16530</v>
      </c>
      <c r="G252" s="7" t="s">
        <v>16531</v>
      </c>
      <c r="H252" s="7" t="s">
        <v>50</v>
      </c>
      <c r="I252" s="7" t="s">
        <v>16335</v>
      </c>
      <c r="J252" s="7" t="s">
        <v>16347</v>
      </c>
      <c r="K252" s="12">
        <v>1</v>
      </c>
    </row>
    <row r="253" spans="2:11" ht="37.5" customHeight="1" x14ac:dyDescent="0.35">
      <c r="B253" s="11">
        <v>20</v>
      </c>
      <c r="C253" s="5" t="s">
        <v>16323</v>
      </c>
      <c r="D253" s="11">
        <v>76</v>
      </c>
      <c r="E253" s="5" t="s">
        <v>16532</v>
      </c>
      <c r="F253" s="5" t="s">
        <v>16533</v>
      </c>
      <c r="G253" s="5" t="s">
        <v>16439</v>
      </c>
      <c r="H253" s="5" t="s">
        <v>50</v>
      </c>
      <c r="I253" s="5" t="s">
        <v>16335</v>
      </c>
      <c r="J253" s="5" t="s">
        <v>16347</v>
      </c>
      <c r="K253" s="11">
        <v>1</v>
      </c>
    </row>
    <row r="254" spans="2:11" ht="37.5" customHeight="1" x14ac:dyDescent="0.35">
      <c r="B254" s="12">
        <v>20</v>
      </c>
      <c r="C254" s="7" t="s">
        <v>16323</v>
      </c>
      <c r="D254" s="12">
        <v>77</v>
      </c>
      <c r="E254" s="7" t="s">
        <v>16534</v>
      </c>
      <c r="F254" s="7" t="s">
        <v>16535</v>
      </c>
      <c r="G254" s="7" t="s">
        <v>16536</v>
      </c>
      <c r="H254" s="7" t="s">
        <v>50</v>
      </c>
      <c r="I254" s="7" t="s">
        <v>16335</v>
      </c>
      <c r="J254" s="7" t="s">
        <v>16347</v>
      </c>
      <c r="K254" s="12">
        <v>1</v>
      </c>
    </row>
    <row r="255" spans="2:11" ht="37.5" customHeight="1" x14ac:dyDescent="0.35">
      <c r="B255" s="11">
        <v>20</v>
      </c>
      <c r="C255" s="5" t="s">
        <v>16323</v>
      </c>
      <c r="D255" s="11">
        <v>78</v>
      </c>
      <c r="E255" s="5" t="s">
        <v>16537</v>
      </c>
      <c r="F255" s="5" t="s">
        <v>16538</v>
      </c>
      <c r="G255" s="5" t="s">
        <v>16539</v>
      </c>
      <c r="H255" s="5" t="s">
        <v>50</v>
      </c>
      <c r="I255" s="5" t="s">
        <v>16335</v>
      </c>
      <c r="J255" s="5" t="s">
        <v>16347</v>
      </c>
      <c r="K255" s="11">
        <v>1</v>
      </c>
    </row>
    <row r="256" spans="2:11" ht="37.5" customHeight="1" x14ac:dyDescent="0.35">
      <c r="B256" s="12">
        <v>20</v>
      </c>
      <c r="C256" s="7" t="s">
        <v>16323</v>
      </c>
      <c r="D256" s="12">
        <v>79</v>
      </c>
      <c r="E256" s="7" t="s">
        <v>16540</v>
      </c>
      <c r="F256" s="7" t="s">
        <v>16541</v>
      </c>
      <c r="G256" s="7" t="s">
        <v>16542</v>
      </c>
      <c r="H256" s="7" t="s">
        <v>50</v>
      </c>
      <c r="I256" s="7" t="s">
        <v>16335</v>
      </c>
      <c r="J256" s="7" t="s">
        <v>16347</v>
      </c>
      <c r="K256" s="12">
        <v>1</v>
      </c>
    </row>
    <row r="257" spans="2:11" ht="37.5" customHeight="1" x14ac:dyDescent="0.35">
      <c r="B257" s="11">
        <v>20</v>
      </c>
      <c r="C257" s="5" t="s">
        <v>16323</v>
      </c>
      <c r="D257" s="11">
        <v>80</v>
      </c>
      <c r="E257" s="5" t="s">
        <v>16543</v>
      </c>
      <c r="F257" s="5" t="s">
        <v>16544</v>
      </c>
      <c r="G257" s="5" t="s">
        <v>16545</v>
      </c>
      <c r="H257" s="5" t="s">
        <v>50</v>
      </c>
      <c r="I257" s="5" t="s">
        <v>16335</v>
      </c>
      <c r="J257" s="5" t="s">
        <v>16347</v>
      </c>
      <c r="K257" s="11">
        <v>1</v>
      </c>
    </row>
    <row r="258" spans="2:11" ht="37.5" customHeight="1" x14ac:dyDescent="0.35">
      <c r="B258" s="12">
        <v>20</v>
      </c>
      <c r="C258" s="7" t="s">
        <v>16323</v>
      </c>
      <c r="D258" s="12">
        <v>81</v>
      </c>
      <c r="E258" s="7" t="s">
        <v>16546</v>
      </c>
      <c r="F258" s="7" t="s">
        <v>16547</v>
      </c>
      <c r="G258" s="7" t="s">
        <v>16548</v>
      </c>
      <c r="H258" s="7" t="s">
        <v>50</v>
      </c>
      <c r="I258" s="7" t="s">
        <v>16335</v>
      </c>
      <c r="J258" s="7" t="s">
        <v>16347</v>
      </c>
      <c r="K258" s="12">
        <v>1</v>
      </c>
    </row>
    <row r="259" spans="2:11" ht="37.5" customHeight="1" x14ac:dyDescent="0.35">
      <c r="B259" s="11">
        <v>20</v>
      </c>
      <c r="C259" s="5" t="s">
        <v>16323</v>
      </c>
      <c r="D259" s="11">
        <v>82</v>
      </c>
      <c r="E259" s="5" t="s">
        <v>16549</v>
      </c>
      <c r="F259" s="5" t="s">
        <v>16550</v>
      </c>
      <c r="G259" s="5" t="s">
        <v>16551</v>
      </c>
      <c r="H259" s="5" t="s">
        <v>50</v>
      </c>
      <c r="I259" s="5" t="s">
        <v>16335</v>
      </c>
      <c r="J259" s="5" t="s">
        <v>16347</v>
      </c>
      <c r="K259" s="11">
        <v>1</v>
      </c>
    </row>
    <row r="260" spans="2:11" ht="37.5" customHeight="1" x14ac:dyDescent="0.35">
      <c r="B260" s="12">
        <v>20</v>
      </c>
      <c r="C260" s="7" t="s">
        <v>16323</v>
      </c>
      <c r="D260" s="12">
        <v>83</v>
      </c>
      <c r="E260" s="7" t="s">
        <v>16552</v>
      </c>
      <c r="F260" s="7" t="s">
        <v>16553</v>
      </c>
      <c r="G260" s="7" t="s">
        <v>16554</v>
      </c>
      <c r="H260" s="7" t="s">
        <v>50</v>
      </c>
      <c r="I260" s="7" t="s">
        <v>16335</v>
      </c>
      <c r="J260" s="7" t="s">
        <v>16347</v>
      </c>
      <c r="K260" s="12">
        <v>1</v>
      </c>
    </row>
    <row r="261" spans="2:11" ht="37.5" customHeight="1" x14ac:dyDescent="0.35">
      <c r="B261" s="11">
        <v>20</v>
      </c>
      <c r="C261" s="5" t="s">
        <v>16323</v>
      </c>
      <c r="D261" s="11">
        <v>84</v>
      </c>
      <c r="E261" s="5" t="s">
        <v>16555</v>
      </c>
      <c r="F261" s="5" t="s">
        <v>16556</v>
      </c>
      <c r="G261" s="5" t="s">
        <v>16557</v>
      </c>
      <c r="H261" s="5" t="s">
        <v>50</v>
      </c>
      <c r="I261" s="5" t="s">
        <v>16335</v>
      </c>
      <c r="J261" s="5" t="s">
        <v>16347</v>
      </c>
      <c r="K261" s="11">
        <v>1</v>
      </c>
    </row>
    <row r="262" spans="2:11" ht="37.5" customHeight="1" x14ac:dyDescent="0.35">
      <c r="B262" s="12">
        <v>20</v>
      </c>
      <c r="C262" s="7" t="s">
        <v>16323</v>
      </c>
      <c r="D262" s="12">
        <v>85</v>
      </c>
      <c r="E262" s="7" t="s">
        <v>16558</v>
      </c>
      <c r="F262" s="7" t="s">
        <v>16559</v>
      </c>
      <c r="G262" s="7" t="s">
        <v>244</v>
      </c>
      <c r="H262" s="7" t="s">
        <v>50</v>
      </c>
      <c r="I262" s="7" t="s">
        <v>16335</v>
      </c>
      <c r="J262" s="7" t="s">
        <v>16347</v>
      </c>
      <c r="K262" s="12">
        <v>1</v>
      </c>
    </row>
    <row r="263" spans="2:11" ht="37.5" customHeight="1" x14ac:dyDescent="0.35">
      <c r="B263" s="11">
        <v>20</v>
      </c>
      <c r="C263" s="5" t="s">
        <v>16323</v>
      </c>
      <c r="D263" s="11">
        <v>86</v>
      </c>
      <c r="E263" s="5" t="s">
        <v>16560</v>
      </c>
      <c r="F263" s="5" t="s">
        <v>16561</v>
      </c>
      <c r="G263" s="5" t="s">
        <v>16562</v>
      </c>
      <c r="H263" s="5" t="s">
        <v>50</v>
      </c>
      <c r="I263" s="5" t="s">
        <v>16335</v>
      </c>
      <c r="J263" s="5" t="s">
        <v>16347</v>
      </c>
      <c r="K263" s="11">
        <v>1</v>
      </c>
    </row>
    <row r="264" spans="2:11" ht="37.5" customHeight="1" x14ac:dyDescent="0.35">
      <c r="B264" s="12">
        <v>20</v>
      </c>
      <c r="C264" s="7" t="s">
        <v>16323</v>
      </c>
      <c r="D264" s="12">
        <v>87</v>
      </c>
      <c r="E264" s="7" t="s">
        <v>16563</v>
      </c>
      <c r="F264" s="7" t="s">
        <v>16564</v>
      </c>
      <c r="G264" s="7" t="s">
        <v>16565</v>
      </c>
      <c r="H264" s="7" t="s">
        <v>50</v>
      </c>
      <c r="I264" s="7" t="s">
        <v>16335</v>
      </c>
      <c r="J264" s="7" t="s">
        <v>16347</v>
      </c>
      <c r="K264" s="12">
        <v>1</v>
      </c>
    </row>
    <row r="265" spans="2:11" ht="37.5" customHeight="1" x14ac:dyDescent="0.35">
      <c r="B265" s="11">
        <v>20</v>
      </c>
      <c r="C265" s="5" t="s">
        <v>16323</v>
      </c>
      <c r="D265" s="11">
        <v>88</v>
      </c>
      <c r="E265" s="5" t="s">
        <v>16566</v>
      </c>
      <c r="F265" s="5" t="s">
        <v>16567</v>
      </c>
      <c r="G265" s="5" t="s">
        <v>15835</v>
      </c>
      <c r="H265" s="5" t="s">
        <v>50</v>
      </c>
      <c r="I265" s="5" t="s">
        <v>16335</v>
      </c>
      <c r="J265" s="5" t="s">
        <v>16347</v>
      </c>
      <c r="K265" s="11">
        <v>1</v>
      </c>
    </row>
    <row r="266" spans="2:11" ht="37.5" customHeight="1" x14ac:dyDescent="0.35">
      <c r="B266" s="12">
        <v>20</v>
      </c>
      <c r="C266" s="7" t="s">
        <v>16323</v>
      </c>
      <c r="D266" s="12">
        <v>89</v>
      </c>
      <c r="E266" s="7" t="s">
        <v>16568</v>
      </c>
      <c r="F266" s="7" t="s">
        <v>16569</v>
      </c>
      <c r="G266" s="7" t="s">
        <v>16570</v>
      </c>
      <c r="H266" s="7" t="s">
        <v>50</v>
      </c>
      <c r="I266" s="7" t="s">
        <v>16335</v>
      </c>
      <c r="J266" s="7" t="s">
        <v>16347</v>
      </c>
      <c r="K266" s="12">
        <v>1</v>
      </c>
    </row>
    <row r="267" spans="2:11" ht="37.5" customHeight="1" x14ac:dyDescent="0.35">
      <c r="B267" s="11">
        <v>20</v>
      </c>
      <c r="C267" s="5" t="s">
        <v>16323</v>
      </c>
      <c r="D267" s="11">
        <v>90</v>
      </c>
      <c r="E267" s="5" t="s">
        <v>16571</v>
      </c>
      <c r="F267" s="5" t="s">
        <v>16572</v>
      </c>
      <c r="G267" s="5" t="s">
        <v>4811</v>
      </c>
      <c r="H267" s="5" t="s">
        <v>50</v>
      </c>
      <c r="I267" s="5" t="s">
        <v>16335</v>
      </c>
      <c r="J267" s="5" t="s">
        <v>16347</v>
      </c>
      <c r="K267" s="11">
        <v>1</v>
      </c>
    </row>
    <row r="268" spans="2:11" ht="37.5" customHeight="1" x14ac:dyDescent="0.35">
      <c r="B268" s="12">
        <v>20</v>
      </c>
      <c r="C268" s="7" t="s">
        <v>16323</v>
      </c>
      <c r="D268" s="12">
        <v>91</v>
      </c>
      <c r="E268" s="7" t="s">
        <v>16573</v>
      </c>
      <c r="F268" s="7" t="s">
        <v>16574</v>
      </c>
      <c r="G268" s="7" t="s">
        <v>16575</v>
      </c>
      <c r="H268" s="7" t="s">
        <v>50</v>
      </c>
      <c r="I268" s="7" t="s">
        <v>16335</v>
      </c>
      <c r="J268" s="7" t="s">
        <v>16347</v>
      </c>
      <c r="K268" s="12">
        <v>1</v>
      </c>
    </row>
    <row r="269" spans="2:11" ht="37.5" customHeight="1" x14ac:dyDescent="0.35">
      <c r="B269" s="11">
        <v>20</v>
      </c>
      <c r="C269" s="5" t="s">
        <v>16323</v>
      </c>
      <c r="D269" s="11">
        <v>92</v>
      </c>
      <c r="E269" s="5" t="s">
        <v>16576</v>
      </c>
      <c r="F269" s="5" t="s">
        <v>16577</v>
      </c>
      <c r="G269" s="5" t="s">
        <v>16578</v>
      </c>
      <c r="H269" s="5" t="s">
        <v>50</v>
      </c>
      <c r="I269" s="5" t="s">
        <v>16335</v>
      </c>
      <c r="J269" s="5" t="s">
        <v>16347</v>
      </c>
      <c r="K269" s="11">
        <v>1</v>
      </c>
    </row>
    <row r="270" spans="2:11" ht="37.5" customHeight="1" x14ac:dyDescent="0.35">
      <c r="B270" s="12">
        <v>20</v>
      </c>
      <c r="C270" s="7" t="s">
        <v>16323</v>
      </c>
      <c r="D270" s="12">
        <v>93</v>
      </c>
      <c r="E270" s="7" t="s">
        <v>16579</v>
      </c>
      <c r="F270" s="7" t="s">
        <v>16580</v>
      </c>
      <c r="G270" s="7" t="s">
        <v>15998</v>
      </c>
      <c r="H270" s="7" t="s">
        <v>50</v>
      </c>
      <c r="I270" s="7" t="s">
        <v>16335</v>
      </c>
      <c r="J270" s="7" t="s">
        <v>16347</v>
      </c>
      <c r="K270" s="12">
        <v>1</v>
      </c>
    </row>
    <row r="271" spans="2:11" ht="37.5" customHeight="1" x14ac:dyDescent="0.35">
      <c r="B271" s="11">
        <v>20</v>
      </c>
      <c r="C271" s="5" t="s">
        <v>16323</v>
      </c>
      <c r="D271" s="11">
        <v>94</v>
      </c>
      <c r="E271" s="5" t="s">
        <v>16581</v>
      </c>
      <c r="F271" s="5" t="s">
        <v>16582</v>
      </c>
      <c r="G271" s="5" t="s">
        <v>16583</v>
      </c>
      <c r="H271" s="5" t="s">
        <v>50</v>
      </c>
      <c r="I271" s="5" t="s">
        <v>16335</v>
      </c>
      <c r="J271" s="5" t="s">
        <v>16347</v>
      </c>
      <c r="K271" s="11">
        <v>1</v>
      </c>
    </row>
    <row r="272" spans="2:11" ht="37.5" customHeight="1" x14ac:dyDescent="0.35">
      <c r="B272" s="12">
        <v>20</v>
      </c>
      <c r="C272" s="7" t="s">
        <v>16323</v>
      </c>
      <c r="D272" s="12">
        <v>95</v>
      </c>
      <c r="E272" s="7" t="s">
        <v>16584</v>
      </c>
      <c r="F272" s="7" t="s">
        <v>16585</v>
      </c>
      <c r="G272" s="7" t="s">
        <v>16586</v>
      </c>
      <c r="H272" s="7" t="s">
        <v>50</v>
      </c>
      <c r="I272" s="7" t="s">
        <v>16335</v>
      </c>
      <c r="J272" s="7" t="s">
        <v>16347</v>
      </c>
      <c r="K272" s="12">
        <v>1</v>
      </c>
    </row>
    <row r="273" spans="2:11" ht="37.5" customHeight="1" x14ac:dyDescent="0.35">
      <c r="B273" s="11">
        <v>20</v>
      </c>
      <c r="C273" s="5" t="s">
        <v>16323</v>
      </c>
      <c r="D273" s="11">
        <v>96</v>
      </c>
      <c r="E273" s="5" t="s">
        <v>16587</v>
      </c>
      <c r="F273" s="5" t="s">
        <v>16588</v>
      </c>
      <c r="G273" s="5" t="s">
        <v>16589</v>
      </c>
      <c r="H273" s="5" t="s">
        <v>50</v>
      </c>
      <c r="I273" s="5" t="s">
        <v>16335</v>
      </c>
      <c r="J273" s="5" t="s">
        <v>16347</v>
      </c>
      <c r="K273" s="11">
        <v>1</v>
      </c>
    </row>
    <row r="274" spans="2:11" ht="37.5" customHeight="1" x14ac:dyDescent="0.35">
      <c r="B274" s="12">
        <v>20</v>
      </c>
      <c r="C274" s="7" t="s">
        <v>16323</v>
      </c>
      <c r="D274" s="12">
        <v>97</v>
      </c>
      <c r="E274" s="7" t="s">
        <v>16590</v>
      </c>
      <c r="F274" s="7" t="s">
        <v>16591</v>
      </c>
      <c r="G274" s="7" t="s">
        <v>16592</v>
      </c>
      <c r="H274" s="7" t="s">
        <v>50</v>
      </c>
      <c r="I274" s="7" t="s">
        <v>16335</v>
      </c>
      <c r="J274" s="7" t="s">
        <v>16347</v>
      </c>
      <c r="K274" s="12">
        <v>1</v>
      </c>
    </row>
    <row r="275" spans="2:11" ht="37.5" customHeight="1" x14ac:dyDescent="0.35">
      <c r="B275" s="11">
        <v>20</v>
      </c>
      <c r="C275" s="5" t="s">
        <v>16323</v>
      </c>
      <c r="D275" s="11">
        <v>98</v>
      </c>
      <c r="E275" s="5" t="s">
        <v>16593</v>
      </c>
      <c r="F275" s="5" t="s">
        <v>16594</v>
      </c>
      <c r="G275" s="5" t="s">
        <v>16595</v>
      </c>
      <c r="H275" s="5" t="s">
        <v>50</v>
      </c>
      <c r="I275" s="5" t="s">
        <v>16335</v>
      </c>
      <c r="J275" s="5" t="s">
        <v>16347</v>
      </c>
      <c r="K275" s="11">
        <v>1</v>
      </c>
    </row>
    <row r="276" spans="2:11" ht="37.5" customHeight="1" x14ac:dyDescent="0.35">
      <c r="B276" s="12">
        <v>20</v>
      </c>
      <c r="C276" s="7" t="s">
        <v>16323</v>
      </c>
      <c r="D276" s="12">
        <v>99</v>
      </c>
      <c r="E276" s="7" t="s">
        <v>16596</v>
      </c>
      <c r="F276" s="7" t="s">
        <v>16597</v>
      </c>
      <c r="G276" s="7" t="s">
        <v>16350</v>
      </c>
      <c r="H276" s="7" t="s">
        <v>50</v>
      </c>
      <c r="I276" s="7" t="s">
        <v>16335</v>
      </c>
      <c r="J276" s="7" t="s">
        <v>16347</v>
      </c>
      <c r="K276" s="12">
        <v>1</v>
      </c>
    </row>
    <row r="277" spans="2:11" ht="37.5" customHeight="1" x14ac:dyDescent="0.35">
      <c r="B277" s="11">
        <v>20</v>
      </c>
      <c r="C277" s="5" t="s">
        <v>16323</v>
      </c>
      <c r="D277" s="11">
        <v>100</v>
      </c>
      <c r="E277" s="5" t="s">
        <v>16598</v>
      </c>
      <c r="F277" s="5" t="s">
        <v>16599</v>
      </c>
      <c r="G277" s="5" t="s">
        <v>16600</v>
      </c>
      <c r="H277" s="5" t="s">
        <v>50</v>
      </c>
      <c r="I277" s="5" t="s">
        <v>16335</v>
      </c>
      <c r="J277" s="5" t="s">
        <v>16347</v>
      </c>
      <c r="K277" s="11">
        <v>1</v>
      </c>
    </row>
    <row r="278" spans="2:11" ht="37.5" customHeight="1" x14ac:dyDescent="0.35">
      <c r="B278" s="12">
        <v>20</v>
      </c>
      <c r="C278" s="7" t="s">
        <v>16323</v>
      </c>
      <c r="D278" s="12">
        <v>101</v>
      </c>
      <c r="E278" s="7" t="s">
        <v>16601</v>
      </c>
      <c r="F278" s="7" t="s">
        <v>16602</v>
      </c>
      <c r="G278" s="7" t="s">
        <v>16603</v>
      </c>
      <c r="H278" s="7" t="s">
        <v>50</v>
      </c>
      <c r="I278" s="7" t="s">
        <v>16335</v>
      </c>
      <c r="J278" s="7" t="s">
        <v>16347</v>
      </c>
      <c r="K278" s="12">
        <v>1</v>
      </c>
    </row>
    <row r="279" spans="2:11" ht="37.5" customHeight="1" x14ac:dyDescent="0.35">
      <c r="B279" s="11">
        <v>20</v>
      </c>
      <c r="C279" s="5" t="s">
        <v>16323</v>
      </c>
      <c r="D279" s="11">
        <v>102</v>
      </c>
      <c r="E279" s="5" t="s">
        <v>16604</v>
      </c>
      <c r="F279" s="5" t="s">
        <v>16605</v>
      </c>
      <c r="G279" s="5" t="s">
        <v>16606</v>
      </c>
      <c r="H279" s="5" t="s">
        <v>50</v>
      </c>
      <c r="I279" s="5" t="s">
        <v>16335</v>
      </c>
      <c r="J279" s="5" t="s">
        <v>16347</v>
      </c>
      <c r="K279" s="11">
        <v>1</v>
      </c>
    </row>
    <row r="280" spans="2:11" ht="37.5" customHeight="1" x14ac:dyDescent="0.35">
      <c r="B280" s="12">
        <v>20</v>
      </c>
      <c r="C280" s="7" t="s">
        <v>16323</v>
      </c>
      <c r="D280" s="12">
        <v>103</v>
      </c>
      <c r="E280" s="7" t="s">
        <v>16607</v>
      </c>
      <c r="F280" s="7" t="s">
        <v>16608</v>
      </c>
      <c r="G280" s="7" t="s">
        <v>16609</v>
      </c>
      <c r="H280" s="7" t="s">
        <v>50</v>
      </c>
      <c r="I280" s="7" t="s">
        <v>16335</v>
      </c>
      <c r="J280" s="7" t="s">
        <v>16347</v>
      </c>
      <c r="K280" s="12">
        <v>1</v>
      </c>
    </row>
    <row r="281" spans="2:11" ht="37.5" customHeight="1" x14ac:dyDescent="0.35">
      <c r="B281" s="11">
        <v>20</v>
      </c>
      <c r="C281" s="5" t="s">
        <v>16323</v>
      </c>
      <c r="D281" s="11">
        <v>104</v>
      </c>
      <c r="E281" s="5" t="s">
        <v>16610</v>
      </c>
      <c r="F281" s="5" t="s">
        <v>16611</v>
      </c>
      <c r="G281" s="5" t="s">
        <v>16612</v>
      </c>
      <c r="H281" s="5" t="s">
        <v>50</v>
      </c>
      <c r="I281" s="5" t="s">
        <v>16335</v>
      </c>
      <c r="J281" s="5" t="s">
        <v>16347</v>
      </c>
      <c r="K281" s="11">
        <v>1</v>
      </c>
    </row>
    <row r="282" spans="2:11" ht="37.5" customHeight="1" x14ac:dyDescent="0.35">
      <c r="B282" s="12">
        <v>20</v>
      </c>
      <c r="C282" s="7" t="s">
        <v>16323</v>
      </c>
      <c r="D282" s="12">
        <v>105</v>
      </c>
      <c r="E282" s="7" t="s">
        <v>16613</v>
      </c>
      <c r="F282" s="7" t="s">
        <v>16614</v>
      </c>
      <c r="G282" s="7" t="s">
        <v>16615</v>
      </c>
      <c r="H282" s="7" t="s">
        <v>50</v>
      </c>
      <c r="I282" s="7" t="s">
        <v>16335</v>
      </c>
      <c r="J282" s="7" t="s">
        <v>16347</v>
      </c>
      <c r="K282" s="12">
        <v>1</v>
      </c>
    </row>
    <row r="283" spans="2:11" ht="37.5" customHeight="1" x14ac:dyDescent="0.35">
      <c r="B283" s="11">
        <v>20</v>
      </c>
      <c r="C283" s="5" t="s">
        <v>16323</v>
      </c>
      <c r="D283" s="11">
        <v>106</v>
      </c>
      <c r="E283" s="5" t="s">
        <v>16616</v>
      </c>
      <c r="F283" s="5" t="s">
        <v>16617</v>
      </c>
      <c r="G283" s="5" t="s">
        <v>16618</v>
      </c>
      <c r="H283" s="5" t="s">
        <v>50</v>
      </c>
      <c r="I283" s="5" t="s">
        <v>16335</v>
      </c>
      <c r="J283" s="5" t="s">
        <v>16347</v>
      </c>
      <c r="K283" s="11">
        <v>1</v>
      </c>
    </row>
    <row r="284" spans="2:11" ht="37.5" customHeight="1" x14ac:dyDescent="0.35">
      <c r="B284" s="12">
        <v>20</v>
      </c>
      <c r="C284" s="7" t="s">
        <v>16323</v>
      </c>
      <c r="D284" s="12">
        <v>107</v>
      </c>
      <c r="E284" s="7" t="s">
        <v>16619</v>
      </c>
      <c r="F284" s="7" t="s">
        <v>16620</v>
      </c>
      <c r="G284" s="7" t="s">
        <v>16621</v>
      </c>
      <c r="H284" s="7" t="s">
        <v>50</v>
      </c>
      <c r="I284" s="7" t="s">
        <v>16335</v>
      </c>
      <c r="J284" s="7" t="s">
        <v>16347</v>
      </c>
      <c r="K284" s="12">
        <v>1</v>
      </c>
    </row>
    <row r="285" spans="2:11" ht="37.5" customHeight="1" x14ac:dyDescent="0.35">
      <c r="B285" s="11">
        <v>20</v>
      </c>
      <c r="C285" s="5" t="s">
        <v>16323</v>
      </c>
      <c r="D285" s="11">
        <v>108</v>
      </c>
      <c r="E285" s="5" t="s">
        <v>16622</v>
      </c>
      <c r="F285" s="5" t="s">
        <v>16623</v>
      </c>
      <c r="G285" s="5" t="s">
        <v>16624</v>
      </c>
      <c r="H285" s="5" t="s">
        <v>50</v>
      </c>
      <c r="I285" s="5" t="s">
        <v>16335</v>
      </c>
      <c r="J285" s="5" t="s">
        <v>16347</v>
      </c>
      <c r="K285" s="11">
        <v>1</v>
      </c>
    </row>
    <row r="286" spans="2:11" ht="37.5" customHeight="1" x14ac:dyDescent="0.35">
      <c r="B286" s="12">
        <v>20</v>
      </c>
      <c r="C286" s="7" t="s">
        <v>16323</v>
      </c>
      <c r="D286" s="12">
        <v>109</v>
      </c>
      <c r="E286" s="7" t="s">
        <v>16625</v>
      </c>
      <c r="F286" s="7" t="s">
        <v>16626</v>
      </c>
      <c r="G286" s="7" t="s">
        <v>16627</v>
      </c>
      <c r="H286" s="7" t="s">
        <v>50</v>
      </c>
      <c r="I286" s="7" t="s">
        <v>16335</v>
      </c>
      <c r="J286" s="7" t="s">
        <v>16347</v>
      </c>
      <c r="K286" s="12">
        <v>1</v>
      </c>
    </row>
    <row r="287" spans="2:11" ht="37.5" customHeight="1" x14ac:dyDescent="0.35">
      <c r="B287" s="11">
        <v>20</v>
      </c>
      <c r="C287" s="5" t="s">
        <v>16323</v>
      </c>
      <c r="D287" s="11">
        <v>110</v>
      </c>
      <c r="E287" s="5" t="s">
        <v>16628</v>
      </c>
      <c r="F287" s="5" t="s">
        <v>16629</v>
      </c>
      <c r="G287" s="5" t="s">
        <v>16630</v>
      </c>
      <c r="H287" s="5" t="s">
        <v>50</v>
      </c>
      <c r="I287" s="5" t="s">
        <v>16335</v>
      </c>
      <c r="J287" s="5" t="s">
        <v>16347</v>
      </c>
      <c r="K287" s="11">
        <v>1</v>
      </c>
    </row>
    <row r="288" spans="2:11" ht="37.5" customHeight="1" x14ac:dyDescent="0.35">
      <c r="B288" s="12">
        <v>20</v>
      </c>
      <c r="C288" s="7" t="s">
        <v>16323</v>
      </c>
      <c r="D288" s="12">
        <v>111</v>
      </c>
      <c r="E288" s="7" t="s">
        <v>16631</v>
      </c>
      <c r="F288" s="7" t="s">
        <v>16632</v>
      </c>
      <c r="G288" s="7" t="s">
        <v>16633</v>
      </c>
      <c r="H288" s="7" t="s">
        <v>50</v>
      </c>
      <c r="I288" s="7" t="s">
        <v>16335</v>
      </c>
      <c r="J288" s="7" t="s">
        <v>16347</v>
      </c>
      <c r="K288" s="12">
        <v>1</v>
      </c>
    </row>
    <row r="289" spans="2:11" ht="37.5" customHeight="1" x14ac:dyDescent="0.35">
      <c r="B289" s="11">
        <v>20</v>
      </c>
      <c r="C289" s="5" t="s">
        <v>16323</v>
      </c>
      <c r="D289" s="11">
        <v>112</v>
      </c>
      <c r="E289" s="5" t="s">
        <v>16634</v>
      </c>
      <c r="F289" s="5" t="s">
        <v>16635</v>
      </c>
      <c r="G289" s="5" t="s">
        <v>16404</v>
      </c>
      <c r="H289" s="5" t="s">
        <v>50</v>
      </c>
      <c r="I289" s="5" t="s">
        <v>16335</v>
      </c>
      <c r="J289" s="5" t="s">
        <v>16347</v>
      </c>
      <c r="K289" s="11">
        <v>1</v>
      </c>
    </row>
    <row r="290" spans="2:11" ht="37.5" customHeight="1" x14ac:dyDescent="0.35">
      <c r="B290" s="12">
        <v>20</v>
      </c>
      <c r="C290" s="7" t="s">
        <v>16323</v>
      </c>
      <c r="D290" s="12">
        <v>113</v>
      </c>
      <c r="E290" s="7" t="s">
        <v>16636</v>
      </c>
      <c r="F290" s="7" t="s">
        <v>16635</v>
      </c>
      <c r="G290" s="7" t="s">
        <v>16637</v>
      </c>
      <c r="H290" s="7" t="s">
        <v>50</v>
      </c>
      <c r="I290" s="7" t="s">
        <v>16335</v>
      </c>
      <c r="J290" s="7" t="s">
        <v>16347</v>
      </c>
      <c r="K290" s="12">
        <v>1</v>
      </c>
    </row>
    <row r="291" spans="2:11" ht="37.5" customHeight="1" x14ac:dyDescent="0.35">
      <c r="B291" s="11">
        <v>20</v>
      </c>
      <c r="C291" s="5" t="s">
        <v>16323</v>
      </c>
      <c r="D291" s="11">
        <v>114</v>
      </c>
      <c r="E291" s="5" t="s">
        <v>16638</v>
      </c>
      <c r="F291" s="5" t="s">
        <v>16639</v>
      </c>
      <c r="G291" s="5" t="s">
        <v>16640</v>
      </c>
      <c r="H291" s="5" t="s">
        <v>50</v>
      </c>
      <c r="I291" s="5" t="s">
        <v>16335</v>
      </c>
      <c r="J291" s="5" t="s">
        <v>16347</v>
      </c>
      <c r="K291" s="11">
        <v>1</v>
      </c>
    </row>
    <row r="292" spans="2:11" ht="37.5" customHeight="1" x14ac:dyDescent="0.35">
      <c r="B292" s="12">
        <v>20</v>
      </c>
      <c r="C292" s="7" t="s">
        <v>16323</v>
      </c>
      <c r="D292" s="12">
        <v>115</v>
      </c>
      <c r="E292" s="7" t="s">
        <v>16641</v>
      </c>
      <c r="F292" s="7" t="s">
        <v>16642</v>
      </c>
      <c r="G292" s="7" t="s">
        <v>16640</v>
      </c>
      <c r="H292" s="7" t="s">
        <v>50</v>
      </c>
      <c r="I292" s="7" t="s">
        <v>16335</v>
      </c>
      <c r="J292" s="7" t="s">
        <v>16347</v>
      </c>
      <c r="K292" s="12">
        <v>1</v>
      </c>
    </row>
    <row r="293" spans="2:11" ht="37.5" customHeight="1" x14ac:dyDescent="0.35">
      <c r="B293" s="11">
        <v>20</v>
      </c>
      <c r="C293" s="5" t="s">
        <v>16323</v>
      </c>
      <c r="D293" s="11">
        <v>116</v>
      </c>
      <c r="E293" s="5" t="s">
        <v>16643</v>
      </c>
      <c r="F293" s="5" t="s">
        <v>16644</v>
      </c>
      <c r="G293" s="5" t="s">
        <v>16645</v>
      </c>
      <c r="H293" s="5" t="s">
        <v>50</v>
      </c>
      <c r="I293" s="5" t="s">
        <v>16335</v>
      </c>
      <c r="J293" s="5" t="s">
        <v>16347</v>
      </c>
      <c r="K293" s="11">
        <v>1</v>
      </c>
    </row>
    <row r="294" spans="2:11" ht="37.5" customHeight="1" x14ac:dyDescent="0.35">
      <c r="B294" s="12">
        <v>21</v>
      </c>
      <c r="C294" s="7" t="s">
        <v>16646</v>
      </c>
      <c r="D294" s="12">
        <v>1</v>
      </c>
      <c r="E294" s="7" t="s">
        <v>16647</v>
      </c>
      <c r="F294" s="7" t="s">
        <v>16648</v>
      </c>
      <c r="G294" s="7" t="s">
        <v>15683</v>
      </c>
      <c r="H294" s="7" t="s">
        <v>15696</v>
      </c>
      <c r="I294" s="7" t="s">
        <v>16298</v>
      </c>
      <c r="J294" s="7" t="s">
        <v>16299</v>
      </c>
      <c r="K294" s="12">
        <v>1</v>
      </c>
    </row>
    <row r="295" spans="2:11" ht="37.5" customHeight="1" x14ac:dyDescent="0.35">
      <c r="B295" s="11">
        <v>21</v>
      </c>
      <c r="C295" s="5" t="s">
        <v>16646</v>
      </c>
      <c r="D295" s="11">
        <v>2</v>
      </c>
      <c r="E295" s="5" t="s">
        <v>16649</v>
      </c>
      <c r="F295" s="5" t="s">
        <v>16650</v>
      </c>
      <c r="G295" s="5" t="s">
        <v>16189</v>
      </c>
      <c r="H295" s="5" t="s">
        <v>15696</v>
      </c>
      <c r="I295" s="5" t="s">
        <v>16298</v>
      </c>
      <c r="J295" s="5" t="s">
        <v>16299</v>
      </c>
      <c r="K295" s="11">
        <v>1</v>
      </c>
    </row>
    <row r="296" spans="2:11" ht="37.5" customHeight="1" x14ac:dyDescent="0.35">
      <c r="B296" s="12">
        <v>22</v>
      </c>
      <c r="C296" s="7" t="s">
        <v>16651</v>
      </c>
      <c r="D296" s="12">
        <v>1</v>
      </c>
      <c r="E296" s="7" t="s">
        <v>16652</v>
      </c>
      <c r="F296" s="7" t="s">
        <v>16653</v>
      </c>
      <c r="G296" s="7" t="s">
        <v>16313</v>
      </c>
      <c r="H296" s="7" t="s">
        <v>15696</v>
      </c>
      <c r="I296" s="7" t="s">
        <v>16298</v>
      </c>
      <c r="J296" s="7" t="s">
        <v>16299</v>
      </c>
      <c r="K296" s="12">
        <v>1</v>
      </c>
    </row>
    <row r="297" spans="2:11" ht="37.5" customHeight="1" x14ac:dyDescent="0.35">
      <c r="B297" s="11">
        <v>22</v>
      </c>
      <c r="C297" s="5" t="s">
        <v>16651</v>
      </c>
      <c r="D297" s="11">
        <v>2</v>
      </c>
      <c r="E297" s="5" t="s">
        <v>16654</v>
      </c>
      <c r="F297" s="5" t="s">
        <v>16655</v>
      </c>
      <c r="G297" s="5" t="s">
        <v>16656</v>
      </c>
      <c r="H297" s="5" t="s">
        <v>15696</v>
      </c>
      <c r="I297" s="5" t="s">
        <v>16298</v>
      </c>
      <c r="J297" s="5" t="s">
        <v>16299</v>
      </c>
      <c r="K297" s="11">
        <v>1</v>
      </c>
    </row>
    <row r="298" spans="2:11" ht="37.5" customHeight="1" x14ac:dyDescent="0.35">
      <c r="B298" s="12">
        <v>22</v>
      </c>
      <c r="C298" s="7" t="s">
        <v>16651</v>
      </c>
      <c r="D298" s="12">
        <v>3</v>
      </c>
      <c r="E298" s="7" t="s">
        <v>16657</v>
      </c>
      <c r="F298" s="7" t="s">
        <v>16658</v>
      </c>
      <c r="G298" s="7" t="s">
        <v>16189</v>
      </c>
      <c r="H298" s="7" t="s">
        <v>15696</v>
      </c>
      <c r="I298" s="7" t="s">
        <v>16298</v>
      </c>
      <c r="J298" s="7" t="s">
        <v>16299</v>
      </c>
      <c r="K298" s="12">
        <v>1</v>
      </c>
    </row>
    <row r="299" spans="2:11" ht="37.5" customHeight="1" x14ac:dyDescent="0.35">
      <c r="B299" s="11">
        <v>22</v>
      </c>
      <c r="C299" s="5" t="s">
        <v>16651</v>
      </c>
      <c r="D299" s="11">
        <v>4</v>
      </c>
      <c r="E299" s="5" t="s">
        <v>16659</v>
      </c>
      <c r="F299" s="5" t="s">
        <v>16660</v>
      </c>
      <c r="G299" s="5" t="s">
        <v>16313</v>
      </c>
      <c r="H299" s="5" t="s">
        <v>15696</v>
      </c>
      <c r="I299" s="5" t="s">
        <v>16661</v>
      </c>
      <c r="J299" s="5" t="s">
        <v>16662</v>
      </c>
      <c r="K299" s="11">
        <v>1</v>
      </c>
    </row>
    <row r="300" spans="2:11" ht="37.5" customHeight="1" x14ac:dyDescent="0.35">
      <c r="B300" s="12">
        <v>22</v>
      </c>
      <c r="C300" s="7" t="s">
        <v>16651</v>
      </c>
      <c r="D300" s="12">
        <v>5</v>
      </c>
      <c r="E300" s="7" t="s">
        <v>16663</v>
      </c>
      <c r="F300" s="7" t="s">
        <v>16664</v>
      </c>
      <c r="G300" s="7" t="s">
        <v>16304</v>
      </c>
      <c r="H300" s="7" t="s">
        <v>15696</v>
      </c>
      <c r="I300" s="7" t="s">
        <v>16661</v>
      </c>
      <c r="J300" s="7" t="s">
        <v>16662</v>
      </c>
      <c r="K300" s="12">
        <v>1</v>
      </c>
    </row>
    <row r="301" spans="2:11" ht="37.5" customHeight="1" x14ac:dyDescent="0.35">
      <c r="B301" s="11">
        <v>22</v>
      </c>
      <c r="C301" s="5" t="s">
        <v>16651</v>
      </c>
      <c r="D301" s="11">
        <v>6</v>
      </c>
      <c r="E301" s="5" t="s">
        <v>16665</v>
      </c>
      <c r="F301" s="5" t="s">
        <v>16666</v>
      </c>
      <c r="G301" s="5" t="s">
        <v>16667</v>
      </c>
      <c r="H301" s="5" t="s">
        <v>15696</v>
      </c>
      <c r="I301" s="5" t="s">
        <v>16661</v>
      </c>
      <c r="J301" s="5" t="s">
        <v>16662</v>
      </c>
      <c r="K301" s="11">
        <v>1</v>
      </c>
    </row>
    <row r="302" spans="2:11" ht="37.5" customHeight="1" x14ac:dyDescent="0.35">
      <c r="B302" s="12">
        <v>22</v>
      </c>
      <c r="C302" s="7" t="s">
        <v>16651</v>
      </c>
      <c r="D302" s="12">
        <v>7</v>
      </c>
      <c r="E302" s="7" t="s">
        <v>16668</v>
      </c>
      <c r="F302" s="7" t="s">
        <v>16669</v>
      </c>
      <c r="G302" s="7" t="s">
        <v>16670</v>
      </c>
      <c r="H302" s="7" t="s">
        <v>15696</v>
      </c>
      <c r="I302" s="7" t="s">
        <v>16661</v>
      </c>
      <c r="J302" s="7" t="s">
        <v>16662</v>
      </c>
      <c r="K302" s="12">
        <v>1</v>
      </c>
    </row>
    <row r="303" spans="2:11" ht="37.5" customHeight="1" x14ac:dyDescent="0.35">
      <c r="B303" s="11">
        <v>22</v>
      </c>
      <c r="C303" s="5" t="s">
        <v>16651</v>
      </c>
      <c r="D303" s="11">
        <v>8</v>
      </c>
      <c r="E303" s="5" t="s">
        <v>16671</v>
      </c>
      <c r="F303" s="5" t="s">
        <v>16672</v>
      </c>
      <c r="G303" s="5" t="s">
        <v>7217</v>
      </c>
      <c r="H303" s="5" t="s">
        <v>15696</v>
      </c>
      <c r="I303" s="5" t="s">
        <v>16661</v>
      </c>
      <c r="J303" s="5" t="s">
        <v>16662</v>
      </c>
      <c r="K303" s="11">
        <v>1</v>
      </c>
    </row>
    <row r="304" spans="2:11" ht="37.5" customHeight="1" x14ac:dyDescent="0.35">
      <c r="B304" s="12">
        <v>22</v>
      </c>
      <c r="C304" s="7" t="s">
        <v>16651</v>
      </c>
      <c r="D304" s="12">
        <v>9</v>
      </c>
      <c r="E304" s="7" t="s">
        <v>16673</v>
      </c>
      <c r="F304" s="7" t="s">
        <v>16674</v>
      </c>
      <c r="G304" s="7" t="s">
        <v>16675</v>
      </c>
      <c r="H304" s="7" t="s">
        <v>15696</v>
      </c>
      <c r="I304" s="7" t="s">
        <v>16661</v>
      </c>
      <c r="J304" s="7" t="s">
        <v>16662</v>
      </c>
      <c r="K304" s="12">
        <v>1</v>
      </c>
    </row>
    <row r="305" spans="2:11" ht="21.75" customHeight="1" x14ac:dyDescent="0.35">
      <c r="B305" s="11">
        <v>22</v>
      </c>
      <c r="C305" s="5" t="s">
        <v>16651</v>
      </c>
      <c r="D305" s="11">
        <v>10</v>
      </c>
      <c r="E305" s="5" t="s">
        <v>16676</v>
      </c>
      <c r="F305" s="5" t="s">
        <v>16677</v>
      </c>
      <c r="G305" s="5" t="s">
        <v>16678</v>
      </c>
      <c r="H305" s="5" t="s">
        <v>15696</v>
      </c>
      <c r="I305" s="5" t="s">
        <v>16661</v>
      </c>
      <c r="J305" s="5" t="s">
        <v>16662</v>
      </c>
      <c r="K305" s="11">
        <v>1</v>
      </c>
    </row>
    <row r="306" spans="2:11" ht="37.5" customHeight="1" x14ac:dyDescent="0.35">
      <c r="B306" s="12">
        <v>22</v>
      </c>
      <c r="C306" s="7" t="s">
        <v>16651</v>
      </c>
      <c r="D306" s="12">
        <v>11</v>
      </c>
      <c r="E306" s="7" t="s">
        <v>16679</v>
      </c>
      <c r="F306" s="7" t="s">
        <v>16680</v>
      </c>
      <c r="G306" s="7" t="s">
        <v>16681</v>
      </c>
      <c r="H306" s="7" t="s">
        <v>50</v>
      </c>
      <c r="I306" s="7" t="s">
        <v>16661</v>
      </c>
      <c r="J306" s="7" t="s">
        <v>16682</v>
      </c>
      <c r="K306" s="12">
        <v>1</v>
      </c>
    </row>
    <row r="307" spans="2:11" ht="37.5" customHeight="1" x14ac:dyDescent="0.35">
      <c r="B307" s="11">
        <v>22</v>
      </c>
      <c r="C307" s="5" t="s">
        <v>16651</v>
      </c>
      <c r="D307" s="11">
        <v>12</v>
      </c>
      <c r="E307" s="5" t="s">
        <v>16683</v>
      </c>
      <c r="F307" s="5" t="s">
        <v>16684</v>
      </c>
      <c r="G307" s="5" t="s">
        <v>16685</v>
      </c>
      <c r="H307" s="5" t="s">
        <v>50</v>
      </c>
      <c r="I307" s="5" t="s">
        <v>16661</v>
      </c>
      <c r="J307" s="5" t="s">
        <v>16682</v>
      </c>
      <c r="K307" s="11">
        <v>1</v>
      </c>
    </row>
    <row r="308" spans="2:11" ht="37.5" customHeight="1" x14ac:dyDescent="0.35">
      <c r="B308" s="12">
        <v>22</v>
      </c>
      <c r="C308" s="7" t="s">
        <v>16651</v>
      </c>
      <c r="D308" s="12">
        <v>13</v>
      </c>
      <c r="E308" s="7" t="s">
        <v>16686</v>
      </c>
      <c r="F308" s="7" t="s">
        <v>16687</v>
      </c>
      <c r="G308" s="7" t="s">
        <v>16688</v>
      </c>
      <c r="H308" s="7" t="s">
        <v>50</v>
      </c>
      <c r="I308" s="7" t="s">
        <v>16661</v>
      </c>
      <c r="J308" s="7" t="s">
        <v>16682</v>
      </c>
      <c r="K308" s="12">
        <v>1</v>
      </c>
    </row>
    <row r="309" spans="2:11" ht="37.5" customHeight="1" x14ac:dyDescent="0.35">
      <c r="B309" s="11">
        <v>22</v>
      </c>
      <c r="C309" s="5" t="s">
        <v>16651</v>
      </c>
      <c r="D309" s="11">
        <v>14</v>
      </c>
      <c r="E309" s="5" t="s">
        <v>16689</v>
      </c>
      <c r="F309" s="5" t="s">
        <v>16690</v>
      </c>
      <c r="G309" s="5" t="s">
        <v>16688</v>
      </c>
      <c r="H309" s="5" t="s">
        <v>50</v>
      </c>
      <c r="I309" s="5" t="s">
        <v>16661</v>
      </c>
      <c r="J309" s="5" t="s">
        <v>16682</v>
      </c>
      <c r="K309" s="11">
        <v>1</v>
      </c>
    </row>
    <row r="310" spans="2:11" ht="37.5" customHeight="1" x14ac:dyDescent="0.35">
      <c r="B310" s="12">
        <v>22</v>
      </c>
      <c r="C310" s="7" t="s">
        <v>16651</v>
      </c>
      <c r="D310" s="12">
        <v>15</v>
      </c>
      <c r="E310" s="7" t="s">
        <v>16691</v>
      </c>
      <c r="F310" s="7" t="s">
        <v>16692</v>
      </c>
      <c r="G310" s="7" t="s">
        <v>16693</v>
      </c>
      <c r="H310" s="7" t="s">
        <v>50</v>
      </c>
      <c r="I310" s="7" t="s">
        <v>16661</v>
      </c>
      <c r="J310" s="7" t="s">
        <v>16682</v>
      </c>
      <c r="K310" s="12">
        <v>1</v>
      </c>
    </row>
    <row r="311" spans="2:11" ht="21.75" customHeight="1" x14ac:dyDescent="0.35">
      <c r="B311" s="11">
        <v>22</v>
      </c>
      <c r="C311" s="5" t="s">
        <v>16651</v>
      </c>
      <c r="D311" s="11">
        <v>16</v>
      </c>
      <c r="E311" s="5" t="s">
        <v>16694</v>
      </c>
      <c r="F311" s="5" t="s">
        <v>16695</v>
      </c>
      <c r="G311" s="5" t="s">
        <v>16696</v>
      </c>
      <c r="H311" s="5" t="s">
        <v>50</v>
      </c>
      <c r="I311" s="5" t="s">
        <v>16661</v>
      </c>
      <c r="J311" s="5" t="s">
        <v>16682</v>
      </c>
      <c r="K311" s="11">
        <v>1</v>
      </c>
    </row>
    <row r="312" spans="2:11" ht="21.75" customHeight="1" x14ac:dyDescent="0.35">
      <c r="B312" s="12">
        <v>22</v>
      </c>
      <c r="C312" s="7" t="s">
        <v>16651</v>
      </c>
      <c r="D312" s="12">
        <v>17</v>
      </c>
      <c r="E312" s="7" t="s">
        <v>16697</v>
      </c>
      <c r="F312" s="7" t="s">
        <v>16698</v>
      </c>
      <c r="G312" s="7" t="s">
        <v>16420</v>
      </c>
      <c r="H312" s="7" t="s">
        <v>50</v>
      </c>
      <c r="I312" s="7" t="s">
        <v>16661</v>
      </c>
      <c r="J312" s="7" t="s">
        <v>16682</v>
      </c>
      <c r="K312" s="12">
        <v>1</v>
      </c>
    </row>
    <row r="313" spans="2:11" ht="37.5" customHeight="1" x14ac:dyDescent="0.35">
      <c r="B313" s="11">
        <v>22</v>
      </c>
      <c r="C313" s="5" t="s">
        <v>16651</v>
      </c>
      <c r="D313" s="11">
        <v>18</v>
      </c>
      <c r="E313" s="5" t="s">
        <v>16699</v>
      </c>
      <c r="F313" s="5" t="s">
        <v>16700</v>
      </c>
      <c r="G313" s="5" t="s">
        <v>16701</v>
      </c>
      <c r="H313" s="5" t="s">
        <v>50</v>
      </c>
      <c r="I313" s="5" t="s">
        <v>16661</v>
      </c>
      <c r="J313" s="5" t="s">
        <v>16682</v>
      </c>
      <c r="K313" s="11">
        <v>1</v>
      </c>
    </row>
    <row r="314" spans="2:11" ht="37.5" customHeight="1" x14ac:dyDescent="0.35">
      <c r="B314" s="12">
        <v>22</v>
      </c>
      <c r="C314" s="7" t="s">
        <v>16651</v>
      </c>
      <c r="D314" s="12">
        <v>19</v>
      </c>
      <c r="E314" s="7" t="s">
        <v>16702</v>
      </c>
      <c r="F314" s="7" t="s">
        <v>16703</v>
      </c>
      <c r="G314" s="7" t="s">
        <v>16704</v>
      </c>
      <c r="H314" s="7" t="s">
        <v>50</v>
      </c>
      <c r="I314" s="7" t="s">
        <v>16661</v>
      </c>
      <c r="J314" s="7" t="s">
        <v>16682</v>
      </c>
      <c r="K314" s="12">
        <v>1</v>
      </c>
    </row>
    <row r="315" spans="2:11" ht="21.75" customHeight="1" x14ac:dyDescent="0.35">
      <c r="B315" s="11">
        <v>22</v>
      </c>
      <c r="C315" s="5" t="s">
        <v>16651</v>
      </c>
      <c r="D315" s="11">
        <v>20</v>
      </c>
      <c r="E315" s="5" t="s">
        <v>16705</v>
      </c>
      <c r="F315" s="5" t="s">
        <v>16706</v>
      </c>
      <c r="G315" s="5" t="s">
        <v>16707</v>
      </c>
      <c r="H315" s="5" t="s">
        <v>50</v>
      </c>
      <c r="I315" s="5" t="s">
        <v>16661</v>
      </c>
      <c r="J315" s="5" t="s">
        <v>16682</v>
      </c>
      <c r="K315" s="11">
        <v>1</v>
      </c>
    </row>
    <row r="316" spans="2:11" ht="37.5" customHeight="1" x14ac:dyDescent="0.35">
      <c r="B316" s="12">
        <v>22</v>
      </c>
      <c r="C316" s="7" t="s">
        <v>16651</v>
      </c>
      <c r="D316" s="12">
        <v>21</v>
      </c>
      <c r="E316" s="7" t="s">
        <v>16708</v>
      </c>
      <c r="F316" s="7" t="s">
        <v>16709</v>
      </c>
      <c r="G316" s="7" t="s">
        <v>16710</v>
      </c>
      <c r="H316" s="7" t="s">
        <v>50</v>
      </c>
      <c r="I316" s="7" t="s">
        <v>16661</v>
      </c>
      <c r="J316" s="7" t="s">
        <v>16682</v>
      </c>
      <c r="K316" s="12">
        <v>1</v>
      </c>
    </row>
    <row r="317" spans="2:11" ht="37.5" customHeight="1" x14ac:dyDescent="0.35">
      <c r="B317" s="11">
        <v>22</v>
      </c>
      <c r="C317" s="5" t="s">
        <v>16651</v>
      </c>
      <c r="D317" s="11">
        <v>22</v>
      </c>
      <c r="E317" s="5" t="s">
        <v>16711</v>
      </c>
      <c r="F317" s="5" t="s">
        <v>16712</v>
      </c>
      <c r="G317" s="5" t="s">
        <v>16713</v>
      </c>
      <c r="H317" s="5" t="s">
        <v>50</v>
      </c>
      <c r="I317" s="5" t="s">
        <v>16661</v>
      </c>
      <c r="J317" s="5" t="s">
        <v>16682</v>
      </c>
      <c r="K317" s="11">
        <v>1</v>
      </c>
    </row>
    <row r="318" spans="2:11" ht="21.75" customHeight="1" x14ac:dyDescent="0.35">
      <c r="B318" s="12">
        <v>22</v>
      </c>
      <c r="C318" s="7" t="s">
        <v>16651</v>
      </c>
      <c r="D318" s="12">
        <v>23</v>
      </c>
      <c r="E318" s="7" t="s">
        <v>16714</v>
      </c>
      <c r="F318" s="7" t="s">
        <v>16715</v>
      </c>
      <c r="G318" s="7" t="s">
        <v>16716</v>
      </c>
      <c r="H318" s="7" t="s">
        <v>50</v>
      </c>
      <c r="I318" s="7" t="s">
        <v>16661</v>
      </c>
      <c r="J318" s="7" t="s">
        <v>16682</v>
      </c>
      <c r="K318" s="12">
        <v>1</v>
      </c>
    </row>
    <row r="319" spans="2:11" ht="37.5" customHeight="1" x14ac:dyDescent="0.35">
      <c r="B319" s="11">
        <v>22</v>
      </c>
      <c r="C319" s="5" t="s">
        <v>16651</v>
      </c>
      <c r="D319" s="11">
        <v>24</v>
      </c>
      <c r="E319" s="5" t="s">
        <v>16717</v>
      </c>
      <c r="F319" s="5" t="s">
        <v>16718</v>
      </c>
      <c r="G319" s="5" t="s">
        <v>16719</v>
      </c>
      <c r="H319" s="5" t="s">
        <v>50</v>
      </c>
      <c r="I319" s="5" t="s">
        <v>16661</v>
      </c>
      <c r="J319" s="5" t="s">
        <v>16682</v>
      </c>
      <c r="K319" s="11">
        <v>1</v>
      </c>
    </row>
    <row r="320" spans="2:11" ht="37.5" customHeight="1" x14ac:dyDescent="0.35">
      <c r="B320" s="12">
        <v>22</v>
      </c>
      <c r="C320" s="7" t="s">
        <v>16651</v>
      </c>
      <c r="D320" s="12">
        <v>25</v>
      </c>
      <c r="E320" s="7" t="s">
        <v>16720</v>
      </c>
      <c r="F320" s="7" t="s">
        <v>16721</v>
      </c>
      <c r="G320" s="7" t="s">
        <v>16722</v>
      </c>
      <c r="H320" s="7" t="s">
        <v>50</v>
      </c>
      <c r="I320" s="7" t="s">
        <v>16661</v>
      </c>
      <c r="J320" s="7" t="s">
        <v>16682</v>
      </c>
      <c r="K320" s="12">
        <v>1</v>
      </c>
    </row>
    <row r="321" spans="2:11" ht="37.5" customHeight="1" x14ac:dyDescent="0.35">
      <c r="B321" s="11">
        <v>22</v>
      </c>
      <c r="C321" s="5" t="s">
        <v>16651</v>
      </c>
      <c r="D321" s="11">
        <v>26</v>
      </c>
      <c r="E321" s="5" t="s">
        <v>16723</v>
      </c>
      <c r="F321" s="5" t="s">
        <v>16724</v>
      </c>
      <c r="G321" s="5" t="s">
        <v>16350</v>
      </c>
      <c r="H321" s="5" t="s">
        <v>50</v>
      </c>
      <c r="I321" s="5" t="s">
        <v>16661</v>
      </c>
      <c r="J321" s="5" t="s">
        <v>16682</v>
      </c>
      <c r="K321" s="11">
        <v>1</v>
      </c>
    </row>
    <row r="322" spans="2:11" ht="21.75" customHeight="1" x14ac:dyDescent="0.35">
      <c r="B322" s="12">
        <v>22</v>
      </c>
      <c r="C322" s="7" t="s">
        <v>16651</v>
      </c>
      <c r="D322" s="12">
        <v>27</v>
      </c>
      <c r="E322" s="7" t="s">
        <v>16725</v>
      </c>
      <c r="F322" s="7" t="s">
        <v>16726</v>
      </c>
      <c r="G322" s="7" t="s">
        <v>16727</v>
      </c>
      <c r="H322" s="7" t="s">
        <v>50</v>
      </c>
      <c r="I322" s="7" t="s">
        <v>16661</v>
      </c>
      <c r="J322" s="7" t="s">
        <v>16682</v>
      </c>
      <c r="K322" s="12">
        <v>1</v>
      </c>
    </row>
    <row r="323" spans="2:11" ht="37.5" customHeight="1" x14ac:dyDescent="0.35">
      <c r="B323" s="11">
        <v>22</v>
      </c>
      <c r="C323" s="5" t="s">
        <v>16651</v>
      </c>
      <c r="D323" s="11">
        <v>28</v>
      </c>
      <c r="E323" s="5" t="s">
        <v>16728</v>
      </c>
      <c r="F323" s="5" t="s">
        <v>16729</v>
      </c>
      <c r="G323" s="5" t="s">
        <v>16730</v>
      </c>
      <c r="H323" s="5" t="s">
        <v>50</v>
      </c>
      <c r="I323" s="5" t="s">
        <v>16661</v>
      </c>
      <c r="J323" s="5" t="s">
        <v>16682</v>
      </c>
      <c r="K323" s="11">
        <v>1</v>
      </c>
    </row>
    <row r="324" spans="2:11" ht="37.5" customHeight="1" x14ac:dyDescent="0.35">
      <c r="B324" s="12">
        <v>22</v>
      </c>
      <c r="C324" s="7" t="s">
        <v>16651</v>
      </c>
      <c r="D324" s="12">
        <v>29</v>
      </c>
      <c r="E324" s="7" t="s">
        <v>16731</v>
      </c>
      <c r="F324" s="7" t="s">
        <v>16732</v>
      </c>
      <c r="G324" s="7" t="s">
        <v>16733</v>
      </c>
      <c r="H324" s="7" t="s">
        <v>50</v>
      </c>
      <c r="I324" s="7" t="s">
        <v>16661</v>
      </c>
      <c r="J324" s="7" t="s">
        <v>16682</v>
      </c>
      <c r="K324" s="12">
        <v>1</v>
      </c>
    </row>
    <row r="325" spans="2:11" ht="37.5" customHeight="1" x14ac:dyDescent="0.35">
      <c r="B325" s="11">
        <v>22</v>
      </c>
      <c r="C325" s="5" t="s">
        <v>16651</v>
      </c>
      <c r="D325" s="11">
        <v>30</v>
      </c>
      <c r="E325" s="5" t="s">
        <v>16734</v>
      </c>
      <c r="F325" s="5" t="s">
        <v>16735</v>
      </c>
      <c r="G325" s="5" t="s">
        <v>16350</v>
      </c>
      <c r="H325" s="5" t="s">
        <v>50</v>
      </c>
      <c r="I325" s="5" t="s">
        <v>16661</v>
      </c>
      <c r="J325" s="5" t="s">
        <v>16682</v>
      </c>
      <c r="K325" s="11">
        <v>1</v>
      </c>
    </row>
    <row r="326" spans="2:11" ht="37.5" customHeight="1" x14ac:dyDescent="0.35">
      <c r="B326" s="12">
        <v>22</v>
      </c>
      <c r="C326" s="7" t="s">
        <v>16651</v>
      </c>
      <c r="D326" s="12">
        <v>31</v>
      </c>
      <c r="E326" s="7" t="s">
        <v>16736</v>
      </c>
      <c r="F326" s="7" t="s">
        <v>16737</v>
      </c>
      <c r="G326" s="7" t="s">
        <v>16350</v>
      </c>
      <c r="H326" s="7" t="s">
        <v>50</v>
      </c>
      <c r="I326" s="7" t="s">
        <v>16661</v>
      </c>
      <c r="J326" s="7" t="s">
        <v>16682</v>
      </c>
      <c r="K326" s="12">
        <v>1</v>
      </c>
    </row>
    <row r="327" spans="2:11" ht="37.5" customHeight="1" x14ac:dyDescent="0.35">
      <c r="B327" s="11">
        <v>22</v>
      </c>
      <c r="C327" s="5" t="s">
        <v>16651</v>
      </c>
      <c r="D327" s="11">
        <v>32</v>
      </c>
      <c r="E327" s="5" t="s">
        <v>16738</v>
      </c>
      <c r="F327" s="5" t="s">
        <v>16739</v>
      </c>
      <c r="G327" s="5" t="s">
        <v>16592</v>
      </c>
      <c r="H327" s="5" t="s">
        <v>50</v>
      </c>
      <c r="I327" s="5" t="s">
        <v>16661</v>
      </c>
      <c r="J327" s="5" t="s">
        <v>16682</v>
      </c>
      <c r="K327" s="11">
        <v>1</v>
      </c>
    </row>
    <row r="328" spans="2:11" ht="37.5" customHeight="1" x14ac:dyDescent="0.35">
      <c r="B328" s="12">
        <v>22</v>
      </c>
      <c r="C328" s="7" t="s">
        <v>16651</v>
      </c>
      <c r="D328" s="12">
        <v>33</v>
      </c>
      <c r="E328" s="7" t="s">
        <v>16740</v>
      </c>
      <c r="F328" s="7" t="s">
        <v>16741</v>
      </c>
      <c r="G328" s="7" t="s">
        <v>16742</v>
      </c>
      <c r="H328" s="7" t="s">
        <v>50</v>
      </c>
      <c r="I328" s="7" t="s">
        <v>16661</v>
      </c>
      <c r="J328" s="7" t="s">
        <v>16682</v>
      </c>
      <c r="K328" s="12">
        <v>1</v>
      </c>
    </row>
    <row r="329" spans="2:11" ht="37.5" customHeight="1" x14ac:dyDescent="0.35">
      <c r="B329" s="11">
        <v>22</v>
      </c>
      <c r="C329" s="5" t="s">
        <v>16651</v>
      </c>
      <c r="D329" s="11">
        <v>34</v>
      </c>
      <c r="E329" s="5" t="s">
        <v>16743</v>
      </c>
      <c r="F329" s="5" t="s">
        <v>16744</v>
      </c>
      <c r="G329" s="5" t="s">
        <v>16745</v>
      </c>
      <c r="H329" s="5" t="s">
        <v>50</v>
      </c>
      <c r="I329" s="5" t="s">
        <v>16661</v>
      </c>
      <c r="J329" s="5" t="s">
        <v>16682</v>
      </c>
      <c r="K329" s="11">
        <v>1</v>
      </c>
    </row>
    <row r="330" spans="2:11" ht="37.5" customHeight="1" x14ac:dyDescent="0.35">
      <c r="B330" s="12">
        <v>22</v>
      </c>
      <c r="C330" s="7" t="s">
        <v>16651</v>
      </c>
      <c r="D330" s="12">
        <v>35</v>
      </c>
      <c r="E330" s="7" t="s">
        <v>16746</v>
      </c>
      <c r="F330" s="7" t="s">
        <v>16747</v>
      </c>
      <c r="G330" s="7" t="s">
        <v>16748</v>
      </c>
      <c r="H330" s="7" t="s">
        <v>50</v>
      </c>
      <c r="I330" s="7" t="s">
        <v>16661</v>
      </c>
      <c r="J330" s="7" t="s">
        <v>16682</v>
      </c>
      <c r="K330" s="12">
        <v>1</v>
      </c>
    </row>
    <row r="331" spans="2:11" ht="37.5" customHeight="1" x14ac:dyDescent="0.35">
      <c r="B331" s="11">
        <v>22</v>
      </c>
      <c r="C331" s="5" t="s">
        <v>16651</v>
      </c>
      <c r="D331" s="11">
        <v>36</v>
      </c>
      <c r="E331" s="5" t="s">
        <v>16749</v>
      </c>
      <c r="F331" s="5" t="s">
        <v>16750</v>
      </c>
      <c r="G331" s="5" t="s">
        <v>16751</v>
      </c>
      <c r="H331" s="5" t="s">
        <v>50</v>
      </c>
      <c r="I331" s="5" t="s">
        <v>16661</v>
      </c>
      <c r="J331" s="5" t="s">
        <v>16682</v>
      </c>
      <c r="K331" s="11">
        <v>1</v>
      </c>
    </row>
    <row r="332" spans="2:11" ht="37.5" customHeight="1" x14ac:dyDescent="0.35">
      <c r="B332" s="12">
        <v>22</v>
      </c>
      <c r="C332" s="7" t="s">
        <v>16651</v>
      </c>
      <c r="D332" s="12">
        <v>37</v>
      </c>
      <c r="E332" s="7" t="s">
        <v>16752</v>
      </c>
      <c r="F332" s="7" t="s">
        <v>16753</v>
      </c>
      <c r="G332" s="7" t="s">
        <v>16754</v>
      </c>
      <c r="H332" s="7" t="s">
        <v>50</v>
      </c>
      <c r="I332" s="7" t="s">
        <v>16661</v>
      </c>
      <c r="J332" s="7" t="s">
        <v>16682</v>
      </c>
      <c r="K332" s="12">
        <v>1</v>
      </c>
    </row>
    <row r="333" spans="2:11" ht="37.5" customHeight="1" x14ac:dyDescent="0.35">
      <c r="B333" s="11">
        <v>22</v>
      </c>
      <c r="C333" s="5" t="s">
        <v>16651</v>
      </c>
      <c r="D333" s="11">
        <v>38</v>
      </c>
      <c r="E333" s="5" t="s">
        <v>16755</v>
      </c>
      <c r="F333" s="5" t="s">
        <v>16756</v>
      </c>
      <c r="G333" s="5" t="s">
        <v>16757</v>
      </c>
      <c r="H333" s="5" t="s">
        <v>50</v>
      </c>
      <c r="I333" s="5" t="s">
        <v>16661</v>
      </c>
      <c r="J333" s="5" t="s">
        <v>16682</v>
      </c>
      <c r="K333" s="11">
        <v>1</v>
      </c>
    </row>
    <row r="334" spans="2:11" ht="37.5" customHeight="1" x14ac:dyDescent="0.35">
      <c r="B334" s="12">
        <v>22</v>
      </c>
      <c r="C334" s="7" t="s">
        <v>16651</v>
      </c>
      <c r="D334" s="12">
        <v>39</v>
      </c>
      <c r="E334" s="7" t="s">
        <v>16758</v>
      </c>
      <c r="F334" s="7" t="s">
        <v>16759</v>
      </c>
      <c r="G334" s="7" t="s">
        <v>16760</v>
      </c>
      <c r="H334" s="7" t="s">
        <v>50</v>
      </c>
      <c r="I334" s="7" t="s">
        <v>16661</v>
      </c>
      <c r="J334" s="7" t="s">
        <v>16682</v>
      </c>
      <c r="K334" s="12">
        <v>1</v>
      </c>
    </row>
    <row r="335" spans="2:11" ht="37.5" customHeight="1" x14ac:dyDescent="0.35">
      <c r="B335" s="11">
        <v>23</v>
      </c>
      <c r="C335" s="5" t="s">
        <v>16761</v>
      </c>
      <c r="D335" s="11">
        <v>1</v>
      </c>
      <c r="E335" s="5" t="s">
        <v>16762</v>
      </c>
      <c r="F335" s="5" t="s">
        <v>16763</v>
      </c>
      <c r="G335" s="5" t="s">
        <v>16764</v>
      </c>
      <c r="H335" s="5" t="s">
        <v>15696</v>
      </c>
      <c r="I335" s="5" t="s">
        <v>16765</v>
      </c>
      <c r="J335" s="5" t="s">
        <v>16766</v>
      </c>
      <c r="K335" s="11">
        <v>1</v>
      </c>
    </row>
    <row r="336" spans="2:11" ht="37.5" customHeight="1" x14ac:dyDescent="0.35">
      <c r="B336" s="12">
        <v>23</v>
      </c>
      <c r="C336" s="7" t="s">
        <v>16761</v>
      </c>
      <c r="D336" s="12">
        <v>2</v>
      </c>
      <c r="E336" s="7" t="s">
        <v>16767</v>
      </c>
      <c r="F336" s="7" t="s">
        <v>16768</v>
      </c>
      <c r="G336" s="7" t="s">
        <v>16313</v>
      </c>
      <c r="H336" s="7" t="s">
        <v>15696</v>
      </c>
      <c r="I336" s="7" t="s">
        <v>16661</v>
      </c>
      <c r="J336" s="7" t="s">
        <v>16662</v>
      </c>
      <c r="K336" s="12">
        <v>1</v>
      </c>
    </row>
    <row r="337" spans="2:11" ht="37.5" customHeight="1" x14ac:dyDescent="0.35">
      <c r="B337" s="11">
        <v>24</v>
      </c>
      <c r="C337" s="5" t="s">
        <v>16769</v>
      </c>
      <c r="D337" s="11">
        <v>1</v>
      </c>
      <c r="E337" s="5" t="s">
        <v>16770</v>
      </c>
      <c r="F337" s="5" t="s">
        <v>16771</v>
      </c>
      <c r="G337" s="5" t="s">
        <v>16189</v>
      </c>
      <c r="H337" s="5" t="s">
        <v>15696</v>
      </c>
      <c r="I337" s="5" t="s">
        <v>16298</v>
      </c>
      <c r="J337" s="5" t="s">
        <v>16299</v>
      </c>
      <c r="K337" s="11">
        <v>1</v>
      </c>
    </row>
    <row r="338" spans="2:11" ht="37.5" customHeight="1" x14ac:dyDescent="0.35">
      <c r="B338" s="12">
        <v>24</v>
      </c>
      <c r="C338" s="7" t="s">
        <v>16769</v>
      </c>
      <c r="D338" s="12">
        <v>2</v>
      </c>
      <c r="E338" s="7" t="s">
        <v>16772</v>
      </c>
      <c r="F338" s="7" t="s">
        <v>16773</v>
      </c>
      <c r="G338" s="7" t="s">
        <v>16774</v>
      </c>
      <c r="H338" s="7" t="s">
        <v>50</v>
      </c>
      <c r="I338" s="7" t="s">
        <v>16775</v>
      </c>
      <c r="J338" s="7" t="s">
        <v>16776</v>
      </c>
      <c r="K338" s="12">
        <v>1</v>
      </c>
    </row>
    <row r="339" spans="2:11" ht="37.5" customHeight="1" x14ac:dyDescent="0.35">
      <c r="B339" s="11">
        <v>24</v>
      </c>
      <c r="C339" s="5" t="s">
        <v>16769</v>
      </c>
      <c r="D339" s="11">
        <v>3</v>
      </c>
      <c r="E339" s="5" t="s">
        <v>16777</v>
      </c>
      <c r="F339" s="5" t="s">
        <v>16778</v>
      </c>
      <c r="G339" s="5" t="s">
        <v>16554</v>
      </c>
      <c r="H339" s="5" t="s">
        <v>15696</v>
      </c>
      <c r="I339" s="5" t="s">
        <v>16298</v>
      </c>
      <c r="J339" s="5" t="s">
        <v>16299</v>
      </c>
      <c r="K339" s="11">
        <v>1</v>
      </c>
    </row>
    <row r="340" spans="2:11" ht="37.5" customHeight="1" x14ac:dyDescent="0.35">
      <c r="B340" s="12">
        <v>25</v>
      </c>
      <c r="C340" s="7" t="s">
        <v>16779</v>
      </c>
      <c r="D340" s="12">
        <v>1</v>
      </c>
      <c r="E340" s="7" t="s">
        <v>16780</v>
      </c>
      <c r="F340" s="7" t="s">
        <v>16781</v>
      </c>
      <c r="G340" s="7" t="s">
        <v>25</v>
      </c>
      <c r="H340" s="7" t="s">
        <v>15696</v>
      </c>
      <c r="I340" s="7" t="s">
        <v>16661</v>
      </c>
      <c r="J340" s="7" t="s">
        <v>16662</v>
      </c>
      <c r="K340" s="12">
        <v>1</v>
      </c>
    </row>
    <row r="341" spans="2:11" ht="37.5" customHeight="1" x14ac:dyDescent="0.35">
      <c r="B341" s="11">
        <v>25</v>
      </c>
      <c r="C341" s="5" t="s">
        <v>16779</v>
      </c>
      <c r="D341" s="11">
        <v>2</v>
      </c>
      <c r="E341" s="5" t="s">
        <v>16782</v>
      </c>
      <c r="F341" s="5" t="s">
        <v>16783</v>
      </c>
      <c r="G341" s="5" t="s">
        <v>16189</v>
      </c>
      <c r="H341" s="5" t="s">
        <v>50</v>
      </c>
      <c r="I341" s="5" t="s">
        <v>16661</v>
      </c>
      <c r="J341" s="5" t="s">
        <v>16682</v>
      </c>
      <c r="K341" s="11">
        <v>1</v>
      </c>
    </row>
    <row r="342" spans="2:11" ht="37.5" customHeight="1" x14ac:dyDescent="0.35">
      <c r="B342" s="12">
        <v>25</v>
      </c>
      <c r="C342" s="7" t="s">
        <v>16779</v>
      </c>
      <c r="D342" s="12">
        <v>3</v>
      </c>
      <c r="E342" s="7" t="s">
        <v>16784</v>
      </c>
      <c r="F342" s="7" t="s">
        <v>16785</v>
      </c>
      <c r="G342" s="7" t="s">
        <v>25</v>
      </c>
      <c r="H342" s="7" t="s">
        <v>50</v>
      </c>
      <c r="I342" s="7" t="s">
        <v>16661</v>
      </c>
      <c r="J342" s="7" t="s">
        <v>16682</v>
      </c>
      <c r="K342" s="12">
        <v>1</v>
      </c>
    </row>
    <row r="343" spans="2:11" ht="37.5" customHeight="1" x14ac:dyDescent="0.35">
      <c r="B343" s="11">
        <v>25</v>
      </c>
      <c r="C343" s="5" t="s">
        <v>16779</v>
      </c>
      <c r="D343" s="11">
        <v>4</v>
      </c>
      <c r="E343" s="5" t="s">
        <v>16786</v>
      </c>
      <c r="F343" s="5" t="s">
        <v>16787</v>
      </c>
      <c r="G343" s="5" t="s">
        <v>16189</v>
      </c>
      <c r="H343" s="5" t="s">
        <v>50</v>
      </c>
      <c r="I343" s="5" t="s">
        <v>16661</v>
      </c>
      <c r="J343" s="5" t="s">
        <v>16682</v>
      </c>
      <c r="K343" s="11">
        <v>1</v>
      </c>
    </row>
    <row r="344" spans="2:11" ht="37.5" customHeight="1" x14ac:dyDescent="0.35">
      <c r="B344" s="12">
        <v>25</v>
      </c>
      <c r="C344" s="7" t="s">
        <v>16779</v>
      </c>
      <c r="D344" s="12">
        <v>5</v>
      </c>
      <c r="E344" s="7" t="s">
        <v>16788</v>
      </c>
      <c r="F344" s="7" t="s">
        <v>16789</v>
      </c>
      <c r="G344" s="7" t="s">
        <v>16189</v>
      </c>
      <c r="H344" s="7" t="s">
        <v>50</v>
      </c>
      <c r="I344" s="7" t="s">
        <v>16661</v>
      </c>
      <c r="J344" s="7" t="s">
        <v>16682</v>
      </c>
      <c r="K344" s="12">
        <v>1</v>
      </c>
    </row>
    <row r="345" spans="2:11" ht="52.5" customHeight="1" x14ac:dyDescent="0.35">
      <c r="B345" s="11">
        <v>25</v>
      </c>
      <c r="C345" s="5" t="s">
        <v>16779</v>
      </c>
      <c r="D345" s="11">
        <v>6</v>
      </c>
      <c r="E345" s="5" t="s">
        <v>16790</v>
      </c>
      <c r="F345" s="5" t="s">
        <v>16791</v>
      </c>
      <c r="G345" s="5" t="s">
        <v>16189</v>
      </c>
      <c r="H345" s="5" t="s">
        <v>50</v>
      </c>
      <c r="I345" s="5" t="s">
        <v>16661</v>
      </c>
      <c r="J345" s="5" t="s">
        <v>16682</v>
      </c>
      <c r="K345" s="11">
        <v>1</v>
      </c>
    </row>
    <row r="346" spans="2:11" ht="37.5" customHeight="1" x14ac:dyDescent="0.35">
      <c r="B346" s="12">
        <v>25</v>
      </c>
      <c r="C346" s="7" t="s">
        <v>16779</v>
      </c>
      <c r="D346" s="12">
        <v>7</v>
      </c>
      <c r="E346" s="7" t="s">
        <v>16792</v>
      </c>
      <c r="F346" s="7" t="s">
        <v>16793</v>
      </c>
      <c r="G346" s="7" t="s">
        <v>16794</v>
      </c>
      <c r="H346" s="7" t="s">
        <v>50</v>
      </c>
      <c r="I346" s="7" t="s">
        <v>16661</v>
      </c>
      <c r="J346" s="7" t="s">
        <v>16682</v>
      </c>
      <c r="K346" s="12">
        <v>1</v>
      </c>
    </row>
    <row r="347" spans="2:11" ht="37.5" customHeight="1" x14ac:dyDescent="0.35">
      <c r="B347" s="11">
        <v>25</v>
      </c>
      <c r="C347" s="5" t="s">
        <v>16779</v>
      </c>
      <c r="D347" s="11">
        <v>8</v>
      </c>
      <c r="E347" s="5" t="s">
        <v>16795</v>
      </c>
      <c r="F347" s="5" t="s">
        <v>16796</v>
      </c>
      <c r="G347" s="5" t="s">
        <v>24</v>
      </c>
      <c r="H347" s="5" t="s">
        <v>50</v>
      </c>
      <c r="I347" s="5" t="s">
        <v>16661</v>
      </c>
      <c r="J347" s="5" t="s">
        <v>16682</v>
      </c>
      <c r="K347" s="11">
        <v>1</v>
      </c>
    </row>
    <row r="348" spans="2:11" ht="37.5" customHeight="1" x14ac:dyDescent="0.35">
      <c r="B348" s="12">
        <v>25</v>
      </c>
      <c r="C348" s="7" t="s">
        <v>16779</v>
      </c>
      <c r="D348" s="12">
        <v>9</v>
      </c>
      <c r="E348" s="7" t="s">
        <v>16797</v>
      </c>
      <c r="F348" s="7" t="s">
        <v>16798</v>
      </c>
      <c r="G348" s="7" t="s">
        <v>16542</v>
      </c>
      <c r="H348" s="7" t="s">
        <v>50</v>
      </c>
      <c r="I348" s="7" t="s">
        <v>16661</v>
      </c>
      <c r="J348" s="7" t="s">
        <v>16682</v>
      </c>
      <c r="K348" s="12">
        <v>1</v>
      </c>
    </row>
    <row r="349" spans="2:11" ht="37.5" customHeight="1" x14ac:dyDescent="0.35">
      <c r="B349" s="11">
        <v>25</v>
      </c>
      <c r="C349" s="5" t="s">
        <v>16779</v>
      </c>
      <c r="D349" s="11">
        <v>10</v>
      </c>
      <c r="E349" s="5" t="s">
        <v>16799</v>
      </c>
      <c r="F349" s="5" t="s">
        <v>16800</v>
      </c>
      <c r="G349" s="5" t="s">
        <v>16716</v>
      </c>
      <c r="H349" s="5" t="s">
        <v>50</v>
      </c>
      <c r="I349" s="5" t="s">
        <v>16661</v>
      </c>
      <c r="J349" s="5" t="s">
        <v>16682</v>
      </c>
      <c r="K349" s="11">
        <v>1</v>
      </c>
    </row>
    <row r="350" spans="2:11" ht="37.5" customHeight="1" x14ac:dyDescent="0.35">
      <c r="B350" s="12">
        <v>25</v>
      </c>
      <c r="C350" s="7" t="s">
        <v>16779</v>
      </c>
      <c r="D350" s="12">
        <v>11</v>
      </c>
      <c r="E350" s="7" t="s">
        <v>16801</v>
      </c>
      <c r="F350" s="7" t="s">
        <v>16802</v>
      </c>
      <c r="G350" s="7" t="s">
        <v>16803</v>
      </c>
      <c r="H350" s="7" t="s">
        <v>50</v>
      </c>
      <c r="I350" s="7" t="s">
        <v>16661</v>
      </c>
      <c r="J350" s="7" t="s">
        <v>16682</v>
      </c>
      <c r="K350" s="12">
        <v>1</v>
      </c>
    </row>
    <row r="351" spans="2:11" ht="37.5" customHeight="1" x14ac:dyDescent="0.35">
      <c r="B351" s="11">
        <v>25</v>
      </c>
      <c r="C351" s="5" t="s">
        <v>16779</v>
      </c>
      <c r="D351" s="11">
        <v>12</v>
      </c>
      <c r="E351" s="5" t="s">
        <v>16804</v>
      </c>
      <c r="F351" s="5" t="s">
        <v>16805</v>
      </c>
      <c r="G351" s="5" t="s">
        <v>16803</v>
      </c>
      <c r="H351" s="5" t="s">
        <v>50</v>
      </c>
      <c r="I351" s="5" t="s">
        <v>16661</v>
      </c>
      <c r="J351" s="5" t="s">
        <v>16682</v>
      </c>
      <c r="K351" s="11">
        <v>1</v>
      </c>
    </row>
    <row r="352" spans="2:11" ht="37.5" customHeight="1" x14ac:dyDescent="0.35">
      <c r="B352" s="12">
        <v>25</v>
      </c>
      <c r="C352" s="7" t="s">
        <v>16779</v>
      </c>
      <c r="D352" s="12">
        <v>13</v>
      </c>
      <c r="E352" s="7" t="s">
        <v>16806</v>
      </c>
      <c r="F352" s="7" t="s">
        <v>16807</v>
      </c>
      <c r="G352" s="7" t="s">
        <v>16808</v>
      </c>
      <c r="H352" s="7" t="s">
        <v>50</v>
      </c>
      <c r="I352" s="7" t="s">
        <v>16661</v>
      </c>
      <c r="J352" s="7" t="s">
        <v>16682</v>
      </c>
      <c r="K352" s="12">
        <v>1</v>
      </c>
    </row>
    <row r="353" spans="2:11" ht="37.5" customHeight="1" x14ac:dyDescent="0.35">
      <c r="B353" s="11">
        <v>25</v>
      </c>
      <c r="C353" s="5" t="s">
        <v>16779</v>
      </c>
      <c r="D353" s="11">
        <v>14</v>
      </c>
      <c r="E353" s="5" t="s">
        <v>16809</v>
      </c>
      <c r="F353" s="5" t="s">
        <v>16810</v>
      </c>
      <c r="G353" s="5" t="s">
        <v>16189</v>
      </c>
      <c r="H353" s="5" t="s">
        <v>15690</v>
      </c>
      <c r="I353" s="5" t="s">
        <v>16811</v>
      </c>
      <c r="J353" s="5" t="s">
        <v>16812</v>
      </c>
      <c r="K353" s="11">
        <v>1</v>
      </c>
    </row>
    <row r="354" spans="2:11" ht="37.5" customHeight="1" x14ac:dyDescent="0.35">
      <c r="B354" s="12">
        <v>25</v>
      </c>
      <c r="C354" s="7" t="s">
        <v>16779</v>
      </c>
      <c r="D354" s="12">
        <v>15</v>
      </c>
      <c r="E354" s="7" t="s">
        <v>16813</v>
      </c>
      <c r="F354" s="7" t="s">
        <v>16814</v>
      </c>
      <c r="G354" s="7" t="s">
        <v>16189</v>
      </c>
      <c r="H354" s="7" t="s">
        <v>15696</v>
      </c>
      <c r="I354" s="7" t="s">
        <v>16661</v>
      </c>
      <c r="J354" s="7" t="s">
        <v>16662</v>
      </c>
      <c r="K354" s="12">
        <v>1</v>
      </c>
    </row>
    <row r="355" spans="2:11" ht="37.5" customHeight="1" x14ac:dyDescent="0.35">
      <c r="B355" s="11">
        <v>25</v>
      </c>
      <c r="C355" s="5" t="s">
        <v>16779</v>
      </c>
      <c r="D355" s="11">
        <v>16</v>
      </c>
      <c r="E355" s="5" t="s">
        <v>16815</v>
      </c>
      <c r="F355" s="5" t="s">
        <v>16816</v>
      </c>
      <c r="G355" s="5" t="s">
        <v>16189</v>
      </c>
      <c r="H355" s="5" t="s">
        <v>15696</v>
      </c>
      <c r="I355" s="5" t="s">
        <v>16817</v>
      </c>
      <c r="J355" s="5" t="s">
        <v>16818</v>
      </c>
      <c r="K355" s="11">
        <v>1</v>
      </c>
    </row>
    <row r="356" spans="2:11" ht="37.5" customHeight="1" x14ac:dyDescent="0.35">
      <c r="B356" s="12">
        <v>25</v>
      </c>
      <c r="C356" s="7" t="s">
        <v>16779</v>
      </c>
      <c r="D356" s="12">
        <v>17</v>
      </c>
      <c r="E356" s="7" t="s">
        <v>16819</v>
      </c>
      <c r="F356" s="7" t="s">
        <v>16820</v>
      </c>
      <c r="G356" s="7" t="s">
        <v>16189</v>
      </c>
      <c r="H356" s="7" t="s">
        <v>15696</v>
      </c>
      <c r="I356" s="7" t="s">
        <v>16817</v>
      </c>
      <c r="J356" s="7" t="s">
        <v>16818</v>
      </c>
      <c r="K356" s="12">
        <v>1</v>
      </c>
    </row>
    <row r="357" spans="2:11" ht="37.5" customHeight="1" x14ac:dyDescent="0.35">
      <c r="B357" s="11">
        <v>25</v>
      </c>
      <c r="C357" s="5" t="s">
        <v>16779</v>
      </c>
      <c r="D357" s="11">
        <v>18</v>
      </c>
      <c r="E357" s="5" t="s">
        <v>16821</v>
      </c>
      <c r="F357" s="5" t="s">
        <v>16822</v>
      </c>
      <c r="G357" s="5" t="s">
        <v>8413</v>
      </c>
      <c r="H357" s="5" t="s">
        <v>15696</v>
      </c>
      <c r="I357" s="5" t="s">
        <v>16823</v>
      </c>
      <c r="J357" s="5" t="s">
        <v>16824</v>
      </c>
      <c r="K357" s="11">
        <v>1</v>
      </c>
    </row>
    <row r="358" spans="2:11" ht="37.5" customHeight="1" x14ac:dyDescent="0.35">
      <c r="B358" s="12">
        <v>25</v>
      </c>
      <c r="C358" s="7" t="s">
        <v>16779</v>
      </c>
      <c r="D358" s="12">
        <v>19</v>
      </c>
      <c r="E358" s="7" t="s">
        <v>16825</v>
      </c>
      <c r="F358" s="7" t="s">
        <v>16826</v>
      </c>
      <c r="G358" s="7" t="s">
        <v>24</v>
      </c>
      <c r="H358" s="7" t="s">
        <v>15696</v>
      </c>
      <c r="I358" s="7" t="s">
        <v>16823</v>
      </c>
      <c r="J358" s="7" t="s">
        <v>16824</v>
      </c>
      <c r="K358" s="12">
        <v>1</v>
      </c>
    </row>
    <row r="359" spans="2:11" ht="37.5" customHeight="1" x14ac:dyDescent="0.35">
      <c r="B359" s="11">
        <v>25</v>
      </c>
      <c r="C359" s="5" t="s">
        <v>16779</v>
      </c>
      <c r="D359" s="11">
        <v>20</v>
      </c>
      <c r="E359" s="5" t="s">
        <v>16827</v>
      </c>
      <c r="F359" s="5" t="s">
        <v>16828</v>
      </c>
      <c r="G359" s="5" t="s">
        <v>24</v>
      </c>
      <c r="H359" s="5" t="s">
        <v>15696</v>
      </c>
      <c r="I359" s="5" t="s">
        <v>16823</v>
      </c>
      <c r="J359" s="5" t="s">
        <v>16824</v>
      </c>
      <c r="K359" s="11">
        <v>1</v>
      </c>
    </row>
    <row r="360" spans="2:11" ht="37.5" customHeight="1" x14ac:dyDescent="0.35">
      <c r="B360" s="12">
        <v>25</v>
      </c>
      <c r="C360" s="7" t="s">
        <v>16779</v>
      </c>
      <c r="D360" s="12">
        <v>21</v>
      </c>
      <c r="E360" s="7" t="s">
        <v>16829</v>
      </c>
      <c r="F360" s="7" t="s">
        <v>16830</v>
      </c>
      <c r="G360" s="7" t="s">
        <v>16831</v>
      </c>
      <c r="H360" s="7" t="s">
        <v>15696</v>
      </c>
      <c r="I360" s="7" t="s">
        <v>16823</v>
      </c>
      <c r="J360" s="7" t="s">
        <v>16824</v>
      </c>
      <c r="K360" s="12">
        <v>1</v>
      </c>
    </row>
    <row r="361" spans="2:11" ht="37.5" customHeight="1" x14ac:dyDescent="0.35">
      <c r="B361" s="11">
        <v>25</v>
      </c>
      <c r="C361" s="5" t="s">
        <v>16779</v>
      </c>
      <c r="D361" s="11">
        <v>22</v>
      </c>
      <c r="E361" s="5" t="s">
        <v>16832</v>
      </c>
      <c r="F361" s="5" t="s">
        <v>16833</v>
      </c>
      <c r="G361" s="5" t="s">
        <v>16831</v>
      </c>
      <c r="H361" s="5" t="s">
        <v>15696</v>
      </c>
      <c r="I361" s="5" t="s">
        <v>16823</v>
      </c>
      <c r="J361" s="5" t="s">
        <v>16824</v>
      </c>
      <c r="K361" s="11">
        <v>1</v>
      </c>
    </row>
    <row r="362" spans="2:11" ht="37.5" customHeight="1" x14ac:dyDescent="0.35">
      <c r="B362" s="12">
        <v>25</v>
      </c>
      <c r="C362" s="7" t="s">
        <v>16779</v>
      </c>
      <c r="D362" s="12">
        <v>23</v>
      </c>
      <c r="E362" s="7" t="s">
        <v>16834</v>
      </c>
      <c r="F362" s="7" t="s">
        <v>16835</v>
      </c>
      <c r="G362" s="7" t="s">
        <v>16189</v>
      </c>
      <c r="H362" s="7" t="s">
        <v>15696</v>
      </c>
      <c r="I362" s="7" t="s">
        <v>16823</v>
      </c>
      <c r="J362" s="7" t="s">
        <v>16824</v>
      </c>
      <c r="K362" s="12">
        <v>1</v>
      </c>
    </row>
    <row r="363" spans="2:11" ht="52.5" customHeight="1" x14ac:dyDescent="0.35">
      <c r="B363" s="11">
        <v>26</v>
      </c>
      <c r="C363" s="5" t="s">
        <v>16836</v>
      </c>
      <c r="D363" s="11">
        <v>1</v>
      </c>
      <c r="E363" s="5" t="s">
        <v>16837</v>
      </c>
      <c r="F363" s="5" t="s">
        <v>16838</v>
      </c>
      <c r="G363" s="5" t="s">
        <v>15858</v>
      </c>
      <c r="H363" s="5" t="s">
        <v>15696</v>
      </c>
      <c r="I363" s="5" t="s">
        <v>16839</v>
      </c>
      <c r="J363" s="5" t="s">
        <v>16840</v>
      </c>
      <c r="K363" s="11">
        <v>1</v>
      </c>
    </row>
    <row r="364" spans="2:11" ht="37.5" customHeight="1" x14ac:dyDescent="0.35">
      <c r="B364" s="12">
        <v>27</v>
      </c>
      <c r="C364" s="7" t="s">
        <v>16841</v>
      </c>
      <c r="D364" s="12">
        <v>1</v>
      </c>
      <c r="E364" s="7" t="s">
        <v>16842</v>
      </c>
      <c r="F364" s="7" t="s">
        <v>16843</v>
      </c>
      <c r="G364" s="7" t="s">
        <v>25</v>
      </c>
      <c r="H364" s="7" t="s">
        <v>16844</v>
      </c>
      <c r="I364" s="7" t="s">
        <v>16845</v>
      </c>
      <c r="J364" s="7" t="s">
        <v>16846</v>
      </c>
      <c r="K364" s="12">
        <v>1</v>
      </c>
    </row>
    <row r="365" spans="2:11" ht="37.5" customHeight="1" x14ac:dyDescent="0.35">
      <c r="B365" s="11">
        <v>28</v>
      </c>
      <c r="C365" s="5" t="s">
        <v>16847</v>
      </c>
      <c r="D365" s="11">
        <v>1</v>
      </c>
      <c r="E365" s="5" t="s">
        <v>16848</v>
      </c>
      <c r="F365" s="5" t="s">
        <v>16849</v>
      </c>
      <c r="G365" s="5" t="s">
        <v>24</v>
      </c>
      <c r="H365" s="5" t="s">
        <v>16844</v>
      </c>
      <c r="I365" s="5" t="s">
        <v>16850</v>
      </c>
      <c r="J365" s="5" t="s">
        <v>16851</v>
      </c>
      <c r="K365" s="11">
        <v>1</v>
      </c>
    </row>
    <row r="366" spans="2:11" ht="37.5" customHeight="1" x14ac:dyDescent="0.35">
      <c r="B366" s="12">
        <v>29</v>
      </c>
      <c r="C366" s="7" t="s">
        <v>16852</v>
      </c>
      <c r="D366" s="12">
        <v>1</v>
      </c>
      <c r="E366" s="7" t="s">
        <v>16853</v>
      </c>
      <c r="F366" s="7" t="s">
        <v>16854</v>
      </c>
      <c r="G366" s="7" t="s">
        <v>16855</v>
      </c>
      <c r="H366" s="7" t="s">
        <v>15696</v>
      </c>
      <c r="I366" s="7" t="s">
        <v>16856</v>
      </c>
      <c r="J366" s="7" t="s">
        <v>16857</v>
      </c>
      <c r="K366" s="12">
        <v>1</v>
      </c>
    </row>
    <row r="367" spans="2:11" ht="37.5" customHeight="1" x14ac:dyDescent="0.35">
      <c r="B367" s="11">
        <v>30</v>
      </c>
      <c r="C367" s="5" t="s">
        <v>16858</v>
      </c>
      <c r="D367" s="11">
        <v>1</v>
      </c>
      <c r="E367" s="5" t="s">
        <v>16859</v>
      </c>
      <c r="F367" s="5" t="s">
        <v>16860</v>
      </c>
      <c r="G367" s="5" t="s">
        <v>372</v>
      </c>
      <c r="H367" s="5" t="s">
        <v>15696</v>
      </c>
      <c r="I367" s="5" t="s">
        <v>16861</v>
      </c>
      <c r="J367" s="5" t="s">
        <v>16862</v>
      </c>
      <c r="K367" s="11">
        <v>1</v>
      </c>
    </row>
    <row r="368" spans="2:11" ht="37.5" customHeight="1" x14ac:dyDescent="0.35">
      <c r="B368" s="12">
        <v>30</v>
      </c>
      <c r="C368" s="7" t="s">
        <v>16858</v>
      </c>
      <c r="D368" s="12">
        <v>2</v>
      </c>
      <c r="E368" s="7" t="s">
        <v>16863</v>
      </c>
      <c r="F368" s="7" t="s">
        <v>16864</v>
      </c>
      <c r="G368" s="7" t="s">
        <v>358</v>
      </c>
      <c r="H368" s="7" t="s">
        <v>15696</v>
      </c>
      <c r="I368" s="7" t="s">
        <v>16865</v>
      </c>
      <c r="J368" s="7" t="s">
        <v>16866</v>
      </c>
      <c r="K368" s="12">
        <v>1</v>
      </c>
    </row>
    <row r="369" spans="2:11" ht="37.5" customHeight="1" x14ac:dyDescent="0.35">
      <c r="B369" s="11">
        <v>30</v>
      </c>
      <c r="C369" s="5" t="s">
        <v>16858</v>
      </c>
      <c r="D369" s="11">
        <v>3</v>
      </c>
      <c r="E369" s="5" t="s">
        <v>16867</v>
      </c>
      <c r="F369" s="5" t="s">
        <v>16868</v>
      </c>
      <c r="G369" s="5" t="s">
        <v>15835</v>
      </c>
      <c r="H369" s="5" t="s">
        <v>16869</v>
      </c>
      <c r="I369" s="5" t="s">
        <v>1903</v>
      </c>
      <c r="J369" s="5" t="s">
        <v>16870</v>
      </c>
      <c r="K369" s="11">
        <v>1</v>
      </c>
    </row>
    <row r="370" spans="2:11" ht="37.5" customHeight="1" x14ac:dyDescent="0.35">
      <c r="B370" s="12">
        <v>30</v>
      </c>
      <c r="C370" s="7" t="s">
        <v>16858</v>
      </c>
      <c r="D370" s="12">
        <v>4</v>
      </c>
      <c r="E370" s="7" t="s">
        <v>16871</v>
      </c>
      <c r="F370" s="7" t="s">
        <v>16872</v>
      </c>
      <c r="G370" s="7" t="s">
        <v>2495</v>
      </c>
      <c r="H370" s="7" t="s">
        <v>50</v>
      </c>
      <c r="I370" s="7" t="s">
        <v>16873</v>
      </c>
      <c r="J370" s="7" t="s">
        <v>16874</v>
      </c>
      <c r="K370" s="12">
        <v>1</v>
      </c>
    </row>
    <row r="371" spans="2:11" ht="37.5" customHeight="1" x14ac:dyDescent="0.35">
      <c r="B371" s="11">
        <v>30</v>
      </c>
      <c r="C371" s="5" t="s">
        <v>16858</v>
      </c>
      <c r="D371" s="11">
        <v>5</v>
      </c>
      <c r="E371" s="5" t="s">
        <v>16875</v>
      </c>
      <c r="F371" s="5" t="s">
        <v>16876</v>
      </c>
      <c r="G371" s="5" t="s">
        <v>15515</v>
      </c>
      <c r="H371" s="5" t="s">
        <v>50</v>
      </c>
      <c r="I371" s="5" t="s">
        <v>16873</v>
      </c>
      <c r="J371" s="5" t="s">
        <v>16874</v>
      </c>
      <c r="K371" s="11">
        <v>1</v>
      </c>
    </row>
    <row r="372" spans="2:11" ht="37.5" customHeight="1" x14ac:dyDescent="0.35">
      <c r="B372" s="12">
        <v>30</v>
      </c>
      <c r="C372" s="7" t="s">
        <v>16858</v>
      </c>
      <c r="D372" s="12">
        <v>6</v>
      </c>
      <c r="E372" s="7" t="s">
        <v>16877</v>
      </c>
      <c r="F372" s="7" t="s">
        <v>16878</v>
      </c>
      <c r="G372" s="7" t="s">
        <v>16879</v>
      </c>
      <c r="H372" s="7" t="s">
        <v>50</v>
      </c>
      <c r="I372" s="7" t="s">
        <v>16880</v>
      </c>
      <c r="J372" s="7" t="s">
        <v>16881</v>
      </c>
      <c r="K372" s="12">
        <v>1</v>
      </c>
    </row>
    <row r="373" spans="2:11" ht="37.5" customHeight="1" x14ac:dyDescent="0.35">
      <c r="B373" s="11">
        <v>30</v>
      </c>
      <c r="C373" s="5" t="s">
        <v>16858</v>
      </c>
      <c r="D373" s="11">
        <v>7</v>
      </c>
      <c r="E373" s="5" t="s">
        <v>16882</v>
      </c>
      <c r="F373" s="5" t="s">
        <v>16883</v>
      </c>
      <c r="G373" s="5" t="s">
        <v>16884</v>
      </c>
      <c r="H373" s="5" t="s">
        <v>50</v>
      </c>
      <c r="I373" s="5" t="s">
        <v>16880</v>
      </c>
      <c r="J373" s="5" t="s">
        <v>16881</v>
      </c>
      <c r="K373" s="11">
        <v>1</v>
      </c>
    </row>
    <row r="374" spans="2:11" ht="37.5" customHeight="1" x14ac:dyDescent="0.35">
      <c r="B374" s="12">
        <v>30</v>
      </c>
      <c r="C374" s="7" t="s">
        <v>16858</v>
      </c>
      <c r="D374" s="12">
        <v>8</v>
      </c>
      <c r="E374" s="7" t="s">
        <v>16885</v>
      </c>
      <c r="F374" s="7" t="s">
        <v>16886</v>
      </c>
      <c r="G374" s="7" t="s">
        <v>16887</v>
      </c>
      <c r="H374" s="7" t="s">
        <v>50</v>
      </c>
      <c r="I374" s="7" t="s">
        <v>16880</v>
      </c>
      <c r="J374" s="7" t="s">
        <v>16881</v>
      </c>
      <c r="K374" s="12">
        <v>1</v>
      </c>
    </row>
    <row r="375" spans="2:11" ht="37.5" customHeight="1" x14ac:dyDescent="0.35">
      <c r="B375" s="11">
        <v>30</v>
      </c>
      <c r="C375" s="5" t="s">
        <v>16858</v>
      </c>
      <c r="D375" s="11">
        <v>9</v>
      </c>
      <c r="E375" s="5" t="s">
        <v>16888</v>
      </c>
      <c r="F375" s="5" t="s">
        <v>16889</v>
      </c>
      <c r="G375" s="5" t="s">
        <v>8167</v>
      </c>
      <c r="H375" s="5" t="s">
        <v>15827</v>
      </c>
      <c r="I375" s="5" t="s">
        <v>16873</v>
      </c>
      <c r="J375" s="5" t="s">
        <v>16890</v>
      </c>
      <c r="K375" s="11">
        <v>1</v>
      </c>
    </row>
    <row r="376" spans="2:11" ht="37.5" customHeight="1" x14ac:dyDescent="0.35">
      <c r="B376" s="12">
        <v>30</v>
      </c>
      <c r="C376" s="7" t="s">
        <v>16858</v>
      </c>
      <c r="D376" s="12">
        <v>10</v>
      </c>
      <c r="E376" s="7" t="s">
        <v>16891</v>
      </c>
      <c r="F376" s="7" t="s">
        <v>16892</v>
      </c>
      <c r="G376" s="7" t="s">
        <v>16893</v>
      </c>
      <c r="H376" s="7" t="s">
        <v>15827</v>
      </c>
      <c r="I376" s="7" t="s">
        <v>16873</v>
      </c>
      <c r="J376" s="7" t="s">
        <v>16890</v>
      </c>
      <c r="K376" s="12">
        <v>1</v>
      </c>
    </row>
    <row r="377" spans="2:11" ht="37.5" customHeight="1" x14ac:dyDescent="0.35">
      <c r="B377" s="11">
        <v>30</v>
      </c>
      <c r="C377" s="5" t="s">
        <v>16858</v>
      </c>
      <c r="D377" s="11">
        <v>11</v>
      </c>
      <c r="E377" s="5" t="s">
        <v>16894</v>
      </c>
      <c r="F377" s="5" t="s">
        <v>16895</v>
      </c>
      <c r="G377" s="5" t="s">
        <v>8413</v>
      </c>
      <c r="H377" s="5" t="s">
        <v>15827</v>
      </c>
      <c r="I377" s="5" t="s">
        <v>16873</v>
      </c>
      <c r="J377" s="5" t="s">
        <v>16890</v>
      </c>
      <c r="K377" s="11">
        <v>1</v>
      </c>
    </row>
    <row r="378" spans="2:11" ht="37.5" customHeight="1" x14ac:dyDescent="0.35">
      <c r="B378" s="12">
        <v>30</v>
      </c>
      <c r="C378" s="7" t="s">
        <v>16858</v>
      </c>
      <c r="D378" s="12">
        <v>12</v>
      </c>
      <c r="E378" s="7" t="s">
        <v>16896</v>
      </c>
      <c r="F378" s="7" t="s">
        <v>16897</v>
      </c>
      <c r="G378" s="7" t="s">
        <v>372</v>
      </c>
      <c r="H378" s="7" t="s">
        <v>15827</v>
      </c>
      <c r="I378" s="7" t="s">
        <v>16873</v>
      </c>
      <c r="J378" s="7" t="s">
        <v>16890</v>
      </c>
      <c r="K378" s="12">
        <v>1</v>
      </c>
    </row>
    <row r="379" spans="2:11" ht="37.5" customHeight="1" x14ac:dyDescent="0.35">
      <c r="B379" s="11">
        <v>31</v>
      </c>
      <c r="C379" s="5" t="s">
        <v>16898</v>
      </c>
      <c r="D379" s="11">
        <v>1</v>
      </c>
      <c r="E379" s="5" t="s">
        <v>16899</v>
      </c>
      <c r="F379" s="5" t="s">
        <v>16900</v>
      </c>
      <c r="G379" s="5" t="s">
        <v>16051</v>
      </c>
      <c r="H379" s="5" t="s">
        <v>50</v>
      </c>
      <c r="I379" s="5" t="s">
        <v>16873</v>
      </c>
      <c r="J379" s="5" t="s">
        <v>16874</v>
      </c>
      <c r="K379" s="11">
        <v>1</v>
      </c>
    </row>
    <row r="380" spans="2:11" ht="37.5" customHeight="1" x14ac:dyDescent="0.35">
      <c r="B380" s="12">
        <v>32</v>
      </c>
      <c r="C380" s="7" t="s">
        <v>16901</v>
      </c>
      <c r="D380" s="12">
        <v>1</v>
      </c>
      <c r="E380" s="7" t="s">
        <v>16902</v>
      </c>
      <c r="F380" s="7" t="s">
        <v>16132</v>
      </c>
      <c r="G380" s="7" t="s">
        <v>24</v>
      </c>
      <c r="H380" s="7" t="s">
        <v>15696</v>
      </c>
      <c r="I380" s="7" t="s">
        <v>16903</v>
      </c>
      <c r="J380" s="7" t="s">
        <v>16904</v>
      </c>
      <c r="K380" s="12">
        <v>1</v>
      </c>
    </row>
    <row r="381" spans="2:11" ht="37.5" customHeight="1" x14ac:dyDescent="0.35">
      <c r="B381" s="11">
        <v>32</v>
      </c>
      <c r="C381" s="5" t="s">
        <v>16901</v>
      </c>
      <c r="D381" s="11">
        <v>2</v>
      </c>
      <c r="E381" s="5" t="s">
        <v>16905</v>
      </c>
      <c r="F381" s="5" t="s">
        <v>16906</v>
      </c>
      <c r="G381" s="5" t="s">
        <v>497</v>
      </c>
      <c r="H381" s="5" t="s">
        <v>15696</v>
      </c>
      <c r="I381" s="5" t="s">
        <v>16907</v>
      </c>
      <c r="J381" s="5" t="s">
        <v>16908</v>
      </c>
      <c r="K381" s="11">
        <v>1</v>
      </c>
    </row>
    <row r="382" spans="2:11" ht="37.5" customHeight="1" x14ac:dyDescent="0.35">
      <c r="B382" s="12">
        <v>32</v>
      </c>
      <c r="C382" s="7" t="s">
        <v>16901</v>
      </c>
      <c r="D382" s="12">
        <v>3</v>
      </c>
      <c r="E382" s="7" t="s">
        <v>16909</v>
      </c>
      <c r="F382" s="7" t="s">
        <v>16910</v>
      </c>
      <c r="G382" s="7" t="s">
        <v>8413</v>
      </c>
      <c r="H382" s="7" t="s">
        <v>15696</v>
      </c>
      <c r="I382" s="7" t="s">
        <v>16911</v>
      </c>
      <c r="J382" s="7" t="s">
        <v>16912</v>
      </c>
      <c r="K382" s="12">
        <v>1</v>
      </c>
    </row>
    <row r="383" spans="2:11" ht="37.5" customHeight="1" x14ac:dyDescent="0.35">
      <c r="B383" s="11">
        <v>32</v>
      </c>
      <c r="C383" s="5" t="s">
        <v>16901</v>
      </c>
      <c r="D383" s="11">
        <v>4</v>
      </c>
      <c r="E383" s="5" t="s">
        <v>16913</v>
      </c>
      <c r="F383" s="5"/>
      <c r="G383" s="5" t="s">
        <v>16914</v>
      </c>
      <c r="H383" s="5" t="s">
        <v>16915</v>
      </c>
      <c r="I383" s="5" t="s">
        <v>16916</v>
      </c>
      <c r="J383" s="5" t="s">
        <v>16917</v>
      </c>
      <c r="K383" s="11">
        <v>2</v>
      </c>
    </row>
    <row r="384" spans="2:11" ht="37.5" customHeight="1" x14ac:dyDescent="0.35">
      <c r="B384" s="12">
        <v>32</v>
      </c>
      <c r="C384" s="7" t="s">
        <v>16901</v>
      </c>
      <c r="D384" s="12">
        <v>5</v>
      </c>
      <c r="E384" s="7" t="s">
        <v>16918</v>
      </c>
      <c r="F384" s="7" t="s">
        <v>16919</v>
      </c>
      <c r="G384" s="7" t="s">
        <v>15366</v>
      </c>
      <c r="H384" s="7" t="s">
        <v>15696</v>
      </c>
      <c r="I384" s="7" t="s">
        <v>15905</v>
      </c>
      <c r="J384" s="7" t="s">
        <v>16920</v>
      </c>
      <c r="K384" s="12">
        <v>1</v>
      </c>
    </row>
    <row r="385" spans="2:11" ht="37.5" customHeight="1" x14ac:dyDescent="0.35">
      <c r="B385" s="11">
        <v>33</v>
      </c>
      <c r="C385" s="5" t="s">
        <v>16921</v>
      </c>
      <c r="D385" s="11">
        <v>1</v>
      </c>
      <c r="E385" s="5" t="s">
        <v>16922</v>
      </c>
      <c r="F385" s="5" t="s">
        <v>16923</v>
      </c>
      <c r="G385" s="5" t="s">
        <v>16924</v>
      </c>
      <c r="H385" s="5" t="s">
        <v>15696</v>
      </c>
      <c r="I385" s="5" t="s">
        <v>16298</v>
      </c>
      <c r="J385" s="5" t="s">
        <v>16299</v>
      </c>
      <c r="K385" s="11">
        <v>1</v>
      </c>
    </row>
    <row r="386" spans="2:11" ht="37.5" customHeight="1" x14ac:dyDescent="0.35">
      <c r="B386" s="12">
        <v>33</v>
      </c>
      <c r="C386" s="7" t="s">
        <v>16921</v>
      </c>
      <c r="D386" s="12">
        <v>2</v>
      </c>
      <c r="E386" s="7" t="s">
        <v>16925</v>
      </c>
      <c r="F386" s="7" t="s">
        <v>16926</v>
      </c>
      <c r="G386" s="7" t="s">
        <v>16927</v>
      </c>
      <c r="H386" s="7" t="s">
        <v>15696</v>
      </c>
      <c r="I386" s="7" t="s">
        <v>16298</v>
      </c>
      <c r="J386" s="7" t="s">
        <v>16299</v>
      </c>
      <c r="K386" s="12">
        <v>1</v>
      </c>
    </row>
    <row r="387" spans="2:11" ht="37.5" customHeight="1" x14ac:dyDescent="0.35">
      <c r="B387" s="11">
        <v>33</v>
      </c>
      <c r="C387" s="5" t="s">
        <v>16921</v>
      </c>
      <c r="D387" s="11">
        <v>3</v>
      </c>
      <c r="E387" s="5" t="s">
        <v>16928</v>
      </c>
      <c r="F387" s="5" t="s">
        <v>16929</v>
      </c>
      <c r="G387" s="5" t="s">
        <v>15858</v>
      </c>
      <c r="H387" s="5" t="s">
        <v>15696</v>
      </c>
      <c r="I387" s="5" t="s">
        <v>16765</v>
      </c>
      <c r="J387" s="5" t="s">
        <v>16766</v>
      </c>
      <c r="K387" s="11">
        <v>1</v>
      </c>
    </row>
    <row r="388" spans="2:11" ht="21.75" customHeight="1" x14ac:dyDescent="0.35">
      <c r="B388" s="12">
        <v>33</v>
      </c>
      <c r="C388" s="7" t="s">
        <v>16921</v>
      </c>
      <c r="D388" s="12">
        <v>4</v>
      </c>
      <c r="E388" s="7" t="s">
        <v>16930</v>
      </c>
      <c r="F388" s="7" t="s">
        <v>16931</v>
      </c>
      <c r="G388" s="7" t="s">
        <v>16932</v>
      </c>
      <c r="H388" s="7" t="s">
        <v>15696</v>
      </c>
      <c r="I388" s="7" t="s">
        <v>16765</v>
      </c>
      <c r="J388" s="7" t="s">
        <v>16766</v>
      </c>
      <c r="K388" s="12">
        <v>1</v>
      </c>
    </row>
    <row r="389" spans="2:11" ht="21.75" customHeight="1" x14ac:dyDescent="0.35">
      <c r="B389" s="11">
        <v>33</v>
      </c>
      <c r="C389" s="5" t="s">
        <v>16921</v>
      </c>
      <c r="D389" s="11">
        <v>5</v>
      </c>
      <c r="E389" s="5" t="s">
        <v>16933</v>
      </c>
      <c r="F389" s="5" t="s">
        <v>16934</v>
      </c>
      <c r="G389" s="5" t="s">
        <v>16356</v>
      </c>
      <c r="H389" s="5" t="s">
        <v>15696</v>
      </c>
      <c r="I389" s="5" t="s">
        <v>16765</v>
      </c>
      <c r="J389" s="5" t="s">
        <v>16766</v>
      </c>
      <c r="K389" s="11">
        <v>1</v>
      </c>
    </row>
    <row r="390" spans="2:11" ht="21.75" customHeight="1" x14ac:dyDescent="0.35">
      <c r="B390" s="12">
        <v>33</v>
      </c>
      <c r="C390" s="7" t="s">
        <v>16921</v>
      </c>
      <c r="D390" s="12">
        <v>6</v>
      </c>
      <c r="E390" s="7" t="s">
        <v>16935</v>
      </c>
      <c r="F390" s="7" t="s">
        <v>16936</v>
      </c>
      <c r="G390" s="7" t="s">
        <v>16937</v>
      </c>
      <c r="H390" s="7" t="s">
        <v>15696</v>
      </c>
      <c r="I390" s="7" t="s">
        <v>16765</v>
      </c>
      <c r="J390" s="7" t="s">
        <v>16766</v>
      </c>
      <c r="K390" s="12">
        <v>1</v>
      </c>
    </row>
    <row r="391" spans="2:11" ht="37.5" customHeight="1" x14ac:dyDescent="0.35">
      <c r="B391" s="11">
        <v>33</v>
      </c>
      <c r="C391" s="5" t="s">
        <v>16921</v>
      </c>
      <c r="D391" s="11">
        <v>7</v>
      </c>
      <c r="E391" s="5" t="s">
        <v>16938</v>
      </c>
      <c r="F391" s="5" t="s">
        <v>16939</v>
      </c>
      <c r="G391" s="5" t="s">
        <v>16940</v>
      </c>
      <c r="H391" s="5" t="s">
        <v>15696</v>
      </c>
      <c r="I391" s="5" t="s">
        <v>16765</v>
      </c>
      <c r="J391" s="5" t="s">
        <v>16766</v>
      </c>
      <c r="K391" s="11">
        <v>1</v>
      </c>
    </row>
    <row r="392" spans="2:11" ht="37.5" customHeight="1" x14ac:dyDescent="0.35">
      <c r="B392" s="12">
        <v>33</v>
      </c>
      <c r="C392" s="7" t="s">
        <v>16921</v>
      </c>
      <c r="D392" s="12">
        <v>8</v>
      </c>
      <c r="E392" s="7" t="s">
        <v>16941</v>
      </c>
      <c r="F392" s="7" t="s">
        <v>16942</v>
      </c>
      <c r="G392" s="7" t="s">
        <v>16943</v>
      </c>
      <c r="H392" s="7" t="s">
        <v>15696</v>
      </c>
      <c r="I392" s="7" t="s">
        <v>16661</v>
      </c>
      <c r="J392" s="7" t="s">
        <v>16662</v>
      </c>
      <c r="K392" s="12">
        <v>1</v>
      </c>
    </row>
    <row r="393" spans="2:11" ht="37.5" customHeight="1" x14ac:dyDescent="0.35">
      <c r="B393" s="11">
        <v>33</v>
      </c>
      <c r="C393" s="5" t="s">
        <v>16921</v>
      </c>
      <c r="D393" s="11">
        <v>9</v>
      </c>
      <c r="E393" s="5" t="s">
        <v>16944</v>
      </c>
      <c r="F393" s="5" t="s">
        <v>16945</v>
      </c>
      <c r="G393" s="5" t="s">
        <v>16924</v>
      </c>
      <c r="H393" s="5" t="s">
        <v>15696</v>
      </c>
      <c r="I393" s="5" t="s">
        <v>16661</v>
      </c>
      <c r="J393" s="5" t="s">
        <v>16662</v>
      </c>
      <c r="K393" s="11">
        <v>1</v>
      </c>
    </row>
    <row r="394" spans="2:11" ht="21.75" customHeight="1" x14ac:dyDescent="0.35">
      <c r="B394" s="12">
        <v>33</v>
      </c>
      <c r="C394" s="7" t="s">
        <v>16921</v>
      </c>
      <c r="D394" s="12">
        <v>10</v>
      </c>
      <c r="E394" s="7" t="s">
        <v>16946</v>
      </c>
      <c r="F394" s="7" t="s">
        <v>16947</v>
      </c>
      <c r="G394" s="7" t="s">
        <v>16948</v>
      </c>
      <c r="H394" s="7" t="s">
        <v>15696</v>
      </c>
      <c r="I394" s="7" t="s">
        <v>16661</v>
      </c>
      <c r="J394" s="7" t="s">
        <v>16662</v>
      </c>
      <c r="K394" s="12">
        <v>1</v>
      </c>
    </row>
    <row r="395" spans="2:11" ht="37.5" customHeight="1" x14ac:dyDescent="0.35">
      <c r="B395" s="11">
        <v>33</v>
      </c>
      <c r="C395" s="5" t="s">
        <v>16921</v>
      </c>
      <c r="D395" s="11">
        <v>11</v>
      </c>
      <c r="E395" s="5" t="s">
        <v>16949</v>
      </c>
      <c r="F395" s="5" t="s">
        <v>16950</v>
      </c>
      <c r="G395" s="5" t="s">
        <v>15683</v>
      </c>
      <c r="H395" s="5" t="s">
        <v>15696</v>
      </c>
      <c r="I395" s="5" t="s">
        <v>16661</v>
      </c>
      <c r="J395" s="5" t="s">
        <v>16662</v>
      </c>
      <c r="K395" s="11">
        <v>1</v>
      </c>
    </row>
    <row r="396" spans="2:11" ht="37.5" customHeight="1" x14ac:dyDescent="0.35">
      <c r="B396" s="12">
        <v>33</v>
      </c>
      <c r="C396" s="7" t="s">
        <v>16921</v>
      </c>
      <c r="D396" s="12">
        <v>12</v>
      </c>
      <c r="E396" s="7" t="s">
        <v>16951</v>
      </c>
      <c r="F396" s="7" t="s">
        <v>16952</v>
      </c>
      <c r="G396" s="7" t="s">
        <v>16953</v>
      </c>
      <c r="H396" s="7" t="s">
        <v>15696</v>
      </c>
      <c r="I396" s="7" t="s">
        <v>16661</v>
      </c>
      <c r="J396" s="7" t="s">
        <v>16662</v>
      </c>
      <c r="K396" s="12">
        <v>1</v>
      </c>
    </row>
    <row r="397" spans="2:11" ht="37.5" customHeight="1" x14ac:dyDescent="0.35">
      <c r="B397" s="11">
        <v>33</v>
      </c>
      <c r="C397" s="5" t="s">
        <v>16921</v>
      </c>
      <c r="D397" s="11">
        <v>13</v>
      </c>
      <c r="E397" s="5" t="s">
        <v>16954</v>
      </c>
      <c r="F397" s="5" t="s">
        <v>16955</v>
      </c>
      <c r="G397" s="5" t="s">
        <v>16956</v>
      </c>
      <c r="H397" s="5" t="s">
        <v>15696</v>
      </c>
      <c r="I397" s="5" t="s">
        <v>16661</v>
      </c>
      <c r="J397" s="5" t="s">
        <v>16662</v>
      </c>
      <c r="K397" s="11">
        <v>1</v>
      </c>
    </row>
    <row r="398" spans="2:11" ht="37.5" customHeight="1" x14ac:dyDescent="0.35">
      <c r="B398" s="12">
        <v>33</v>
      </c>
      <c r="C398" s="7" t="s">
        <v>16921</v>
      </c>
      <c r="D398" s="12">
        <v>14</v>
      </c>
      <c r="E398" s="7" t="s">
        <v>16957</v>
      </c>
      <c r="F398" s="7" t="s">
        <v>16958</v>
      </c>
      <c r="G398" s="7" t="s">
        <v>15515</v>
      </c>
      <c r="H398" s="7" t="s">
        <v>15696</v>
      </c>
      <c r="I398" s="7" t="s">
        <v>16661</v>
      </c>
      <c r="J398" s="7" t="s">
        <v>16662</v>
      </c>
      <c r="K398" s="12">
        <v>1</v>
      </c>
    </row>
    <row r="399" spans="2:11" ht="37.5" customHeight="1" x14ac:dyDescent="0.35">
      <c r="B399" s="11">
        <v>33</v>
      </c>
      <c r="C399" s="5" t="s">
        <v>16921</v>
      </c>
      <c r="D399" s="11">
        <v>15</v>
      </c>
      <c r="E399" s="5" t="s">
        <v>16959</v>
      </c>
      <c r="F399" s="5" t="s">
        <v>16960</v>
      </c>
      <c r="G399" s="5" t="s">
        <v>16961</v>
      </c>
      <c r="H399" s="5" t="s">
        <v>15696</v>
      </c>
      <c r="I399" s="5" t="s">
        <v>16661</v>
      </c>
      <c r="J399" s="5" t="s">
        <v>16662</v>
      </c>
      <c r="K399" s="11">
        <v>1</v>
      </c>
    </row>
    <row r="400" spans="2:11" ht="37.5" customHeight="1" x14ac:dyDescent="0.35">
      <c r="B400" s="12">
        <v>33</v>
      </c>
      <c r="C400" s="7" t="s">
        <v>16921</v>
      </c>
      <c r="D400" s="12">
        <v>16</v>
      </c>
      <c r="E400" s="7" t="s">
        <v>16962</v>
      </c>
      <c r="F400" s="7" t="s">
        <v>16963</v>
      </c>
      <c r="G400" s="7" t="s">
        <v>16964</v>
      </c>
      <c r="H400" s="7" t="s">
        <v>50</v>
      </c>
      <c r="I400" s="7" t="s">
        <v>16661</v>
      </c>
      <c r="J400" s="7" t="s">
        <v>16682</v>
      </c>
      <c r="K400" s="12">
        <v>1</v>
      </c>
    </row>
    <row r="401" spans="2:11" ht="37.5" customHeight="1" x14ac:dyDescent="0.35">
      <c r="B401" s="11">
        <v>33</v>
      </c>
      <c r="C401" s="5" t="s">
        <v>16921</v>
      </c>
      <c r="D401" s="11">
        <v>17</v>
      </c>
      <c r="E401" s="5" t="s">
        <v>16965</v>
      </c>
      <c r="F401" s="5" t="s">
        <v>16966</v>
      </c>
      <c r="G401" s="5" t="s">
        <v>16967</v>
      </c>
      <c r="H401" s="5" t="s">
        <v>50</v>
      </c>
      <c r="I401" s="5" t="s">
        <v>16661</v>
      </c>
      <c r="J401" s="5" t="s">
        <v>16682</v>
      </c>
      <c r="K401" s="11">
        <v>1</v>
      </c>
    </row>
    <row r="402" spans="2:11" ht="37.5" customHeight="1" x14ac:dyDescent="0.35">
      <c r="B402" s="12">
        <v>33</v>
      </c>
      <c r="C402" s="7" t="s">
        <v>16921</v>
      </c>
      <c r="D402" s="12">
        <v>18</v>
      </c>
      <c r="E402" s="7" t="s">
        <v>16968</v>
      </c>
      <c r="F402" s="7" t="s">
        <v>16969</v>
      </c>
      <c r="G402" s="7" t="s">
        <v>16970</v>
      </c>
      <c r="H402" s="7" t="s">
        <v>50</v>
      </c>
      <c r="I402" s="7" t="s">
        <v>16661</v>
      </c>
      <c r="J402" s="7" t="s">
        <v>16682</v>
      </c>
      <c r="K402" s="12">
        <v>1</v>
      </c>
    </row>
    <row r="403" spans="2:11" ht="37.5" customHeight="1" x14ac:dyDescent="0.35">
      <c r="B403" s="11">
        <v>33</v>
      </c>
      <c r="C403" s="5" t="s">
        <v>16921</v>
      </c>
      <c r="D403" s="11">
        <v>19</v>
      </c>
      <c r="E403" s="5" t="s">
        <v>16971</v>
      </c>
      <c r="F403" s="5" t="s">
        <v>16972</v>
      </c>
      <c r="G403" s="5" t="s">
        <v>16973</v>
      </c>
      <c r="H403" s="5" t="s">
        <v>50</v>
      </c>
      <c r="I403" s="5" t="s">
        <v>16661</v>
      </c>
      <c r="J403" s="5" t="s">
        <v>16682</v>
      </c>
      <c r="K403" s="11">
        <v>1</v>
      </c>
    </row>
    <row r="404" spans="2:11" ht="37.5" customHeight="1" x14ac:dyDescent="0.35">
      <c r="B404" s="12">
        <v>33</v>
      </c>
      <c r="C404" s="7" t="s">
        <v>16921</v>
      </c>
      <c r="D404" s="12">
        <v>20</v>
      </c>
      <c r="E404" s="7" t="s">
        <v>16974</v>
      </c>
      <c r="F404" s="7" t="s">
        <v>16975</v>
      </c>
      <c r="G404" s="7" t="s">
        <v>16976</v>
      </c>
      <c r="H404" s="7" t="s">
        <v>50</v>
      </c>
      <c r="I404" s="7" t="s">
        <v>16661</v>
      </c>
      <c r="J404" s="7" t="s">
        <v>16682</v>
      </c>
      <c r="K404" s="12">
        <v>1</v>
      </c>
    </row>
    <row r="405" spans="2:11" ht="37.5" customHeight="1" x14ac:dyDescent="0.35">
      <c r="B405" s="11">
        <v>33</v>
      </c>
      <c r="C405" s="5" t="s">
        <v>16921</v>
      </c>
      <c r="D405" s="11">
        <v>21</v>
      </c>
      <c r="E405" s="5" t="s">
        <v>16977</v>
      </c>
      <c r="F405" s="5" t="s">
        <v>16978</v>
      </c>
      <c r="G405" s="5" t="s">
        <v>16979</v>
      </c>
      <c r="H405" s="5" t="s">
        <v>50</v>
      </c>
      <c r="I405" s="5" t="s">
        <v>16661</v>
      </c>
      <c r="J405" s="5" t="s">
        <v>16682</v>
      </c>
      <c r="K405" s="11">
        <v>1</v>
      </c>
    </row>
    <row r="406" spans="2:11" ht="37.5" customHeight="1" x14ac:dyDescent="0.35">
      <c r="B406" s="12">
        <v>33</v>
      </c>
      <c r="C406" s="7" t="s">
        <v>16921</v>
      </c>
      <c r="D406" s="12">
        <v>22</v>
      </c>
      <c r="E406" s="7" t="s">
        <v>16980</v>
      </c>
      <c r="F406" s="7" t="s">
        <v>16981</v>
      </c>
      <c r="G406" s="7" t="s">
        <v>16982</v>
      </c>
      <c r="H406" s="7" t="s">
        <v>50</v>
      </c>
      <c r="I406" s="7" t="s">
        <v>16661</v>
      </c>
      <c r="J406" s="7" t="s">
        <v>16682</v>
      </c>
      <c r="K406" s="12">
        <v>1</v>
      </c>
    </row>
    <row r="407" spans="2:11" ht="37.5" customHeight="1" x14ac:dyDescent="0.35">
      <c r="B407" s="11">
        <v>33</v>
      </c>
      <c r="C407" s="5" t="s">
        <v>16921</v>
      </c>
      <c r="D407" s="11">
        <v>23</v>
      </c>
      <c r="E407" s="5" t="s">
        <v>16983</v>
      </c>
      <c r="F407" s="5" t="s">
        <v>16984</v>
      </c>
      <c r="G407" s="5" t="s">
        <v>16985</v>
      </c>
      <c r="H407" s="5" t="s">
        <v>50</v>
      </c>
      <c r="I407" s="5" t="s">
        <v>16661</v>
      </c>
      <c r="J407" s="5" t="s">
        <v>16682</v>
      </c>
      <c r="K407" s="11">
        <v>1</v>
      </c>
    </row>
    <row r="408" spans="2:11" ht="37.5" customHeight="1" x14ac:dyDescent="0.35">
      <c r="B408" s="12">
        <v>33</v>
      </c>
      <c r="C408" s="7" t="s">
        <v>16921</v>
      </c>
      <c r="D408" s="12">
        <v>24</v>
      </c>
      <c r="E408" s="7" t="s">
        <v>16986</v>
      </c>
      <c r="F408" s="7" t="s">
        <v>16987</v>
      </c>
      <c r="G408" s="7" t="s">
        <v>7217</v>
      </c>
      <c r="H408" s="7" t="s">
        <v>50</v>
      </c>
      <c r="I408" s="7" t="s">
        <v>16661</v>
      </c>
      <c r="J408" s="7" t="s">
        <v>16682</v>
      </c>
      <c r="K408" s="12">
        <v>1</v>
      </c>
    </row>
    <row r="409" spans="2:11" ht="37.5" customHeight="1" x14ac:dyDescent="0.35">
      <c r="B409" s="11">
        <v>33</v>
      </c>
      <c r="C409" s="5" t="s">
        <v>16921</v>
      </c>
      <c r="D409" s="11">
        <v>25</v>
      </c>
      <c r="E409" s="5" t="s">
        <v>16988</v>
      </c>
      <c r="F409" s="5" t="s">
        <v>16989</v>
      </c>
      <c r="G409" s="5" t="s">
        <v>16304</v>
      </c>
      <c r="H409" s="5" t="s">
        <v>50</v>
      </c>
      <c r="I409" s="5" t="s">
        <v>16661</v>
      </c>
      <c r="J409" s="5" t="s">
        <v>16682</v>
      </c>
      <c r="K409" s="11">
        <v>1</v>
      </c>
    </row>
    <row r="410" spans="2:11" ht="37.5" customHeight="1" x14ac:dyDescent="0.35">
      <c r="B410" s="12">
        <v>33</v>
      </c>
      <c r="C410" s="7" t="s">
        <v>16921</v>
      </c>
      <c r="D410" s="12">
        <v>26</v>
      </c>
      <c r="E410" s="7" t="s">
        <v>16990</v>
      </c>
      <c r="F410" s="7" t="s">
        <v>16991</v>
      </c>
      <c r="G410" s="7" t="s">
        <v>16713</v>
      </c>
      <c r="H410" s="7" t="s">
        <v>15696</v>
      </c>
      <c r="I410" s="7" t="s">
        <v>16661</v>
      </c>
      <c r="J410" s="7" t="s">
        <v>16662</v>
      </c>
      <c r="K410" s="12">
        <v>1</v>
      </c>
    </row>
    <row r="411" spans="2:11" ht="37.5" customHeight="1" x14ac:dyDescent="0.35">
      <c r="B411" s="11">
        <v>33</v>
      </c>
      <c r="C411" s="5" t="s">
        <v>16921</v>
      </c>
      <c r="D411" s="11">
        <v>27</v>
      </c>
      <c r="E411" s="5" t="s">
        <v>16992</v>
      </c>
      <c r="F411" s="5" t="s">
        <v>16993</v>
      </c>
      <c r="G411" s="5" t="s">
        <v>16994</v>
      </c>
      <c r="H411" s="5" t="s">
        <v>50</v>
      </c>
      <c r="I411" s="5" t="s">
        <v>16661</v>
      </c>
      <c r="J411" s="5" t="s">
        <v>16682</v>
      </c>
      <c r="K411" s="11">
        <v>1</v>
      </c>
    </row>
    <row r="412" spans="2:11" ht="37.5" customHeight="1" x14ac:dyDescent="0.35">
      <c r="B412" s="12">
        <v>33</v>
      </c>
      <c r="C412" s="7" t="s">
        <v>16921</v>
      </c>
      <c r="D412" s="12">
        <v>28</v>
      </c>
      <c r="E412" s="7" t="s">
        <v>16995</v>
      </c>
      <c r="F412" s="7" t="s">
        <v>16996</v>
      </c>
      <c r="G412" s="7" t="s">
        <v>16997</v>
      </c>
      <c r="H412" s="7" t="s">
        <v>50</v>
      </c>
      <c r="I412" s="7" t="s">
        <v>16661</v>
      </c>
      <c r="J412" s="7" t="s">
        <v>16682</v>
      </c>
      <c r="K412" s="12">
        <v>1</v>
      </c>
    </row>
    <row r="413" spans="2:11" ht="37.5" customHeight="1" x14ac:dyDescent="0.35">
      <c r="B413" s="11">
        <v>33</v>
      </c>
      <c r="C413" s="5" t="s">
        <v>16921</v>
      </c>
      <c r="D413" s="11">
        <v>29</v>
      </c>
      <c r="E413" s="5" t="s">
        <v>16998</v>
      </c>
      <c r="F413" s="5" t="s">
        <v>16999</v>
      </c>
      <c r="G413" s="5" t="s">
        <v>17000</v>
      </c>
      <c r="H413" s="5" t="s">
        <v>50</v>
      </c>
      <c r="I413" s="5" t="s">
        <v>16661</v>
      </c>
      <c r="J413" s="5" t="s">
        <v>16682</v>
      </c>
      <c r="K413" s="11">
        <v>1</v>
      </c>
    </row>
    <row r="414" spans="2:11" ht="37.5" customHeight="1" x14ac:dyDescent="0.35">
      <c r="B414" s="12">
        <v>33</v>
      </c>
      <c r="C414" s="7" t="s">
        <v>16921</v>
      </c>
      <c r="D414" s="12">
        <v>30</v>
      </c>
      <c r="E414" s="7" t="s">
        <v>17001</v>
      </c>
      <c r="F414" s="7" t="s">
        <v>17002</v>
      </c>
      <c r="G414" s="7" t="s">
        <v>17003</v>
      </c>
      <c r="H414" s="7" t="s">
        <v>50</v>
      </c>
      <c r="I414" s="7" t="s">
        <v>16661</v>
      </c>
      <c r="J414" s="7" t="s">
        <v>16682</v>
      </c>
      <c r="K414" s="12">
        <v>1</v>
      </c>
    </row>
    <row r="415" spans="2:11" ht="37.5" customHeight="1" x14ac:dyDescent="0.35">
      <c r="B415" s="11">
        <v>33</v>
      </c>
      <c r="C415" s="5" t="s">
        <v>16921</v>
      </c>
      <c r="D415" s="11">
        <v>31</v>
      </c>
      <c r="E415" s="5" t="s">
        <v>17004</v>
      </c>
      <c r="F415" s="5" t="s">
        <v>17005</v>
      </c>
      <c r="G415" s="5" t="s">
        <v>16774</v>
      </c>
      <c r="H415" s="5" t="s">
        <v>50</v>
      </c>
      <c r="I415" s="5" t="s">
        <v>16661</v>
      </c>
      <c r="J415" s="5" t="s">
        <v>16682</v>
      </c>
      <c r="K415" s="11">
        <v>1</v>
      </c>
    </row>
    <row r="416" spans="2:11" ht="37.5" customHeight="1" x14ac:dyDescent="0.35">
      <c r="B416" s="12">
        <v>33</v>
      </c>
      <c r="C416" s="7" t="s">
        <v>16921</v>
      </c>
      <c r="D416" s="12">
        <v>32</v>
      </c>
      <c r="E416" s="7" t="s">
        <v>17006</v>
      </c>
      <c r="F416" s="7" t="s">
        <v>17007</v>
      </c>
      <c r="G416" s="7" t="s">
        <v>16774</v>
      </c>
      <c r="H416" s="7" t="s">
        <v>50</v>
      </c>
      <c r="I416" s="7" t="s">
        <v>16661</v>
      </c>
      <c r="J416" s="7" t="s">
        <v>16682</v>
      </c>
      <c r="K416" s="12">
        <v>1</v>
      </c>
    </row>
    <row r="417" spans="2:11" ht="37.5" customHeight="1" x14ac:dyDescent="0.35">
      <c r="B417" s="11">
        <v>33</v>
      </c>
      <c r="C417" s="5" t="s">
        <v>16921</v>
      </c>
      <c r="D417" s="11">
        <v>33</v>
      </c>
      <c r="E417" s="5" t="s">
        <v>17008</v>
      </c>
      <c r="F417" s="5" t="s">
        <v>17009</v>
      </c>
      <c r="G417" s="5" t="s">
        <v>16420</v>
      </c>
      <c r="H417" s="5" t="s">
        <v>50</v>
      </c>
      <c r="I417" s="5" t="s">
        <v>16661</v>
      </c>
      <c r="J417" s="5" t="s">
        <v>16682</v>
      </c>
      <c r="K417" s="11">
        <v>1</v>
      </c>
    </row>
    <row r="418" spans="2:11" ht="37.5" customHeight="1" x14ac:dyDescent="0.35">
      <c r="B418" s="12">
        <v>33</v>
      </c>
      <c r="C418" s="7" t="s">
        <v>16921</v>
      </c>
      <c r="D418" s="12">
        <v>34</v>
      </c>
      <c r="E418" s="7" t="s">
        <v>17010</v>
      </c>
      <c r="F418" s="7" t="s">
        <v>17011</v>
      </c>
      <c r="G418" s="7" t="s">
        <v>17012</v>
      </c>
      <c r="H418" s="7" t="s">
        <v>50</v>
      </c>
      <c r="I418" s="7" t="s">
        <v>16661</v>
      </c>
      <c r="J418" s="7" t="s">
        <v>16682</v>
      </c>
      <c r="K418" s="12">
        <v>1</v>
      </c>
    </row>
    <row r="419" spans="2:11" ht="37.5" customHeight="1" x14ac:dyDescent="0.35">
      <c r="B419" s="11">
        <v>33</v>
      </c>
      <c r="C419" s="5" t="s">
        <v>16921</v>
      </c>
      <c r="D419" s="11">
        <v>35</v>
      </c>
      <c r="E419" s="5" t="s">
        <v>17013</v>
      </c>
      <c r="F419" s="5" t="s">
        <v>17014</v>
      </c>
      <c r="G419" s="5" t="s">
        <v>17015</v>
      </c>
      <c r="H419" s="5" t="s">
        <v>50</v>
      </c>
      <c r="I419" s="5" t="s">
        <v>16661</v>
      </c>
      <c r="J419" s="5" t="s">
        <v>16682</v>
      </c>
      <c r="K419" s="11">
        <v>1</v>
      </c>
    </row>
    <row r="420" spans="2:11" ht="37.5" customHeight="1" x14ac:dyDescent="0.35">
      <c r="B420" s="12">
        <v>33</v>
      </c>
      <c r="C420" s="7" t="s">
        <v>16921</v>
      </c>
      <c r="D420" s="12">
        <v>36</v>
      </c>
      <c r="E420" s="7" t="s">
        <v>17016</v>
      </c>
      <c r="F420" s="7" t="s">
        <v>17017</v>
      </c>
      <c r="G420" s="7" t="s">
        <v>17018</v>
      </c>
      <c r="H420" s="7" t="s">
        <v>50</v>
      </c>
      <c r="I420" s="7" t="s">
        <v>16661</v>
      </c>
      <c r="J420" s="7" t="s">
        <v>16682</v>
      </c>
      <c r="K420" s="12">
        <v>1</v>
      </c>
    </row>
    <row r="421" spans="2:11" ht="37.5" customHeight="1" x14ac:dyDescent="0.35">
      <c r="B421" s="11">
        <v>33</v>
      </c>
      <c r="C421" s="5" t="s">
        <v>16921</v>
      </c>
      <c r="D421" s="11">
        <v>37</v>
      </c>
      <c r="E421" s="5" t="s">
        <v>17019</v>
      </c>
      <c r="F421" s="5" t="s">
        <v>17020</v>
      </c>
      <c r="G421" s="5" t="s">
        <v>17021</v>
      </c>
      <c r="H421" s="5" t="s">
        <v>50</v>
      </c>
      <c r="I421" s="5" t="s">
        <v>16661</v>
      </c>
      <c r="J421" s="5" t="s">
        <v>16682</v>
      </c>
      <c r="K421" s="11">
        <v>1</v>
      </c>
    </row>
    <row r="422" spans="2:11" ht="37.5" customHeight="1" x14ac:dyDescent="0.35">
      <c r="B422" s="12">
        <v>33</v>
      </c>
      <c r="C422" s="7" t="s">
        <v>16921</v>
      </c>
      <c r="D422" s="12">
        <v>38</v>
      </c>
      <c r="E422" s="7" t="s">
        <v>17022</v>
      </c>
      <c r="F422" s="7" t="s">
        <v>17023</v>
      </c>
      <c r="G422" s="7" t="s">
        <v>16774</v>
      </c>
      <c r="H422" s="7" t="s">
        <v>50</v>
      </c>
      <c r="I422" s="7" t="s">
        <v>16661</v>
      </c>
      <c r="J422" s="7" t="s">
        <v>16682</v>
      </c>
      <c r="K422" s="12">
        <v>1</v>
      </c>
    </row>
    <row r="423" spans="2:11" ht="37.5" customHeight="1" x14ac:dyDescent="0.35">
      <c r="B423" s="11">
        <v>33</v>
      </c>
      <c r="C423" s="5" t="s">
        <v>16921</v>
      </c>
      <c r="D423" s="11">
        <v>39</v>
      </c>
      <c r="E423" s="5" t="s">
        <v>17024</v>
      </c>
      <c r="F423" s="5" t="s">
        <v>17025</v>
      </c>
      <c r="G423" s="5" t="s">
        <v>16685</v>
      </c>
      <c r="H423" s="5" t="s">
        <v>50</v>
      </c>
      <c r="I423" s="5" t="s">
        <v>16661</v>
      </c>
      <c r="J423" s="5" t="s">
        <v>16682</v>
      </c>
      <c r="K423" s="11">
        <v>1</v>
      </c>
    </row>
    <row r="424" spans="2:11" ht="37.5" customHeight="1" x14ac:dyDescent="0.35">
      <c r="B424" s="12">
        <v>33</v>
      </c>
      <c r="C424" s="7" t="s">
        <v>16921</v>
      </c>
      <c r="D424" s="12">
        <v>40</v>
      </c>
      <c r="E424" s="7" t="s">
        <v>17026</v>
      </c>
      <c r="F424" s="7" t="s">
        <v>17027</v>
      </c>
      <c r="G424" s="7" t="s">
        <v>17028</v>
      </c>
      <c r="H424" s="7" t="s">
        <v>50</v>
      </c>
      <c r="I424" s="7" t="s">
        <v>16661</v>
      </c>
      <c r="J424" s="7" t="s">
        <v>16682</v>
      </c>
      <c r="K424" s="12">
        <v>1</v>
      </c>
    </row>
    <row r="425" spans="2:11" ht="37.5" customHeight="1" x14ac:dyDescent="0.35">
      <c r="B425" s="11">
        <v>33</v>
      </c>
      <c r="C425" s="5" t="s">
        <v>16921</v>
      </c>
      <c r="D425" s="11">
        <v>41</v>
      </c>
      <c r="E425" s="5" t="s">
        <v>17029</v>
      </c>
      <c r="F425" s="5" t="s">
        <v>17030</v>
      </c>
      <c r="G425" s="5" t="s">
        <v>17018</v>
      </c>
      <c r="H425" s="5" t="s">
        <v>50</v>
      </c>
      <c r="I425" s="5" t="s">
        <v>16661</v>
      </c>
      <c r="J425" s="5" t="s">
        <v>16682</v>
      </c>
      <c r="K425" s="11">
        <v>1</v>
      </c>
    </row>
    <row r="426" spans="2:11" ht="37.5" customHeight="1" x14ac:dyDescent="0.35">
      <c r="B426" s="12">
        <v>33</v>
      </c>
      <c r="C426" s="7" t="s">
        <v>16921</v>
      </c>
      <c r="D426" s="12">
        <v>42</v>
      </c>
      <c r="E426" s="7" t="s">
        <v>17031</v>
      </c>
      <c r="F426" s="7" t="s">
        <v>17032</v>
      </c>
      <c r="G426" s="7" t="s">
        <v>17033</v>
      </c>
      <c r="H426" s="7" t="s">
        <v>50</v>
      </c>
      <c r="I426" s="7" t="s">
        <v>16661</v>
      </c>
      <c r="J426" s="7" t="s">
        <v>16682</v>
      </c>
      <c r="K426" s="12">
        <v>1</v>
      </c>
    </row>
    <row r="427" spans="2:11" ht="37.5" customHeight="1" x14ac:dyDescent="0.35">
      <c r="B427" s="11">
        <v>33</v>
      </c>
      <c r="C427" s="5" t="s">
        <v>16921</v>
      </c>
      <c r="D427" s="11">
        <v>43</v>
      </c>
      <c r="E427" s="5" t="s">
        <v>17034</v>
      </c>
      <c r="F427" s="5" t="s">
        <v>17035</v>
      </c>
      <c r="G427" s="5" t="s">
        <v>17036</v>
      </c>
      <c r="H427" s="5" t="s">
        <v>50</v>
      </c>
      <c r="I427" s="5" t="s">
        <v>16661</v>
      </c>
      <c r="J427" s="5" t="s">
        <v>16682</v>
      </c>
      <c r="K427" s="11">
        <v>1</v>
      </c>
    </row>
    <row r="428" spans="2:11" ht="37.5" customHeight="1" x14ac:dyDescent="0.35">
      <c r="B428" s="12">
        <v>33</v>
      </c>
      <c r="C428" s="7" t="s">
        <v>16921</v>
      </c>
      <c r="D428" s="12">
        <v>44</v>
      </c>
      <c r="E428" s="7" t="s">
        <v>17037</v>
      </c>
      <c r="F428" s="7" t="s">
        <v>17038</v>
      </c>
      <c r="G428" s="7" t="s">
        <v>17039</v>
      </c>
      <c r="H428" s="7" t="s">
        <v>50</v>
      </c>
      <c r="I428" s="7" t="s">
        <v>16661</v>
      </c>
      <c r="J428" s="7" t="s">
        <v>16682</v>
      </c>
      <c r="K428" s="12">
        <v>1</v>
      </c>
    </row>
    <row r="429" spans="2:11" ht="37.5" customHeight="1" x14ac:dyDescent="0.35">
      <c r="B429" s="11">
        <v>33</v>
      </c>
      <c r="C429" s="5" t="s">
        <v>16921</v>
      </c>
      <c r="D429" s="11">
        <v>45</v>
      </c>
      <c r="E429" s="5" t="s">
        <v>17040</v>
      </c>
      <c r="F429" s="5" t="s">
        <v>17041</v>
      </c>
      <c r="G429" s="5" t="s">
        <v>33</v>
      </c>
      <c r="H429" s="5" t="s">
        <v>50</v>
      </c>
      <c r="I429" s="5" t="s">
        <v>16661</v>
      </c>
      <c r="J429" s="5" t="s">
        <v>16682</v>
      </c>
      <c r="K429" s="11">
        <v>1</v>
      </c>
    </row>
    <row r="430" spans="2:11" ht="37.5" customHeight="1" x14ac:dyDescent="0.35">
      <c r="B430" s="12">
        <v>33</v>
      </c>
      <c r="C430" s="7" t="s">
        <v>16921</v>
      </c>
      <c r="D430" s="12">
        <v>46</v>
      </c>
      <c r="E430" s="7" t="s">
        <v>17042</v>
      </c>
      <c r="F430" s="7" t="s">
        <v>17043</v>
      </c>
      <c r="G430" s="7" t="s">
        <v>16399</v>
      </c>
      <c r="H430" s="7" t="s">
        <v>50</v>
      </c>
      <c r="I430" s="7" t="s">
        <v>16661</v>
      </c>
      <c r="J430" s="7" t="s">
        <v>16682</v>
      </c>
      <c r="K430" s="12">
        <v>1</v>
      </c>
    </row>
    <row r="431" spans="2:11" ht="37.5" customHeight="1" x14ac:dyDescent="0.35">
      <c r="B431" s="11">
        <v>33</v>
      </c>
      <c r="C431" s="5" t="s">
        <v>16921</v>
      </c>
      <c r="D431" s="11">
        <v>47</v>
      </c>
      <c r="E431" s="5" t="s">
        <v>17044</v>
      </c>
      <c r="F431" s="5" t="s">
        <v>17045</v>
      </c>
      <c r="G431" s="5" t="s">
        <v>16372</v>
      </c>
      <c r="H431" s="5" t="s">
        <v>50</v>
      </c>
      <c r="I431" s="5" t="s">
        <v>16661</v>
      </c>
      <c r="J431" s="5" t="s">
        <v>16682</v>
      </c>
      <c r="K431" s="11">
        <v>1</v>
      </c>
    </row>
    <row r="432" spans="2:11" ht="37.5" customHeight="1" x14ac:dyDescent="0.35">
      <c r="B432" s="12">
        <v>33</v>
      </c>
      <c r="C432" s="7" t="s">
        <v>16921</v>
      </c>
      <c r="D432" s="12">
        <v>48</v>
      </c>
      <c r="E432" s="7" t="s">
        <v>17046</v>
      </c>
      <c r="F432" s="7" t="s">
        <v>17047</v>
      </c>
      <c r="G432" s="7" t="s">
        <v>17048</v>
      </c>
      <c r="H432" s="7" t="s">
        <v>50</v>
      </c>
      <c r="I432" s="7" t="s">
        <v>16661</v>
      </c>
      <c r="J432" s="7" t="s">
        <v>16682</v>
      </c>
      <c r="K432" s="12">
        <v>1</v>
      </c>
    </row>
    <row r="433" spans="2:11" ht="37.5" customHeight="1" x14ac:dyDescent="0.35">
      <c r="B433" s="11">
        <v>33</v>
      </c>
      <c r="C433" s="5" t="s">
        <v>16921</v>
      </c>
      <c r="D433" s="11">
        <v>49</v>
      </c>
      <c r="E433" s="5" t="s">
        <v>17049</v>
      </c>
      <c r="F433" s="5" t="s">
        <v>17050</v>
      </c>
      <c r="G433" s="5" t="s">
        <v>17015</v>
      </c>
      <c r="H433" s="5" t="s">
        <v>50</v>
      </c>
      <c r="I433" s="5" t="s">
        <v>16661</v>
      </c>
      <c r="J433" s="5" t="s">
        <v>16682</v>
      </c>
      <c r="K433" s="11">
        <v>1</v>
      </c>
    </row>
    <row r="434" spans="2:11" ht="37.5" customHeight="1" x14ac:dyDescent="0.35">
      <c r="B434" s="12">
        <v>33</v>
      </c>
      <c r="C434" s="7" t="s">
        <v>16921</v>
      </c>
      <c r="D434" s="12">
        <v>50</v>
      </c>
      <c r="E434" s="7" t="s">
        <v>17051</v>
      </c>
      <c r="F434" s="7" t="s">
        <v>17052</v>
      </c>
      <c r="G434" s="7" t="s">
        <v>17053</v>
      </c>
      <c r="H434" s="7" t="s">
        <v>50</v>
      </c>
      <c r="I434" s="7" t="s">
        <v>16661</v>
      </c>
      <c r="J434" s="7" t="s">
        <v>16682</v>
      </c>
      <c r="K434" s="12">
        <v>1</v>
      </c>
    </row>
    <row r="435" spans="2:11" ht="37.5" customHeight="1" x14ac:dyDescent="0.35">
      <c r="B435" s="11">
        <v>33</v>
      </c>
      <c r="C435" s="5" t="s">
        <v>16921</v>
      </c>
      <c r="D435" s="11">
        <v>51</v>
      </c>
      <c r="E435" s="5" t="s">
        <v>17054</v>
      </c>
      <c r="F435" s="5" t="s">
        <v>17055</v>
      </c>
      <c r="G435" s="5" t="s">
        <v>15858</v>
      </c>
      <c r="H435" s="5" t="s">
        <v>50</v>
      </c>
      <c r="I435" s="5" t="s">
        <v>16661</v>
      </c>
      <c r="J435" s="5" t="s">
        <v>16682</v>
      </c>
      <c r="K435" s="11">
        <v>1</v>
      </c>
    </row>
    <row r="436" spans="2:11" ht="37.5" customHeight="1" x14ac:dyDescent="0.35">
      <c r="B436" s="12">
        <v>33</v>
      </c>
      <c r="C436" s="7" t="s">
        <v>16921</v>
      </c>
      <c r="D436" s="12">
        <v>52</v>
      </c>
      <c r="E436" s="7" t="s">
        <v>17056</v>
      </c>
      <c r="F436" s="7" t="s">
        <v>17057</v>
      </c>
      <c r="G436" s="7" t="s">
        <v>16774</v>
      </c>
      <c r="H436" s="7" t="s">
        <v>50</v>
      </c>
      <c r="I436" s="7" t="s">
        <v>16661</v>
      </c>
      <c r="J436" s="7" t="s">
        <v>16682</v>
      </c>
      <c r="K436" s="12">
        <v>1</v>
      </c>
    </row>
    <row r="437" spans="2:11" ht="37.5" customHeight="1" x14ac:dyDescent="0.35">
      <c r="B437" s="11">
        <v>33</v>
      </c>
      <c r="C437" s="5" t="s">
        <v>16921</v>
      </c>
      <c r="D437" s="11">
        <v>53</v>
      </c>
      <c r="E437" s="5" t="s">
        <v>17058</v>
      </c>
      <c r="F437" s="5" t="s">
        <v>17059</v>
      </c>
      <c r="G437" s="5" t="s">
        <v>17060</v>
      </c>
      <c r="H437" s="5" t="s">
        <v>50</v>
      </c>
      <c r="I437" s="5" t="s">
        <v>16661</v>
      </c>
      <c r="J437" s="5" t="s">
        <v>16682</v>
      </c>
      <c r="K437" s="11">
        <v>1</v>
      </c>
    </row>
    <row r="438" spans="2:11" ht="37.5" customHeight="1" x14ac:dyDescent="0.35">
      <c r="B438" s="12">
        <v>33</v>
      </c>
      <c r="C438" s="7" t="s">
        <v>16921</v>
      </c>
      <c r="D438" s="12">
        <v>54</v>
      </c>
      <c r="E438" s="7" t="s">
        <v>17061</v>
      </c>
      <c r="F438" s="7" t="s">
        <v>17062</v>
      </c>
      <c r="G438" s="7" t="s">
        <v>17063</v>
      </c>
      <c r="H438" s="7" t="s">
        <v>50</v>
      </c>
      <c r="I438" s="7" t="s">
        <v>16661</v>
      </c>
      <c r="J438" s="7" t="s">
        <v>16682</v>
      </c>
      <c r="K438" s="12">
        <v>1</v>
      </c>
    </row>
    <row r="439" spans="2:11" ht="37.5" customHeight="1" x14ac:dyDescent="0.35">
      <c r="B439" s="11">
        <v>33</v>
      </c>
      <c r="C439" s="5" t="s">
        <v>16921</v>
      </c>
      <c r="D439" s="11">
        <v>55</v>
      </c>
      <c r="E439" s="5" t="s">
        <v>17064</v>
      </c>
      <c r="F439" s="5" t="s">
        <v>17065</v>
      </c>
      <c r="G439" s="5" t="s">
        <v>17066</v>
      </c>
      <c r="H439" s="5" t="s">
        <v>50</v>
      </c>
      <c r="I439" s="5" t="s">
        <v>16661</v>
      </c>
      <c r="J439" s="5" t="s">
        <v>16682</v>
      </c>
      <c r="K439" s="11">
        <v>1</v>
      </c>
    </row>
    <row r="440" spans="2:11" ht="37.5" customHeight="1" x14ac:dyDescent="0.35">
      <c r="B440" s="12">
        <v>33</v>
      </c>
      <c r="C440" s="7" t="s">
        <v>16921</v>
      </c>
      <c r="D440" s="12">
        <v>56</v>
      </c>
      <c r="E440" s="7" t="s">
        <v>17067</v>
      </c>
      <c r="F440" s="7" t="s">
        <v>17068</v>
      </c>
      <c r="G440" s="7" t="s">
        <v>17069</v>
      </c>
      <c r="H440" s="7" t="s">
        <v>50</v>
      </c>
      <c r="I440" s="7" t="s">
        <v>16661</v>
      </c>
      <c r="J440" s="7" t="s">
        <v>16682</v>
      </c>
      <c r="K440" s="12">
        <v>1</v>
      </c>
    </row>
    <row r="441" spans="2:11" ht="37.5" customHeight="1" x14ac:dyDescent="0.35">
      <c r="B441" s="11">
        <v>33</v>
      </c>
      <c r="C441" s="5" t="s">
        <v>16921</v>
      </c>
      <c r="D441" s="11">
        <v>57</v>
      </c>
      <c r="E441" s="5" t="s">
        <v>17070</v>
      </c>
      <c r="F441" s="5" t="s">
        <v>17071</v>
      </c>
      <c r="G441" s="5" t="s">
        <v>17072</v>
      </c>
      <c r="H441" s="5" t="s">
        <v>50</v>
      </c>
      <c r="I441" s="5" t="s">
        <v>16661</v>
      </c>
      <c r="J441" s="5" t="s">
        <v>16682</v>
      </c>
      <c r="K441" s="11">
        <v>1</v>
      </c>
    </row>
    <row r="442" spans="2:11" ht="37.5" customHeight="1" x14ac:dyDescent="0.35">
      <c r="B442" s="12">
        <v>33</v>
      </c>
      <c r="C442" s="7" t="s">
        <v>16921</v>
      </c>
      <c r="D442" s="12">
        <v>58</v>
      </c>
      <c r="E442" s="7" t="s">
        <v>17073</v>
      </c>
      <c r="F442" s="7" t="s">
        <v>17074</v>
      </c>
      <c r="G442" s="7" t="s">
        <v>17075</v>
      </c>
      <c r="H442" s="7" t="s">
        <v>50</v>
      </c>
      <c r="I442" s="7" t="s">
        <v>16661</v>
      </c>
      <c r="J442" s="7" t="s">
        <v>16682</v>
      </c>
      <c r="K442" s="12">
        <v>1</v>
      </c>
    </row>
    <row r="443" spans="2:11" ht="37.5" customHeight="1" x14ac:dyDescent="0.35">
      <c r="B443" s="11">
        <v>33</v>
      </c>
      <c r="C443" s="5" t="s">
        <v>16921</v>
      </c>
      <c r="D443" s="11">
        <v>59</v>
      </c>
      <c r="E443" s="5" t="s">
        <v>17076</v>
      </c>
      <c r="F443" s="5" t="s">
        <v>17077</v>
      </c>
      <c r="G443" s="5" t="s">
        <v>15975</v>
      </c>
      <c r="H443" s="5" t="s">
        <v>50</v>
      </c>
      <c r="I443" s="5" t="s">
        <v>16661</v>
      </c>
      <c r="J443" s="5" t="s">
        <v>16682</v>
      </c>
      <c r="K443" s="11">
        <v>1</v>
      </c>
    </row>
    <row r="444" spans="2:11" ht="37.5" customHeight="1" x14ac:dyDescent="0.35">
      <c r="B444" s="12">
        <v>33</v>
      </c>
      <c r="C444" s="7" t="s">
        <v>16921</v>
      </c>
      <c r="D444" s="12">
        <v>60</v>
      </c>
      <c r="E444" s="7" t="s">
        <v>17078</v>
      </c>
      <c r="F444" s="7" t="s">
        <v>17079</v>
      </c>
      <c r="G444" s="7" t="s">
        <v>16670</v>
      </c>
      <c r="H444" s="7" t="s">
        <v>50</v>
      </c>
      <c r="I444" s="7" t="s">
        <v>16661</v>
      </c>
      <c r="J444" s="7" t="s">
        <v>16682</v>
      </c>
      <c r="K444" s="12">
        <v>1</v>
      </c>
    </row>
    <row r="445" spans="2:11" ht="37.5" customHeight="1" x14ac:dyDescent="0.35">
      <c r="B445" s="11">
        <v>33</v>
      </c>
      <c r="C445" s="5" t="s">
        <v>16921</v>
      </c>
      <c r="D445" s="11">
        <v>61</v>
      </c>
      <c r="E445" s="5" t="s">
        <v>17080</v>
      </c>
      <c r="F445" s="5" t="s">
        <v>17081</v>
      </c>
      <c r="G445" s="5" t="s">
        <v>17082</v>
      </c>
      <c r="H445" s="5" t="s">
        <v>50</v>
      </c>
      <c r="I445" s="5" t="s">
        <v>16661</v>
      </c>
      <c r="J445" s="5" t="s">
        <v>16682</v>
      </c>
      <c r="K445" s="11">
        <v>1</v>
      </c>
    </row>
    <row r="446" spans="2:11" ht="37.5" customHeight="1" x14ac:dyDescent="0.35">
      <c r="B446" s="12">
        <v>33</v>
      </c>
      <c r="C446" s="7" t="s">
        <v>16921</v>
      </c>
      <c r="D446" s="12">
        <v>62</v>
      </c>
      <c r="E446" s="7" t="s">
        <v>17083</v>
      </c>
      <c r="F446" s="7" t="s">
        <v>17084</v>
      </c>
      <c r="G446" s="7" t="s">
        <v>31</v>
      </c>
      <c r="H446" s="7" t="s">
        <v>50</v>
      </c>
      <c r="I446" s="7" t="s">
        <v>16661</v>
      </c>
      <c r="J446" s="7" t="s">
        <v>16682</v>
      </c>
      <c r="K446" s="12">
        <v>1</v>
      </c>
    </row>
    <row r="447" spans="2:11" ht="37.5" customHeight="1" x14ac:dyDescent="0.35">
      <c r="B447" s="11">
        <v>33</v>
      </c>
      <c r="C447" s="5" t="s">
        <v>16921</v>
      </c>
      <c r="D447" s="11">
        <v>63</v>
      </c>
      <c r="E447" s="5" t="s">
        <v>17085</v>
      </c>
      <c r="F447" s="5" t="s">
        <v>17086</v>
      </c>
      <c r="G447" s="5" t="s">
        <v>17087</v>
      </c>
      <c r="H447" s="5" t="s">
        <v>50</v>
      </c>
      <c r="I447" s="5" t="s">
        <v>16661</v>
      </c>
      <c r="J447" s="5" t="s">
        <v>16682</v>
      </c>
      <c r="K447" s="11">
        <v>1</v>
      </c>
    </row>
    <row r="448" spans="2:11" ht="37.5" customHeight="1" x14ac:dyDescent="0.35">
      <c r="B448" s="12">
        <v>33</v>
      </c>
      <c r="C448" s="7" t="s">
        <v>16921</v>
      </c>
      <c r="D448" s="12">
        <v>64</v>
      </c>
      <c r="E448" s="7" t="s">
        <v>17088</v>
      </c>
      <c r="F448" s="7" t="s">
        <v>17089</v>
      </c>
      <c r="G448" s="7" t="s">
        <v>17090</v>
      </c>
      <c r="H448" s="7" t="s">
        <v>50</v>
      </c>
      <c r="I448" s="7" t="s">
        <v>16661</v>
      </c>
      <c r="J448" s="7" t="s">
        <v>16682</v>
      </c>
      <c r="K448" s="12">
        <v>1</v>
      </c>
    </row>
    <row r="449" spans="2:11" ht="37.5" customHeight="1" x14ac:dyDescent="0.35">
      <c r="B449" s="11">
        <v>33</v>
      </c>
      <c r="C449" s="5" t="s">
        <v>16921</v>
      </c>
      <c r="D449" s="11">
        <v>65</v>
      </c>
      <c r="E449" s="5" t="s">
        <v>17091</v>
      </c>
      <c r="F449" s="5" t="s">
        <v>17092</v>
      </c>
      <c r="G449" s="5" t="s">
        <v>17093</v>
      </c>
      <c r="H449" s="5" t="s">
        <v>50</v>
      </c>
      <c r="I449" s="5" t="s">
        <v>16661</v>
      </c>
      <c r="J449" s="5" t="s">
        <v>16682</v>
      </c>
      <c r="K449" s="11">
        <v>1</v>
      </c>
    </row>
    <row r="450" spans="2:11" ht="37.5" customHeight="1" x14ac:dyDescent="0.35">
      <c r="B450" s="12">
        <v>33</v>
      </c>
      <c r="C450" s="7" t="s">
        <v>16921</v>
      </c>
      <c r="D450" s="12">
        <v>66</v>
      </c>
      <c r="E450" s="7" t="s">
        <v>17094</v>
      </c>
      <c r="F450" s="7" t="s">
        <v>17095</v>
      </c>
      <c r="G450" s="7" t="s">
        <v>16542</v>
      </c>
      <c r="H450" s="7" t="s">
        <v>50</v>
      </c>
      <c r="I450" s="7" t="s">
        <v>16661</v>
      </c>
      <c r="J450" s="7" t="s">
        <v>16682</v>
      </c>
      <c r="K450" s="12">
        <v>1</v>
      </c>
    </row>
    <row r="451" spans="2:11" ht="37.5" customHeight="1" x14ac:dyDescent="0.35">
      <c r="B451" s="11">
        <v>33</v>
      </c>
      <c r="C451" s="5" t="s">
        <v>16921</v>
      </c>
      <c r="D451" s="11">
        <v>67</v>
      </c>
      <c r="E451" s="5" t="s">
        <v>17096</v>
      </c>
      <c r="F451" s="5" t="s">
        <v>17097</v>
      </c>
      <c r="G451" s="5" t="s">
        <v>176</v>
      </c>
      <c r="H451" s="5" t="s">
        <v>50</v>
      </c>
      <c r="I451" s="5" t="s">
        <v>16661</v>
      </c>
      <c r="J451" s="5" t="s">
        <v>16682</v>
      </c>
      <c r="K451" s="11">
        <v>1</v>
      </c>
    </row>
    <row r="452" spans="2:11" ht="37.5" customHeight="1" x14ac:dyDescent="0.35">
      <c r="B452" s="12">
        <v>33</v>
      </c>
      <c r="C452" s="7" t="s">
        <v>16921</v>
      </c>
      <c r="D452" s="12">
        <v>68</v>
      </c>
      <c r="E452" s="7" t="s">
        <v>17098</v>
      </c>
      <c r="F452" s="7" t="s">
        <v>17099</v>
      </c>
      <c r="G452" s="7" t="s">
        <v>17100</v>
      </c>
      <c r="H452" s="7" t="s">
        <v>50</v>
      </c>
      <c r="I452" s="7" t="s">
        <v>16661</v>
      </c>
      <c r="J452" s="7" t="s">
        <v>16682</v>
      </c>
      <c r="K452" s="12">
        <v>1</v>
      </c>
    </row>
    <row r="453" spans="2:11" ht="37.5" customHeight="1" x14ac:dyDescent="0.35">
      <c r="B453" s="11">
        <v>33</v>
      </c>
      <c r="C453" s="5" t="s">
        <v>16921</v>
      </c>
      <c r="D453" s="11">
        <v>69</v>
      </c>
      <c r="E453" s="5" t="s">
        <v>17101</v>
      </c>
      <c r="F453" s="5" t="s">
        <v>17102</v>
      </c>
      <c r="G453" s="5" t="s">
        <v>752</v>
      </c>
      <c r="H453" s="5" t="s">
        <v>50</v>
      </c>
      <c r="I453" s="5" t="s">
        <v>16661</v>
      </c>
      <c r="J453" s="5" t="s">
        <v>16682</v>
      </c>
      <c r="K453" s="11">
        <v>1</v>
      </c>
    </row>
    <row r="454" spans="2:11" ht="37.5" customHeight="1" x14ac:dyDescent="0.35">
      <c r="B454" s="12">
        <v>33</v>
      </c>
      <c r="C454" s="7" t="s">
        <v>16921</v>
      </c>
      <c r="D454" s="12">
        <v>70</v>
      </c>
      <c r="E454" s="7" t="s">
        <v>17103</v>
      </c>
      <c r="F454" s="7" t="s">
        <v>17104</v>
      </c>
      <c r="G454" s="7" t="s">
        <v>15712</v>
      </c>
      <c r="H454" s="7" t="s">
        <v>50</v>
      </c>
      <c r="I454" s="7" t="s">
        <v>16661</v>
      </c>
      <c r="J454" s="7" t="s">
        <v>16682</v>
      </c>
      <c r="K454" s="12">
        <v>1</v>
      </c>
    </row>
    <row r="455" spans="2:11" ht="37.5" customHeight="1" x14ac:dyDescent="0.35">
      <c r="B455" s="11">
        <v>33</v>
      </c>
      <c r="C455" s="5" t="s">
        <v>16921</v>
      </c>
      <c r="D455" s="11">
        <v>71</v>
      </c>
      <c r="E455" s="5" t="s">
        <v>17105</v>
      </c>
      <c r="F455" s="5" t="s">
        <v>17106</v>
      </c>
      <c r="G455" s="5" t="s">
        <v>16423</v>
      </c>
      <c r="H455" s="5" t="s">
        <v>50</v>
      </c>
      <c r="I455" s="5" t="s">
        <v>16661</v>
      </c>
      <c r="J455" s="5" t="s">
        <v>16682</v>
      </c>
      <c r="K455" s="11">
        <v>1</v>
      </c>
    </row>
    <row r="456" spans="2:11" ht="37.5" customHeight="1" x14ac:dyDescent="0.35">
      <c r="B456" s="12">
        <v>33</v>
      </c>
      <c r="C456" s="7" t="s">
        <v>16921</v>
      </c>
      <c r="D456" s="12">
        <v>72</v>
      </c>
      <c r="E456" s="7" t="s">
        <v>17107</v>
      </c>
      <c r="F456" s="7" t="s">
        <v>17108</v>
      </c>
      <c r="G456" s="7" t="s">
        <v>17109</v>
      </c>
      <c r="H456" s="7" t="s">
        <v>50</v>
      </c>
      <c r="I456" s="7" t="s">
        <v>16661</v>
      </c>
      <c r="J456" s="7" t="s">
        <v>16682</v>
      </c>
      <c r="K456" s="12">
        <v>1</v>
      </c>
    </row>
    <row r="457" spans="2:11" ht="21.75" customHeight="1" x14ac:dyDescent="0.35">
      <c r="B457" s="11">
        <v>33</v>
      </c>
      <c r="C457" s="5" t="s">
        <v>16921</v>
      </c>
      <c r="D457" s="11">
        <v>73</v>
      </c>
      <c r="E457" s="5" t="s">
        <v>16317</v>
      </c>
      <c r="F457" s="5" t="s">
        <v>17110</v>
      </c>
      <c r="G457" s="5" t="s">
        <v>17111</v>
      </c>
      <c r="H457" s="5" t="s">
        <v>50</v>
      </c>
      <c r="I457" s="5" t="s">
        <v>16661</v>
      </c>
      <c r="J457" s="5" t="s">
        <v>16682</v>
      </c>
      <c r="K457" s="11">
        <v>1</v>
      </c>
    </row>
    <row r="458" spans="2:11" ht="21.75" customHeight="1" x14ac:dyDescent="0.35">
      <c r="B458" s="12">
        <v>33</v>
      </c>
      <c r="C458" s="7" t="s">
        <v>16921</v>
      </c>
      <c r="D458" s="12">
        <v>74</v>
      </c>
      <c r="E458" s="7" t="s">
        <v>17112</v>
      </c>
      <c r="F458" s="7" t="s">
        <v>17113</v>
      </c>
      <c r="G458" s="7" t="s">
        <v>16803</v>
      </c>
      <c r="H458" s="7" t="s">
        <v>50</v>
      </c>
      <c r="I458" s="7" t="s">
        <v>16661</v>
      </c>
      <c r="J458" s="7" t="s">
        <v>16682</v>
      </c>
      <c r="K458" s="12">
        <v>1</v>
      </c>
    </row>
    <row r="459" spans="2:11" ht="37.5" customHeight="1" x14ac:dyDescent="0.35">
      <c r="B459" s="11">
        <v>33</v>
      </c>
      <c r="C459" s="5" t="s">
        <v>16921</v>
      </c>
      <c r="D459" s="11">
        <v>75</v>
      </c>
      <c r="E459" s="5" t="s">
        <v>17114</v>
      </c>
      <c r="F459" s="5" t="s">
        <v>17115</v>
      </c>
      <c r="G459" s="5" t="s">
        <v>17116</v>
      </c>
      <c r="H459" s="5" t="s">
        <v>50</v>
      </c>
      <c r="I459" s="5" t="s">
        <v>16661</v>
      </c>
      <c r="J459" s="5" t="s">
        <v>16682</v>
      </c>
      <c r="K459" s="11">
        <v>1</v>
      </c>
    </row>
    <row r="460" spans="2:11" ht="37.5" customHeight="1" x14ac:dyDescent="0.35">
      <c r="B460" s="12">
        <v>33</v>
      </c>
      <c r="C460" s="7" t="s">
        <v>16921</v>
      </c>
      <c r="D460" s="12">
        <v>76</v>
      </c>
      <c r="E460" s="7" t="s">
        <v>17117</v>
      </c>
      <c r="F460" s="7" t="s">
        <v>17118</v>
      </c>
      <c r="G460" s="7" t="s">
        <v>16399</v>
      </c>
      <c r="H460" s="7" t="s">
        <v>50</v>
      </c>
      <c r="I460" s="7" t="s">
        <v>16661</v>
      </c>
      <c r="J460" s="7" t="s">
        <v>16682</v>
      </c>
      <c r="K460" s="12">
        <v>1</v>
      </c>
    </row>
    <row r="461" spans="2:11" ht="21.75" customHeight="1" x14ac:dyDescent="0.35">
      <c r="B461" s="11">
        <v>33</v>
      </c>
      <c r="C461" s="5" t="s">
        <v>16921</v>
      </c>
      <c r="D461" s="11">
        <v>77</v>
      </c>
      <c r="E461" s="5" t="s">
        <v>17119</v>
      </c>
      <c r="F461" s="5" t="s">
        <v>17120</v>
      </c>
      <c r="G461" s="5" t="s">
        <v>17121</v>
      </c>
      <c r="H461" s="5" t="s">
        <v>50</v>
      </c>
      <c r="I461" s="5" t="s">
        <v>16661</v>
      </c>
      <c r="J461" s="5" t="s">
        <v>16682</v>
      </c>
      <c r="K461" s="11">
        <v>1</v>
      </c>
    </row>
    <row r="462" spans="2:11" ht="21.75" customHeight="1" x14ac:dyDescent="0.35">
      <c r="B462" s="12">
        <v>33</v>
      </c>
      <c r="C462" s="7" t="s">
        <v>16921</v>
      </c>
      <c r="D462" s="12">
        <v>78</v>
      </c>
      <c r="E462" s="7" t="s">
        <v>17119</v>
      </c>
      <c r="F462" s="7" t="s">
        <v>17122</v>
      </c>
      <c r="G462" s="7" t="s">
        <v>17123</v>
      </c>
      <c r="H462" s="7" t="s">
        <v>50</v>
      </c>
      <c r="I462" s="7" t="s">
        <v>16661</v>
      </c>
      <c r="J462" s="7" t="s">
        <v>16682</v>
      </c>
      <c r="K462" s="12">
        <v>1</v>
      </c>
    </row>
    <row r="463" spans="2:11" ht="37.5" customHeight="1" x14ac:dyDescent="0.35">
      <c r="B463" s="11">
        <v>33</v>
      </c>
      <c r="C463" s="5" t="s">
        <v>16921</v>
      </c>
      <c r="D463" s="11">
        <v>79</v>
      </c>
      <c r="E463" s="5" t="s">
        <v>17124</v>
      </c>
      <c r="F463" s="5" t="s">
        <v>17125</v>
      </c>
      <c r="G463" s="5" t="s">
        <v>17126</v>
      </c>
      <c r="H463" s="5" t="s">
        <v>50</v>
      </c>
      <c r="I463" s="5" t="s">
        <v>16661</v>
      </c>
      <c r="J463" s="5" t="s">
        <v>16682</v>
      </c>
      <c r="K463" s="11">
        <v>1</v>
      </c>
    </row>
    <row r="464" spans="2:11" ht="37.5" customHeight="1" x14ac:dyDescent="0.35">
      <c r="B464" s="12">
        <v>33</v>
      </c>
      <c r="C464" s="7" t="s">
        <v>16921</v>
      </c>
      <c r="D464" s="12">
        <v>80</v>
      </c>
      <c r="E464" s="7" t="s">
        <v>17127</v>
      </c>
      <c r="F464" s="7" t="s">
        <v>17128</v>
      </c>
      <c r="G464" s="7" t="s">
        <v>17129</v>
      </c>
      <c r="H464" s="7" t="s">
        <v>50</v>
      </c>
      <c r="I464" s="7" t="s">
        <v>16661</v>
      </c>
      <c r="J464" s="7" t="s">
        <v>16682</v>
      </c>
      <c r="K464" s="12">
        <v>1</v>
      </c>
    </row>
    <row r="465" spans="2:11" ht="37.5" customHeight="1" x14ac:dyDescent="0.35">
      <c r="B465" s="11">
        <v>33</v>
      </c>
      <c r="C465" s="5" t="s">
        <v>16921</v>
      </c>
      <c r="D465" s="11">
        <v>81</v>
      </c>
      <c r="E465" s="5" t="s">
        <v>17130</v>
      </c>
      <c r="F465" s="5" t="s">
        <v>17131</v>
      </c>
      <c r="G465" s="5" t="s">
        <v>14572</v>
      </c>
      <c r="H465" s="5" t="s">
        <v>50</v>
      </c>
      <c r="I465" s="5" t="s">
        <v>16661</v>
      </c>
      <c r="J465" s="5" t="s">
        <v>16682</v>
      </c>
      <c r="K465" s="11">
        <v>1</v>
      </c>
    </row>
    <row r="466" spans="2:11" ht="37.5" customHeight="1" x14ac:dyDescent="0.35">
      <c r="B466" s="12">
        <v>33</v>
      </c>
      <c r="C466" s="7" t="s">
        <v>16921</v>
      </c>
      <c r="D466" s="12">
        <v>82</v>
      </c>
      <c r="E466" s="7" t="s">
        <v>17132</v>
      </c>
      <c r="F466" s="7" t="s">
        <v>17133</v>
      </c>
      <c r="G466" s="7" t="s">
        <v>17134</v>
      </c>
      <c r="H466" s="7" t="s">
        <v>50</v>
      </c>
      <c r="I466" s="7" t="s">
        <v>16661</v>
      </c>
      <c r="J466" s="7" t="s">
        <v>16682</v>
      </c>
      <c r="K466" s="12">
        <v>1</v>
      </c>
    </row>
    <row r="467" spans="2:11" ht="37.5" customHeight="1" x14ac:dyDescent="0.35">
      <c r="B467" s="11">
        <v>33</v>
      </c>
      <c r="C467" s="5" t="s">
        <v>16921</v>
      </c>
      <c r="D467" s="11">
        <v>83</v>
      </c>
      <c r="E467" s="5" t="s">
        <v>17135</v>
      </c>
      <c r="F467" s="5" t="s">
        <v>17136</v>
      </c>
      <c r="G467" s="5" t="s">
        <v>17137</v>
      </c>
      <c r="H467" s="5" t="s">
        <v>50</v>
      </c>
      <c r="I467" s="5" t="s">
        <v>16661</v>
      </c>
      <c r="J467" s="5" t="s">
        <v>16682</v>
      </c>
      <c r="K467" s="11">
        <v>1</v>
      </c>
    </row>
    <row r="468" spans="2:11" ht="37.5" customHeight="1" x14ac:dyDescent="0.35">
      <c r="B468" s="12">
        <v>33</v>
      </c>
      <c r="C468" s="7" t="s">
        <v>16921</v>
      </c>
      <c r="D468" s="12">
        <v>84</v>
      </c>
      <c r="E468" s="7" t="s">
        <v>17138</v>
      </c>
      <c r="F468" s="7" t="s">
        <v>17139</v>
      </c>
      <c r="G468" s="7" t="s">
        <v>17140</v>
      </c>
      <c r="H468" s="7" t="s">
        <v>50</v>
      </c>
      <c r="I468" s="7" t="s">
        <v>16661</v>
      </c>
      <c r="J468" s="7" t="s">
        <v>16682</v>
      </c>
      <c r="K468" s="12">
        <v>1</v>
      </c>
    </row>
    <row r="469" spans="2:11" ht="37.5" customHeight="1" x14ac:dyDescent="0.35">
      <c r="B469" s="11">
        <v>33</v>
      </c>
      <c r="C469" s="5" t="s">
        <v>16921</v>
      </c>
      <c r="D469" s="11">
        <v>85</v>
      </c>
      <c r="E469" s="5" t="s">
        <v>17141</v>
      </c>
      <c r="F469" s="5" t="s">
        <v>17142</v>
      </c>
      <c r="G469" s="5" t="s">
        <v>17143</v>
      </c>
      <c r="H469" s="5" t="s">
        <v>50</v>
      </c>
      <c r="I469" s="5" t="s">
        <v>16661</v>
      </c>
      <c r="J469" s="5" t="s">
        <v>16682</v>
      </c>
      <c r="K469" s="11">
        <v>1</v>
      </c>
    </row>
    <row r="470" spans="2:11" ht="37.5" customHeight="1" x14ac:dyDescent="0.35">
      <c r="B470" s="12">
        <v>33</v>
      </c>
      <c r="C470" s="7" t="s">
        <v>16921</v>
      </c>
      <c r="D470" s="12">
        <v>86</v>
      </c>
      <c r="E470" s="7" t="s">
        <v>17144</v>
      </c>
      <c r="F470" s="7" t="s">
        <v>17145</v>
      </c>
      <c r="G470" s="7" t="s">
        <v>17146</v>
      </c>
      <c r="H470" s="7" t="s">
        <v>50</v>
      </c>
      <c r="I470" s="7" t="s">
        <v>16661</v>
      </c>
      <c r="J470" s="7" t="s">
        <v>16682</v>
      </c>
      <c r="K470" s="12">
        <v>1</v>
      </c>
    </row>
    <row r="471" spans="2:11" ht="21.75" customHeight="1" x14ac:dyDescent="0.35">
      <c r="B471" s="11">
        <v>33</v>
      </c>
      <c r="C471" s="5" t="s">
        <v>16921</v>
      </c>
      <c r="D471" s="11">
        <v>87</v>
      </c>
      <c r="E471" s="5" t="s">
        <v>17147</v>
      </c>
      <c r="F471" s="5" t="s">
        <v>17148</v>
      </c>
      <c r="G471" s="5" t="s">
        <v>17149</v>
      </c>
      <c r="H471" s="5" t="s">
        <v>50</v>
      </c>
      <c r="I471" s="5" t="s">
        <v>16661</v>
      </c>
      <c r="J471" s="5" t="s">
        <v>16682</v>
      </c>
      <c r="K471" s="11">
        <v>1</v>
      </c>
    </row>
    <row r="472" spans="2:11" ht="37.5" customHeight="1" x14ac:dyDescent="0.35">
      <c r="B472" s="12">
        <v>33</v>
      </c>
      <c r="C472" s="7" t="s">
        <v>16921</v>
      </c>
      <c r="D472" s="12">
        <v>88</v>
      </c>
      <c r="E472" s="7" t="s">
        <v>17150</v>
      </c>
      <c r="F472" s="7" t="s">
        <v>17151</v>
      </c>
      <c r="G472" s="7" t="s">
        <v>17152</v>
      </c>
      <c r="H472" s="7" t="s">
        <v>50</v>
      </c>
      <c r="I472" s="7" t="s">
        <v>16661</v>
      </c>
      <c r="J472" s="7" t="s">
        <v>16682</v>
      </c>
      <c r="K472" s="12">
        <v>1</v>
      </c>
    </row>
    <row r="473" spans="2:11" ht="37.5" customHeight="1" x14ac:dyDescent="0.35">
      <c r="B473" s="11">
        <v>33</v>
      </c>
      <c r="C473" s="5" t="s">
        <v>16921</v>
      </c>
      <c r="D473" s="11">
        <v>89</v>
      </c>
      <c r="E473" s="5" t="s">
        <v>17153</v>
      </c>
      <c r="F473" s="5" t="s">
        <v>17154</v>
      </c>
      <c r="G473" s="5" t="s">
        <v>15959</v>
      </c>
      <c r="H473" s="5" t="s">
        <v>50</v>
      </c>
      <c r="I473" s="5" t="s">
        <v>16661</v>
      </c>
      <c r="J473" s="5" t="s">
        <v>16682</v>
      </c>
      <c r="K473" s="11">
        <v>1</v>
      </c>
    </row>
    <row r="474" spans="2:11" ht="21.75" customHeight="1" x14ac:dyDescent="0.35">
      <c r="B474" s="12">
        <v>33</v>
      </c>
      <c r="C474" s="7" t="s">
        <v>16921</v>
      </c>
      <c r="D474" s="12">
        <v>90</v>
      </c>
      <c r="E474" s="7" t="s">
        <v>17155</v>
      </c>
      <c r="F474" s="7" t="s">
        <v>17156</v>
      </c>
      <c r="G474" s="7" t="s">
        <v>17157</v>
      </c>
      <c r="H474" s="7" t="s">
        <v>50</v>
      </c>
      <c r="I474" s="7" t="s">
        <v>16661</v>
      </c>
      <c r="J474" s="7" t="s">
        <v>16682</v>
      </c>
      <c r="K474" s="12">
        <v>1</v>
      </c>
    </row>
    <row r="475" spans="2:11" ht="37.5" customHeight="1" x14ac:dyDescent="0.35">
      <c r="B475" s="11">
        <v>33</v>
      </c>
      <c r="C475" s="5" t="s">
        <v>16921</v>
      </c>
      <c r="D475" s="11">
        <v>91</v>
      </c>
      <c r="E475" s="5" t="s">
        <v>17158</v>
      </c>
      <c r="F475" s="5" t="s">
        <v>17159</v>
      </c>
      <c r="G475" s="5" t="s">
        <v>17160</v>
      </c>
      <c r="H475" s="5" t="s">
        <v>50</v>
      </c>
      <c r="I475" s="5" t="s">
        <v>16661</v>
      </c>
      <c r="J475" s="5" t="s">
        <v>16682</v>
      </c>
      <c r="K475" s="11">
        <v>1</v>
      </c>
    </row>
    <row r="476" spans="2:11" ht="37.5" customHeight="1" x14ac:dyDescent="0.35">
      <c r="B476" s="12">
        <v>33</v>
      </c>
      <c r="C476" s="7" t="s">
        <v>16921</v>
      </c>
      <c r="D476" s="12">
        <v>92</v>
      </c>
      <c r="E476" s="7" t="s">
        <v>17161</v>
      </c>
      <c r="F476" s="7" t="s">
        <v>17162</v>
      </c>
      <c r="G476" s="7" t="s">
        <v>17163</v>
      </c>
      <c r="H476" s="7" t="s">
        <v>50</v>
      </c>
      <c r="I476" s="7" t="s">
        <v>16661</v>
      </c>
      <c r="J476" s="7" t="s">
        <v>16682</v>
      </c>
      <c r="K476" s="12">
        <v>1</v>
      </c>
    </row>
    <row r="477" spans="2:11" ht="37.5" customHeight="1" x14ac:dyDescent="0.35">
      <c r="B477" s="11">
        <v>33</v>
      </c>
      <c r="C477" s="5" t="s">
        <v>16921</v>
      </c>
      <c r="D477" s="11">
        <v>93</v>
      </c>
      <c r="E477" s="5" t="s">
        <v>17164</v>
      </c>
      <c r="F477" s="5" t="s">
        <v>17165</v>
      </c>
      <c r="G477" s="5" t="s">
        <v>17166</v>
      </c>
      <c r="H477" s="5" t="s">
        <v>50</v>
      </c>
      <c r="I477" s="5" t="s">
        <v>16661</v>
      </c>
      <c r="J477" s="5" t="s">
        <v>16682</v>
      </c>
      <c r="K477" s="11">
        <v>1</v>
      </c>
    </row>
    <row r="478" spans="2:11" ht="21.75" customHeight="1" x14ac:dyDescent="0.35">
      <c r="B478" s="12">
        <v>33</v>
      </c>
      <c r="C478" s="7" t="s">
        <v>16921</v>
      </c>
      <c r="D478" s="12">
        <v>94</v>
      </c>
      <c r="E478" s="7" t="s">
        <v>17167</v>
      </c>
      <c r="F478" s="7" t="s">
        <v>17168</v>
      </c>
      <c r="G478" s="7" t="s">
        <v>16727</v>
      </c>
      <c r="H478" s="7" t="s">
        <v>50</v>
      </c>
      <c r="I478" s="7" t="s">
        <v>16661</v>
      </c>
      <c r="J478" s="7" t="s">
        <v>16682</v>
      </c>
      <c r="K478" s="12">
        <v>1</v>
      </c>
    </row>
    <row r="479" spans="2:11" ht="37.5" customHeight="1" x14ac:dyDescent="0.35">
      <c r="B479" s="11">
        <v>33</v>
      </c>
      <c r="C479" s="5" t="s">
        <v>16921</v>
      </c>
      <c r="D479" s="11">
        <v>95</v>
      </c>
      <c r="E479" s="5" t="s">
        <v>17169</v>
      </c>
      <c r="F479" s="5" t="s">
        <v>17170</v>
      </c>
      <c r="G479" s="5" t="s">
        <v>17171</v>
      </c>
      <c r="H479" s="5" t="s">
        <v>50</v>
      </c>
      <c r="I479" s="5" t="s">
        <v>16661</v>
      </c>
      <c r="J479" s="5" t="s">
        <v>16682</v>
      </c>
      <c r="K479" s="11">
        <v>1</v>
      </c>
    </row>
    <row r="480" spans="2:11" ht="37.5" customHeight="1" x14ac:dyDescent="0.35">
      <c r="B480" s="12">
        <v>33</v>
      </c>
      <c r="C480" s="7" t="s">
        <v>16921</v>
      </c>
      <c r="D480" s="12">
        <v>96</v>
      </c>
      <c r="E480" s="7" t="s">
        <v>17172</v>
      </c>
      <c r="F480" s="7" t="s">
        <v>17173</v>
      </c>
      <c r="G480" s="7" t="s">
        <v>17174</v>
      </c>
      <c r="H480" s="7" t="s">
        <v>50</v>
      </c>
      <c r="I480" s="7" t="s">
        <v>16661</v>
      </c>
      <c r="J480" s="7" t="s">
        <v>16682</v>
      </c>
      <c r="K480" s="12">
        <v>1</v>
      </c>
    </row>
    <row r="481" spans="2:11" ht="37.5" customHeight="1" x14ac:dyDescent="0.35">
      <c r="B481" s="11">
        <v>33</v>
      </c>
      <c r="C481" s="5" t="s">
        <v>16921</v>
      </c>
      <c r="D481" s="11">
        <v>97</v>
      </c>
      <c r="E481" s="5" t="s">
        <v>17175</v>
      </c>
      <c r="F481" s="5" t="s">
        <v>17176</v>
      </c>
      <c r="G481" s="5" t="s">
        <v>16924</v>
      </c>
      <c r="H481" s="5" t="s">
        <v>50</v>
      </c>
      <c r="I481" s="5" t="s">
        <v>16661</v>
      </c>
      <c r="J481" s="5" t="s">
        <v>16682</v>
      </c>
      <c r="K481" s="11">
        <v>1</v>
      </c>
    </row>
    <row r="482" spans="2:11" ht="37.5" customHeight="1" x14ac:dyDescent="0.35">
      <c r="B482" s="12">
        <v>33</v>
      </c>
      <c r="C482" s="7" t="s">
        <v>16921</v>
      </c>
      <c r="D482" s="12">
        <v>98</v>
      </c>
      <c r="E482" s="7" t="s">
        <v>17177</v>
      </c>
      <c r="F482" s="7" t="s">
        <v>17178</v>
      </c>
      <c r="G482" s="7" t="s">
        <v>17179</v>
      </c>
      <c r="H482" s="7" t="s">
        <v>50</v>
      </c>
      <c r="I482" s="7" t="s">
        <v>16661</v>
      </c>
      <c r="J482" s="7" t="s">
        <v>16682</v>
      </c>
      <c r="K482" s="12">
        <v>1</v>
      </c>
    </row>
    <row r="483" spans="2:11" ht="37.5" customHeight="1" x14ac:dyDescent="0.35">
      <c r="B483" s="11">
        <v>33</v>
      </c>
      <c r="C483" s="5" t="s">
        <v>16921</v>
      </c>
      <c r="D483" s="11">
        <v>99</v>
      </c>
      <c r="E483" s="5" t="s">
        <v>17180</v>
      </c>
      <c r="F483" s="5" t="s">
        <v>17181</v>
      </c>
      <c r="G483" s="5" t="s">
        <v>17182</v>
      </c>
      <c r="H483" s="5" t="s">
        <v>50</v>
      </c>
      <c r="I483" s="5" t="s">
        <v>16661</v>
      </c>
      <c r="J483" s="5" t="s">
        <v>16682</v>
      </c>
      <c r="K483" s="11">
        <v>1</v>
      </c>
    </row>
    <row r="484" spans="2:11" ht="37.5" customHeight="1" x14ac:dyDescent="0.35">
      <c r="B484" s="12">
        <v>33</v>
      </c>
      <c r="C484" s="7" t="s">
        <v>16921</v>
      </c>
      <c r="D484" s="12">
        <v>100</v>
      </c>
      <c r="E484" s="7" t="s">
        <v>17183</v>
      </c>
      <c r="F484" s="7" t="s">
        <v>17184</v>
      </c>
      <c r="G484" s="7" t="s">
        <v>17185</v>
      </c>
      <c r="H484" s="7" t="s">
        <v>50</v>
      </c>
      <c r="I484" s="7" t="s">
        <v>16661</v>
      </c>
      <c r="J484" s="7" t="s">
        <v>16682</v>
      </c>
      <c r="K484" s="12">
        <v>1</v>
      </c>
    </row>
    <row r="485" spans="2:11" ht="37.5" customHeight="1" x14ac:dyDescent="0.35">
      <c r="B485" s="11">
        <v>33</v>
      </c>
      <c r="C485" s="5" t="s">
        <v>16921</v>
      </c>
      <c r="D485" s="11">
        <v>101</v>
      </c>
      <c r="E485" s="5" t="s">
        <v>17186</v>
      </c>
      <c r="F485" s="5" t="s">
        <v>16270</v>
      </c>
      <c r="G485" s="5" t="s">
        <v>17187</v>
      </c>
      <c r="H485" s="5" t="s">
        <v>50</v>
      </c>
      <c r="I485" s="5" t="s">
        <v>16661</v>
      </c>
      <c r="J485" s="5" t="s">
        <v>16682</v>
      </c>
      <c r="K485" s="11">
        <v>1</v>
      </c>
    </row>
    <row r="486" spans="2:11" ht="21.75" customHeight="1" x14ac:dyDescent="0.35">
      <c r="B486" s="12">
        <v>33</v>
      </c>
      <c r="C486" s="7" t="s">
        <v>16921</v>
      </c>
      <c r="D486" s="12">
        <v>102</v>
      </c>
      <c r="E486" s="7" t="s">
        <v>17188</v>
      </c>
      <c r="F486" s="7" t="s">
        <v>17189</v>
      </c>
      <c r="G486" s="7" t="s">
        <v>17190</v>
      </c>
      <c r="H486" s="7" t="s">
        <v>50</v>
      </c>
      <c r="I486" s="7" t="s">
        <v>16661</v>
      </c>
      <c r="J486" s="7" t="s">
        <v>16682</v>
      </c>
      <c r="K486" s="12">
        <v>1</v>
      </c>
    </row>
    <row r="487" spans="2:11" ht="37.5" customHeight="1" x14ac:dyDescent="0.35">
      <c r="B487" s="11">
        <v>33</v>
      </c>
      <c r="C487" s="5" t="s">
        <v>16921</v>
      </c>
      <c r="D487" s="11">
        <v>103</v>
      </c>
      <c r="E487" s="5" t="s">
        <v>17191</v>
      </c>
      <c r="F487" s="5" t="s">
        <v>17192</v>
      </c>
      <c r="G487" s="5" t="s">
        <v>17193</v>
      </c>
      <c r="H487" s="5" t="s">
        <v>50</v>
      </c>
      <c r="I487" s="5" t="s">
        <v>16335</v>
      </c>
      <c r="J487" s="5" t="s">
        <v>16347</v>
      </c>
      <c r="K487" s="11">
        <v>1</v>
      </c>
    </row>
    <row r="488" spans="2:11" ht="37.5" customHeight="1" x14ac:dyDescent="0.35">
      <c r="B488" s="12">
        <v>33</v>
      </c>
      <c r="C488" s="7" t="s">
        <v>16921</v>
      </c>
      <c r="D488" s="12">
        <v>104</v>
      </c>
      <c r="E488" s="7" t="s">
        <v>17194</v>
      </c>
      <c r="F488" s="7" t="s">
        <v>17195</v>
      </c>
      <c r="G488" s="7" t="s">
        <v>17196</v>
      </c>
      <c r="H488" s="7" t="s">
        <v>50</v>
      </c>
      <c r="I488" s="7" t="s">
        <v>16335</v>
      </c>
      <c r="J488" s="7" t="s">
        <v>16347</v>
      </c>
      <c r="K488" s="12">
        <v>1</v>
      </c>
    </row>
    <row r="489" spans="2:11" ht="37.5" customHeight="1" x14ac:dyDescent="0.35">
      <c r="B489" s="11">
        <v>33</v>
      </c>
      <c r="C489" s="5" t="s">
        <v>16921</v>
      </c>
      <c r="D489" s="11">
        <v>105</v>
      </c>
      <c r="E489" s="5" t="s">
        <v>17197</v>
      </c>
      <c r="F489" s="5" t="s">
        <v>17198</v>
      </c>
      <c r="G489" s="5" t="s">
        <v>17199</v>
      </c>
      <c r="H489" s="5" t="s">
        <v>50</v>
      </c>
      <c r="I489" s="5" t="s">
        <v>16335</v>
      </c>
      <c r="J489" s="5" t="s">
        <v>16347</v>
      </c>
      <c r="K489" s="11">
        <v>1</v>
      </c>
    </row>
    <row r="490" spans="2:11" ht="21.75" customHeight="1" x14ac:dyDescent="0.35">
      <c r="B490" s="12">
        <v>33</v>
      </c>
      <c r="C490" s="7" t="s">
        <v>16921</v>
      </c>
      <c r="D490" s="12">
        <v>106</v>
      </c>
      <c r="E490" s="7" t="s">
        <v>17200</v>
      </c>
      <c r="F490" s="7" t="s">
        <v>17201</v>
      </c>
      <c r="G490" s="7" t="s">
        <v>8167</v>
      </c>
      <c r="H490" s="7" t="s">
        <v>50</v>
      </c>
      <c r="I490" s="7" t="s">
        <v>16335</v>
      </c>
      <c r="J490" s="7" t="s">
        <v>16347</v>
      </c>
      <c r="K490" s="12">
        <v>1</v>
      </c>
    </row>
    <row r="491" spans="2:11" ht="37.5" customHeight="1" x14ac:dyDescent="0.35">
      <c r="B491" s="11">
        <v>33</v>
      </c>
      <c r="C491" s="5" t="s">
        <v>16921</v>
      </c>
      <c r="D491" s="11">
        <v>107</v>
      </c>
      <c r="E491" s="5" t="s">
        <v>17202</v>
      </c>
      <c r="F491" s="5" t="s">
        <v>17203</v>
      </c>
      <c r="G491" s="5" t="s">
        <v>17204</v>
      </c>
      <c r="H491" s="5" t="s">
        <v>50</v>
      </c>
      <c r="I491" s="5" t="s">
        <v>16335</v>
      </c>
      <c r="J491" s="5" t="s">
        <v>16347</v>
      </c>
      <c r="K491" s="11">
        <v>1</v>
      </c>
    </row>
    <row r="492" spans="2:11" ht="37.5" customHeight="1" x14ac:dyDescent="0.35">
      <c r="B492" s="12">
        <v>33</v>
      </c>
      <c r="C492" s="7" t="s">
        <v>16921</v>
      </c>
      <c r="D492" s="12">
        <v>108</v>
      </c>
      <c r="E492" s="7" t="s">
        <v>17205</v>
      </c>
      <c r="F492" s="7" t="s">
        <v>17206</v>
      </c>
      <c r="G492" s="7" t="s">
        <v>17207</v>
      </c>
      <c r="H492" s="7" t="s">
        <v>50</v>
      </c>
      <c r="I492" s="7" t="s">
        <v>16335</v>
      </c>
      <c r="J492" s="7" t="s">
        <v>16347</v>
      </c>
      <c r="K492" s="12">
        <v>1</v>
      </c>
    </row>
    <row r="493" spans="2:11" ht="21.75" customHeight="1" x14ac:dyDescent="0.35">
      <c r="B493" s="11">
        <v>33</v>
      </c>
      <c r="C493" s="5" t="s">
        <v>16921</v>
      </c>
      <c r="D493" s="11">
        <v>109</v>
      </c>
      <c r="E493" s="5" t="s">
        <v>17208</v>
      </c>
      <c r="F493" s="5" t="s">
        <v>17209</v>
      </c>
      <c r="G493" s="5" t="s">
        <v>7670</v>
      </c>
      <c r="H493" s="5" t="s">
        <v>50</v>
      </c>
      <c r="I493" s="5" t="s">
        <v>16335</v>
      </c>
      <c r="J493" s="5" t="s">
        <v>16347</v>
      </c>
      <c r="K493" s="11">
        <v>1</v>
      </c>
    </row>
    <row r="494" spans="2:11" ht="21.75" customHeight="1" x14ac:dyDescent="0.35">
      <c r="B494" s="12">
        <v>33</v>
      </c>
      <c r="C494" s="7" t="s">
        <v>16921</v>
      </c>
      <c r="D494" s="12">
        <v>110</v>
      </c>
      <c r="E494" s="7" t="s">
        <v>17210</v>
      </c>
      <c r="F494" s="7" t="s">
        <v>17211</v>
      </c>
      <c r="G494" s="7" t="s">
        <v>17212</v>
      </c>
      <c r="H494" s="7" t="s">
        <v>50</v>
      </c>
      <c r="I494" s="7" t="s">
        <v>16335</v>
      </c>
      <c r="J494" s="7" t="s">
        <v>16347</v>
      </c>
      <c r="K494" s="12">
        <v>1</v>
      </c>
    </row>
    <row r="495" spans="2:11" ht="37.5" customHeight="1" x14ac:dyDescent="0.35">
      <c r="B495" s="11">
        <v>33</v>
      </c>
      <c r="C495" s="5" t="s">
        <v>16921</v>
      </c>
      <c r="D495" s="11">
        <v>111</v>
      </c>
      <c r="E495" s="5" t="s">
        <v>17213</v>
      </c>
      <c r="F495" s="5" t="s">
        <v>17214</v>
      </c>
      <c r="G495" s="5" t="s">
        <v>17069</v>
      </c>
      <c r="H495" s="5" t="s">
        <v>50</v>
      </c>
      <c r="I495" s="5" t="s">
        <v>16335</v>
      </c>
      <c r="J495" s="5" t="s">
        <v>16347</v>
      </c>
      <c r="K495" s="11">
        <v>1</v>
      </c>
    </row>
    <row r="496" spans="2:11" ht="21.75" customHeight="1" x14ac:dyDescent="0.35">
      <c r="B496" s="12">
        <v>33</v>
      </c>
      <c r="C496" s="7" t="s">
        <v>16921</v>
      </c>
      <c r="D496" s="12">
        <v>112</v>
      </c>
      <c r="E496" s="7" t="s">
        <v>17215</v>
      </c>
      <c r="F496" s="7" t="s">
        <v>17216</v>
      </c>
      <c r="G496" s="7" t="s">
        <v>17217</v>
      </c>
      <c r="H496" s="7" t="s">
        <v>50</v>
      </c>
      <c r="I496" s="7" t="s">
        <v>16335</v>
      </c>
      <c r="J496" s="7" t="s">
        <v>16347</v>
      </c>
      <c r="K496" s="12">
        <v>1</v>
      </c>
    </row>
    <row r="497" spans="2:11" ht="37.5" customHeight="1" x14ac:dyDescent="0.35">
      <c r="B497" s="11">
        <v>33</v>
      </c>
      <c r="C497" s="5" t="s">
        <v>16921</v>
      </c>
      <c r="D497" s="11">
        <v>113</v>
      </c>
      <c r="E497" s="5" t="s">
        <v>17218</v>
      </c>
      <c r="F497" s="5" t="s">
        <v>17219</v>
      </c>
      <c r="G497" s="5" t="s">
        <v>17220</v>
      </c>
      <c r="H497" s="5" t="s">
        <v>50</v>
      </c>
      <c r="I497" s="5" t="s">
        <v>16335</v>
      </c>
      <c r="J497" s="5" t="s">
        <v>16347</v>
      </c>
      <c r="K497" s="11">
        <v>1</v>
      </c>
    </row>
    <row r="498" spans="2:11" ht="21.75" customHeight="1" x14ac:dyDescent="0.35">
      <c r="B498" s="12">
        <v>33</v>
      </c>
      <c r="C498" s="7" t="s">
        <v>16921</v>
      </c>
      <c r="D498" s="12">
        <v>114</v>
      </c>
      <c r="E498" s="7" t="s">
        <v>17221</v>
      </c>
      <c r="F498" s="7" t="s">
        <v>17222</v>
      </c>
      <c r="G498" s="7" t="s">
        <v>17223</v>
      </c>
      <c r="H498" s="7" t="s">
        <v>50</v>
      </c>
      <c r="I498" s="7" t="s">
        <v>16335</v>
      </c>
      <c r="J498" s="7" t="s">
        <v>16347</v>
      </c>
      <c r="K498" s="12">
        <v>1</v>
      </c>
    </row>
    <row r="499" spans="2:11" ht="37.5" customHeight="1" x14ac:dyDescent="0.35">
      <c r="B499" s="11">
        <v>33</v>
      </c>
      <c r="C499" s="5" t="s">
        <v>16921</v>
      </c>
      <c r="D499" s="11">
        <v>115</v>
      </c>
      <c r="E499" s="5" t="s">
        <v>17224</v>
      </c>
      <c r="F499" s="5" t="s">
        <v>17225</v>
      </c>
      <c r="G499" s="5" t="s">
        <v>17226</v>
      </c>
      <c r="H499" s="5" t="s">
        <v>50</v>
      </c>
      <c r="I499" s="5" t="s">
        <v>16335</v>
      </c>
      <c r="J499" s="5" t="s">
        <v>16347</v>
      </c>
      <c r="K499" s="11">
        <v>1</v>
      </c>
    </row>
    <row r="500" spans="2:11" ht="37.5" customHeight="1" x14ac:dyDescent="0.35">
      <c r="B500" s="12">
        <v>33</v>
      </c>
      <c r="C500" s="7" t="s">
        <v>16921</v>
      </c>
      <c r="D500" s="12">
        <v>116</v>
      </c>
      <c r="E500" s="7" t="s">
        <v>17227</v>
      </c>
      <c r="F500" s="7" t="s">
        <v>17228</v>
      </c>
      <c r="G500" s="7" t="s">
        <v>17229</v>
      </c>
      <c r="H500" s="7" t="s">
        <v>50</v>
      </c>
      <c r="I500" s="7" t="s">
        <v>16335</v>
      </c>
      <c r="J500" s="7" t="s">
        <v>16347</v>
      </c>
      <c r="K500" s="12">
        <v>1</v>
      </c>
    </row>
    <row r="501" spans="2:11" ht="37.5" customHeight="1" x14ac:dyDescent="0.35">
      <c r="B501" s="11">
        <v>34</v>
      </c>
      <c r="C501" s="5" t="s">
        <v>17230</v>
      </c>
      <c r="D501" s="11">
        <v>1</v>
      </c>
      <c r="E501" s="5" t="s">
        <v>17231</v>
      </c>
      <c r="F501" s="5" t="s">
        <v>17232</v>
      </c>
      <c r="G501" s="5" t="s">
        <v>24</v>
      </c>
      <c r="H501" s="5" t="s">
        <v>15696</v>
      </c>
      <c r="I501" s="5" t="s">
        <v>17233</v>
      </c>
      <c r="J501" s="5" t="s">
        <v>17234</v>
      </c>
      <c r="K501" s="11">
        <v>1</v>
      </c>
    </row>
    <row r="502" spans="2:11" ht="37.5" customHeight="1" x14ac:dyDescent="0.35">
      <c r="B502" s="12">
        <v>34</v>
      </c>
      <c r="C502" s="7" t="s">
        <v>17230</v>
      </c>
      <c r="D502" s="12">
        <v>2</v>
      </c>
      <c r="E502" s="7" t="s">
        <v>17235</v>
      </c>
      <c r="F502" s="7" t="s">
        <v>17236</v>
      </c>
      <c r="G502" s="7" t="s">
        <v>17237</v>
      </c>
      <c r="H502" s="7" t="s">
        <v>15696</v>
      </c>
      <c r="I502" s="7" t="s">
        <v>17233</v>
      </c>
      <c r="J502" s="7" t="s">
        <v>17234</v>
      </c>
      <c r="K502" s="12">
        <v>1</v>
      </c>
    </row>
    <row r="503" spans="2:11" ht="37.5" customHeight="1" x14ac:dyDescent="0.35">
      <c r="B503" s="11">
        <v>34</v>
      </c>
      <c r="C503" s="5" t="s">
        <v>17230</v>
      </c>
      <c r="D503" s="11">
        <v>3</v>
      </c>
      <c r="E503" s="5" t="s">
        <v>17238</v>
      </c>
      <c r="F503" s="5" t="s">
        <v>17239</v>
      </c>
      <c r="G503" s="5" t="s">
        <v>24</v>
      </c>
      <c r="H503" s="5" t="s">
        <v>15696</v>
      </c>
      <c r="I503" s="5" t="s">
        <v>17233</v>
      </c>
      <c r="J503" s="5" t="s">
        <v>17234</v>
      </c>
      <c r="K503" s="11">
        <v>1</v>
      </c>
    </row>
    <row r="504" spans="2:11" ht="37.5" customHeight="1" x14ac:dyDescent="0.35">
      <c r="B504" s="12">
        <v>34</v>
      </c>
      <c r="C504" s="7" t="s">
        <v>17230</v>
      </c>
      <c r="D504" s="12">
        <v>4</v>
      </c>
      <c r="E504" s="7" t="s">
        <v>17240</v>
      </c>
      <c r="F504" s="7" t="s">
        <v>17241</v>
      </c>
      <c r="G504" s="7" t="s">
        <v>16189</v>
      </c>
      <c r="H504" s="7" t="s">
        <v>50</v>
      </c>
      <c r="I504" s="7" t="s">
        <v>17242</v>
      </c>
      <c r="J504" s="7" t="s">
        <v>17243</v>
      </c>
      <c r="K504" s="12">
        <v>1</v>
      </c>
    </row>
    <row r="505" spans="2:11" ht="37.5" customHeight="1" x14ac:dyDescent="0.35">
      <c r="B505" s="11">
        <v>34</v>
      </c>
      <c r="C505" s="5" t="s">
        <v>17230</v>
      </c>
      <c r="D505" s="11">
        <v>5</v>
      </c>
      <c r="E505" s="5" t="s">
        <v>17244</v>
      </c>
      <c r="F505" s="5" t="s">
        <v>17245</v>
      </c>
      <c r="G505" s="5" t="s">
        <v>17246</v>
      </c>
      <c r="H505" s="5" t="s">
        <v>50</v>
      </c>
      <c r="I505" s="5" t="s">
        <v>17242</v>
      </c>
      <c r="J505" s="5" t="s">
        <v>17243</v>
      </c>
      <c r="K505" s="11">
        <v>1</v>
      </c>
    </row>
    <row r="506" spans="2:11" ht="37.5" customHeight="1" x14ac:dyDescent="0.35">
      <c r="B506" s="12">
        <v>34</v>
      </c>
      <c r="C506" s="7" t="s">
        <v>17230</v>
      </c>
      <c r="D506" s="12">
        <v>6</v>
      </c>
      <c r="E506" s="7" t="s">
        <v>17247</v>
      </c>
      <c r="F506" s="7" t="s">
        <v>17248</v>
      </c>
      <c r="G506" s="7" t="s">
        <v>15858</v>
      </c>
      <c r="H506" s="7" t="s">
        <v>50</v>
      </c>
      <c r="I506" s="7" t="s">
        <v>17242</v>
      </c>
      <c r="J506" s="7" t="s">
        <v>17243</v>
      </c>
      <c r="K506" s="12">
        <v>1</v>
      </c>
    </row>
    <row r="507" spans="2:11" ht="37.5" customHeight="1" x14ac:dyDescent="0.35">
      <c r="B507" s="11">
        <v>34</v>
      </c>
      <c r="C507" s="5" t="s">
        <v>17230</v>
      </c>
      <c r="D507" s="11">
        <v>7</v>
      </c>
      <c r="E507" s="5" t="s">
        <v>17249</v>
      </c>
      <c r="F507" s="5" t="s">
        <v>17250</v>
      </c>
      <c r="G507" s="5" t="s">
        <v>16879</v>
      </c>
      <c r="H507" s="5" t="s">
        <v>50</v>
      </c>
      <c r="I507" s="5" t="s">
        <v>17242</v>
      </c>
      <c r="J507" s="5" t="s">
        <v>17243</v>
      </c>
      <c r="K507" s="11">
        <v>1</v>
      </c>
    </row>
    <row r="508" spans="2:11" ht="37.5" customHeight="1" x14ac:dyDescent="0.35">
      <c r="B508" s="12">
        <v>34</v>
      </c>
      <c r="C508" s="7" t="s">
        <v>17230</v>
      </c>
      <c r="D508" s="12">
        <v>8</v>
      </c>
      <c r="E508" s="7" t="s">
        <v>17251</v>
      </c>
      <c r="F508" s="7" t="s">
        <v>17252</v>
      </c>
      <c r="G508" s="7" t="s">
        <v>16685</v>
      </c>
      <c r="H508" s="7" t="s">
        <v>50</v>
      </c>
      <c r="I508" s="7" t="s">
        <v>17242</v>
      </c>
      <c r="J508" s="7" t="s">
        <v>17243</v>
      </c>
      <c r="K508" s="12">
        <v>1</v>
      </c>
    </row>
    <row r="509" spans="2:11" ht="37.5" customHeight="1" x14ac:dyDescent="0.35">
      <c r="B509" s="11">
        <v>34</v>
      </c>
      <c r="C509" s="5" t="s">
        <v>17230</v>
      </c>
      <c r="D509" s="11">
        <v>9</v>
      </c>
      <c r="E509" s="5" t="s">
        <v>17253</v>
      </c>
      <c r="F509" s="5" t="s">
        <v>17254</v>
      </c>
      <c r="G509" s="5" t="s">
        <v>17255</v>
      </c>
      <c r="H509" s="5" t="s">
        <v>50</v>
      </c>
      <c r="I509" s="5" t="s">
        <v>17242</v>
      </c>
      <c r="J509" s="5" t="s">
        <v>17243</v>
      </c>
      <c r="K509" s="11">
        <v>1</v>
      </c>
    </row>
    <row r="510" spans="2:11" ht="37.5" customHeight="1" x14ac:dyDescent="0.35">
      <c r="B510" s="12">
        <v>34</v>
      </c>
      <c r="C510" s="7" t="s">
        <v>17230</v>
      </c>
      <c r="D510" s="12">
        <v>10</v>
      </c>
      <c r="E510" s="7" t="s">
        <v>17256</v>
      </c>
      <c r="F510" s="7" t="s">
        <v>17257</v>
      </c>
      <c r="G510" s="7" t="s">
        <v>16304</v>
      </c>
      <c r="H510" s="7" t="s">
        <v>50</v>
      </c>
      <c r="I510" s="7" t="s">
        <v>17242</v>
      </c>
      <c r="J510" s="7" t="s">
        <v>17243</v>
      </c>
      <c r="K510" s="12">
        <v>1</v>
      </c>
    </row>
    <row r="511" spans="2:11" ht="37.5" customHeight="1" x14ac:dyDescent="0.35">
      <c r="B511" s="11">
        <v>34</v>
      </c>
      <c r="C511" s="5" t="s">
        <v>17230</v>
      </c>
      <c r="D511" s="11">
        <v>11</v>
      </c>
      <c r="E511" s="5" t="s">
        <v>17258</v>
      </c>
      <c r="F511" s="5" t="s">
        <v>17259</v>
      </c>
      <c r="G511" s="5" t="s">
        <v>16688</v>
      </c>
      <c r="H511" s="5" t="s">
        <v>50</v>
      </c>
      <c r="I511" s="5" t="s">
        <v>17242</v>
      </c>
      <c r="J511" s="5" t="s">
        <v>17243</v>
      </c>
      <c r="K511" s="11">
        <v>1</v>
      </c>
    </row>
    <row r="512" spans="2:11" ht="52.5" customHeight="1" x14ac:dyDescent="0.35">
      <c r="B512" s="12">
        <v>34</v>
      </c>
      <c r="C512" s="7" t="s">
        <v>17230</v>
      </c>
      <c r="D512" s="12">
        <v>12</v>
      </c>
      <c r="E512" s="7" t="s">
        <v>17260</v>
      </c>
      <c r="F512" s="7" t="s">
        <v>17261</v>
      </c>
      <c r="G512" s="7" t="s">
        <v>17262</v>
      </c>
      <c r="H512" s="7" t="s">
        <v>50</v>
      </c>
      <c r="I512" s="7" t="s">
        <v>17242</v>
      </c>
      <c r="J512" s="7" t="s">
        <v>17243</v>
      </c>
      <c r="K512" s="12">
        <v>1</v>
      </c>
    </row>
    <row r="513" spans="2:11" ht="37.5" customHeight="1" x14ac:dyDescent="0.35">
      <c r="B513" s="11">
        <v>34</v>
      </c>
      <c r="C513" s="5" t="s">
        <v>17230</v>
      </c>
      <c r="D513" s="11">
        <v>13</v>
      </c>
      <c r="E513" s="5" t="s">
        <v>17263</v>
      </c>
      <c r="F513" s="5" t="s">
        <v>17264</v>
      </c>
      <c r="G513" s="5" t="s">
        <v>17265</v>
      </c>
      <c r="H513" s="5" t="s">
        <v>50</v>
      </c>
      <c r="I513" s="5" t="s">
        <v>17242</v>
      </c>
      <c r="J513" s="5" t="s">
        <v>17243</v>
      </c>
      <c r="K513" s="11">
        <v>1</v>
      </c>
    </row>
    <row r="514" spans="2:11" ht="37.5" customHeight="1" x14ac:dyDescent="0.35">
      <c r="B514" s="12">
        <v>34</v>
      </c>
      <c r="C514" s="7" t="s">
        <v>17230</v>
      </c>
      <c r="D514" s="12">
        <v>14</v>
      </c>
      <c r="E514" s="7" t="s">
        <v>17266</v>
      </c>
      <c r="F514" s="7" t="s">
        <v>17267</v>
      </c>
      <c r="G514" s="7" t="s">
        <v>16932</v>
      </c>
      <c r="H514" s="7" t="s">
        <v>50</v>
      </c>
      <c r="I514" s="7" t="s">
        <v>17242</v>
      </c>
      <c r="J514" s="7" t="s">
        <v>17243</v>
      </c>
      <c r="K514" s="12">
        <v>1</v>
      </c>
    </row>
    <row r="515" spans="2:11" ht="37.5" customHeight="1" x14ac:dyDescent="0.35">
      <c r="B515" s="11">
        <v>34</v>
      </c>
      <c r="C515" s="5" t="s">
        <v>17230</v>
      </c>
      <c r="D515" s="11">
        <v>15</v>
      </c>
      <c r="E515" s="5" t="s">
        <v>17268</v>
      </c>
      <c r="F515" s="5" t="s">
        <v>17269</v>
      </c>
      <c r="G515" s="5" t="s">
        <v>17270</v>
      </c>
      <c r="H515" s="5" t="s">
        <v>50</v>
      </c>
      <c r="I515" s="5" t="s">
        <v>17242</v>
      </c>
      <c r="J515" s="5" t="s">
        <v>17243</v>
      </c>
      <c r="K515" s="11">
        <v>1</v>
      </c>
    </row>
    <row r="516" spans="2:11" ht="21.75" customHeight="1" x14ac:dyDescent="0.35">
      <c r="B516" s="12">
        <v>34</v>
      </c>
      <c r="C516" s="7" t="s">
        <v>17230</v>
      </c>
      <c r="D516" s="12">
        <v>16</v>
      </c>
      <c r="E516" s="7" t="s">
        <v>17271</v>
      </c>
      <c r="F516" s="7" t="s">
        <v>17272</v>
      </c>
      <c r="G516" s="7" t="s">
        <v>755</v>
      </c>
      <c r="H516" s="7" t="s">
        <v>50</v>
      </c>
      <c r="I516" s="7" t="s">
        <v>17242</v>
      </c>
      <c r="J516" s="7" t="s">
        <v>17243</v>
      </c>
      <c r="K516" s="12">
        <v>1</v>
      </c>
    </row>
    <row r="517" spans="2:11" ht="37.5" customHeight="1" x14ac:dyDescent="0.35">
      <c r="B517" s="11">
        <v>35</v>
      </c>
      <c r="C517" s="5" t="s">
        <v>17273</v>
      </c>
      <c r="D517" s="11">
        <v>1</v>
      </c>
      <c r="E517" s="5" t="s">
        <v>17274</v>
      </c>
      <c r="F517" s="5" t="s">
        <v>17275</v>
      </c>
      <c r="G517" s="5" t="s">
        <v>16997</v>
      </c>
      <c r="H517" s="5" t="s">
        <v>15696</v>
      </c>
      <c r="I517" s="5" t="s">
        <v>17233</v>
      </c>
      <c r="J517" s="5" t="s">
        <v>17234</v>
      </c>
      <c r="K517" s="11">
        <v>1</v>
      </c>
    </row>
    <row r="518" spans="2:11" ht="37.5" customHeight="1" x14ac:dyDescent="0.35">
      <c r="B518" s="12">
        <v>35</v>
      </c>
      <c r="C518" s="7" t="s">
        <v>17273</v>
      </c>
      <c r="D518" s="12">
        <v>2</v>
      </c>
      <c r="E518" s="7" t="s">
        <v>17276</v>
      </c>
      <c r="F518" s="7" t="s">
        <v>17277</v>
      </c>
      <c r="G518" s="7" t="s">
        <v>17003</v>
      </c>
      <c r="H518" s="7" t="s">
        <v>50</v>
      </c>
      <c r="I518" s="7" t="s">
        <v>17233</v>
      </c>
      <c r="J518" s="7" t="s">
        <v>17278</v>
      </c>
      <c r="K518" s="12">
        <v>1</v>
      </c>
    </row>
    <row r="519" spans="2:11" ht="37.5" customHeight="1" x14ac:dyDescent="0.35">
      <c r="B519" s="11">
        <v>36</v>
      </c>
      <c r="C519" s="5" t="s">
        <v>17279</v>
      </c>
      <c r="D519" s="11">
        <v>1</v>
      </c>
      <c r="E519" s="5" t="s">
        <v>17280</v>
      </c>
      <c r="F519" s="5" t="s">
        <v>17281</v>
      </c>
      <c r="G519" s="5" t="s">
        <v>16964</v>
      </c>
      <c r="H519" s="5" t="s">
        <v>50</v>
      </c>
      <c r="I519" s="5" t="s">
        <v>16661</v>
      </c>
      <c r="J519" s="5" t="s">
        <v>16682</v>
      </c>
      <c r="K519" s="11">
        <v>1</v>
      </c>
    </row>
    <row r="520" spans="2:11" ht="37.5" customHeight="1" x14ac:dyDescent="0.35">
      <c r="B520" s="12">
        <v>37</v>
      </c>
      <c r="C520" s="7" t="s">
        <v>17282</v>
      </c>
      <c r="D520" s="12">
        <v>1</v>
      </c>
      <c r="E520" s="7" t="s">
        <v>17283</v>
      </c>
      <c r="F520" s="7" t="s">
        <v>17284</v>
      </c>
      <c r="G520" s="7" t="s">
        <v>17285</v>
      </c>
      <c r="H520" s="7" t="s">
        <v>17286</v>
      </c>
      <c r="I520" s="7" t="s">
        <v>17287</v>
      </c>
      <c r="J520" s="7" t="s">
        <v>17288</v>
      </c>
      <c r="K520" s="12">
        <v>1</v>
      </c>
    </row>
    <row r="521" spans="2:11" ht="21.75" customHeight="1" x14ac:dyDescent="0.35">
      <c r="B521" s="11">
        <v>37</v>
      </c>
      <c r="C521" s="5" t="s">
        <v>17282</v>
      </c>
      <c r="D521" s="11">
        <v>2</v>
      </c>
      <c r="E521" s="5" t="s">
        <v>17289</v>
      </c>
      <c r="F521" s="5" t="s">
        <v>17290</v>
      </c>
      <c r="G521" s="5" t="s">
        <v>17291</v>
      </c>
      <c r="H521" s="5" t="s">
        <v>15690</v>
      </c>
      <c r="I521" s="5" t="s">
        <v>15766</v>
      </c>
      <c r="J521" s="5" t="s">
        <v>15767</v>
      </c>
      <c r="K521" s="11">
        <v>1</v>
      </c>
    </row>
    <row r="522" spans="2:11" ht="37.5" customHeight="1" x14ac:dyDescent="0.35">
      <c r="B522" s="12">
        <v>38</v>
      </c>
      <c r="C522" s="7" t="s">
        <v>5459</v>
      </c>
      <c r="D522" s="12">
        <v>1</v>
      </c>
      <c r="E522" s="7" t="s">
        <v>17292</v>
      </c>
      <c r="F522" s="7" t="s">
        <v>17293</v>
      </c>
      <c r="G522" s="7" t="s">
        <v>17237</v>
      </c>
      <c r="H522" s="7" t="s">
        <v>15696</v>
      </c>
      <c r="I522" s="7" t="s">
        <v>17294</v>
      </c>
      <c r="J522" s="7" t="s">
        <v>17295</v>
      </c>
      <c r="K522" s="12">
        <v>1</v>
      </c>
    </row>
    <row r="523" spans="2:11" ht="37.5" customHeight="1" x14ac:dyDescent="0.35">
      <c r="B523" s="11">
        <v>38</v>
      </c>
      <c r="C523" s="5" t="s">
        <v>5459</v>
      </c>
      <c r="D523" s="11">
        <v>2</v>
      </c>
      <c r="E523" s="5" t="s">
        <v>17296</v>
      </c>
      <c r="F523" s="5" t="s">
        <v>17297</v>
      </c>
      <c r="G523" s="5" t="s">
        <v>16304</v>
      </c>
      <c r="H523" s="5" t="s">
        <v>17298</v>
      </c>
      <c r="I523" s="5" t="s">
        <v>17299</v>
      </c>
      <c r="J523" s="5" t="s">
        <v>17300</v>
      </c>
      <c r="K523" s="11">
        <v>1</v>
      </c>
    </row>
    <row r="524" spans="2:11" ht="37.5" customHeight="1" x14ac:dyDescent="0.35">
      <c r="B524" s="12">
        <v>38</v>
      </c>
      <c r="C524" s="7" t="s">
        <v>5459</v>
      </c>
      <c r="D524" s="12">
        <v>3</v>
      </c>
      <c r="E524" s="7" t="s">
        <v>17301</v>
      </c>
      <c r="F524" s="7" t="s">
        <v>17302</v>
      </c>
      <c r="G524" s="7" t="s">
        <v>15975</v>
      </c>
      <c r="H524" s="7" t="s">
        <v>50</v>
      </c>
      <c r="I524" s="7" t="s">
        <v>16661</v>
      </c>
      <c r="J524" s="7" t="s">
        <v>16682</v>
      </c>
      <c r="K524" s="12">
        <v>1</v>
      </c>
    </row>
    <row r="525" spans="2:11" ht="37.5" customHeight="1" x14ac:dyDescent="0.35">
      <c r="B525" s="11">
        <v>38</v>
      </c>
      <c r="C525" s="5" t="s">
        <v>5459</v>
      </c>
      <c r="D525" s="11">
        <v>4</v>
      </c>
      <c r="E525" s="5" t="s">
        <v>17303</v>
      </c>
      <c r="F525" s="5" t="s">
        <v>17304</v>
      </c>
      <c r="G525" s="5" t="s">
        <v>17262</v>
      </c>
      <c r="H525" s="5" t="s">
        <v>50</v>
      </c>
      <c r="I525" s="5" t="s">
        <v>16661</v>
      </c>
      <c r="J525" s="5" t="s">
        <v>16682</v>
      </c>
      <c r="K525" s="11">
        <v>1</v>
      </c>
    </row>
    <row r="526" spans="2:11" ht="37.5" customHeight="1" x14ac:dyDescent="0.35">
      <c r="B526" s="12">
        <v>38</v>
      </c>
      <c r="C526" s="7" t="s">
        <v>5459</v>
      </c>
      <c r="D526" s="12">
        <v>5</v>
      </c>
      <c r="E526" s="7" t="s">
        <v>17305</v>
      </c>
      <c r="F526" s="7" t="s">
        <v>17306</v>
      </c>
      <c r="G526" s="7" t="s">
        <v>16932</v>
      </c>
      <c r="H526" s="7" t="s">
        <v>50</v>
      </c>
      <c r="I526" s="7" t="s">
        <v>16661</v>
      </c>
      <c r="J526" s="7" t="s">
        <v>16682</v>
      </c>
      <c r="K526" s="12">
        <v>1</v>
      </c>
    </row>
    <row r="527" spans="2:11" ht="37.5" customHeight="1" x14ac:dyDescent="0.35">
      <c r="B527" s="11">
        <v>38</v>
      </c>
      <c r="C527" s="5" t="s">
        <v>5459</v>
      </c>
      <c r="D527" s="11">
        <v>6</v>
      </c>
      <c r="E527" s="5" t="s">
        <v>17307</v>
      </c>
      <c r="F527" s="5" t="s">
        <v>17308</v>
      </c>
      <c r="G527" s="5" t="s">
        <v>16310</v>
      </c>
      <c r="H527" s="5" t="s">
        <v>50</v>
      </c>
      <c r="I527" s="5" t="s">
        <v>16661</v>
      </c>
      <c r="J527" s="5" t="s">
        <v>16682</v>
      </c>
      <c r="K527" s="11">
        <v>1</v>
      </c>
    </row>
    <row r="528" spans="2:11" ht="37.5" customHeight="1" x14ac:dyDescent="0.35">
      <c r="B528" s="12">
        <v>39</v>
      </c>
      <c r="C528" s="7" t="s">
        <v>17309</v>
      </c>
      <c r="D528" s="12">
        <v>1</v>
      </c>
      <c r="E528" s="7" t="s">
        <v>17310</v>
      </c>
      <c r="F528" s="7" t="s">
        <v>17311</v>
      </c>
      <c r="G528" s="7" t="s">
        <v>25</v>
      </c>
      <c r="H528" s="7" t="s">
        <v>50</v>
      </c>
      <c r="I528" s="7" t="s">
        <v>17312</v>
      </c>
      <c r="J528" s="7" t="s">
        <v>17313</v>
      </c>
      <c r="K528" s="12">
        <v>1</v>
      </c>
    </row>
    <row r="529" spans="2:11" ht="37.5" customHeight="1" x14ac:dyDescent="0.35">
      <c r="B529" s="11">
        <v>40</v>
      </c>
      <c r="C529" s="5" t="s">
        <v>17314</v>
      </c>
      <c r="D529" s="11">
        <v>1</v>
      </c>
      <c r="E529" s="5" t="s">
        <v>17315</v>
      </c>
      <c r="F529" s="5" t="s">
        <v>17316</v>
      </c>
      <c r="G529" s="5" t="s">
        <v>1076</v>
      </c>
      <c r="H529" s="5" t="s">
        <v>15690</v>
      </c>
      <c r="I529" s="5" t="s">
        <v>17317</v>
      </c>
      <c r="J529" s="5" t="s">
        <v>17318</v>
      </c>
      <c r="K529" s="11">
        <v>1</v>
      </c>
    </row>
    <row r="530" spans="2:11" ht="37.5" customHeight="1" x14ac:dyDescent="0.35">
      <c r="B530" s="12">
        <v>41</v>
      </c>
      <c r="C530" s="7" t="s">
        <v>17319</v>
      </c>
      <c r="D530" s="12">
        <v>1</v>
      </c>
      <c r="E530" s="7" t="s">
        <v>17320</v>
      </c>
      <c r="F530" s="7" t="s">
        <v>17321</v>
      </c>
      <c r="G530" s="7" t="s">
        <v>372</v>
      </c>
      <c r="H530" s="7" t="s">
        <v>17322</v>
      </c>
      <c r="I530" s="7" t="s">
        <v>17323</v>
      </c>
      <c r="J530" s="7" t="s">
        <v>17324</v>
      </c>
      <c r="K530" s="12">
        <v>1</v>
      </c>
    </row>
    <row r="531" spans="2:11" ht="37.5" customHeight="1" x14ac:dyDescent="0.35">
      <c r="B531" s="11">
        <v>42</v>
      </c>
      <c r="C531" s="5" t="s">
        <v>17325</v>
      </c>
      <c r="D531" s="11">
        <v>1</v>
      </c>
      <c r="E531" s="5" t="s">
        <v>17326</v>
      </c>
      <c r="F531" s="5" t="s">
        <v>17327</v>
      </c>
      <c r="G531" s="5" t="s">
        <v>25</v>
      </c>
      <c r="H531" s="5" t="s">
        <v>17322</v>
      </c>
      <c r="I531" s="5" t="s">
        <v>17323</v>
      </c>
      <c r="J531" s="5" t="s">
        <v>17324</v>
      </c>
      <c r="K531" s="11">
        <v>1</v>
      </c>
    </row>
    <row r="532" spans="2:11" ht="37.5" customHeight="1" x14ac:dyDescent="0.35">
      <c r="B532" s="12">
        <v>43</v>
      </c>
      <c r="C532" s="7" t="s">
        <v>17328</v>
      </c>
      <c r="D532" s="12">
        <v>1</v>
      </c>
      <c r="E532" s="7" t="s">
        <v>17329</v>
      </c>
      <c r="F532" s="7" t="s">
        <v>17330</v>
      </c>
      <c r="G532" s="7" t="s">
        <v>17331</v>
      </c>
      <c r="H532" s="7" t="s">
        <v>15690</v>
      </c>
      <c r="I532" s="7" t="s">
        <v>17332</v>
      </c>
      <c r="J532" s="7" t="s">
        <v>17333</v>
      </c>
      <c r="K532" s="12">
        <v>1</v>
      </c>
    </row>
    <row r="533" spans="2:11" ht="37.5" customHeight="1" x14ac:dyDescent="0.35">
      <c r="B533" s="11">
        <v>43</v>
      </c>
      <c r="C533" s="5" t="s">
        <v>17328</v>
      </c>
      <c r="D533" s="11">
        <v>2</v>
      </c>
      <c r="E533" s="5" t="s">
        <v>17334</v>
      </c>
      <c r="F533" s="5" t="s">
        <v>17335</v>
      </c>
      <c r="G533" s="5" t="s">
        <v>16554</v>
      </c>
      <c r="H533" s="5" t="s">
        <v>15690</v>
      </c>
      <c r="I533" s="5" t="s">
        <v>17336</v>
      </c>
      <c r="J533" s="5" t="s">
        <v>17337</v>
      </c>
      <c r="K533" s="11">
        <v>1</v>
      </c>
    </row>
    <row r="534" spans="2:11" ht="52.5" customHeight="1" x14ac:dyDescent="0.35">
      <c r="B534" s="12">
        <v>44</v>
      </c>
      <c r="C534" s="7" t="s">
        <v>17338</v>
      </c>
      <c r="D534" s="12">
        <v>1</v>
      </c>
      <c r="E534" s="7" t="s">
        <v>17339</v>
      </c>
      <c r="F534" s="7" t="s">
        <v>17340</v>
      </c>
      <c r="G534" s="7" t="s">
        <v>15712</v>
      </c>
      <c r="H534" s="7" t="s">
        <v>17341</v>
      </c>
      <c r="I534" s="7" t="s">
        <v>17342</v>
      </c>
      <c r="J534" s="7" t="s">
        <v>17343</v>
      </c>
      <c r="K534" s="12">
        <v>1</v>
      </c>
    </row>
    <row r="535" spans="2:11" ht="37.5" customHeight="1" x14ac:dyDescent="0.35">
      <c r="B535" s="11">
        <v>45</v>
      </c>
      <c r="C535" s="5" t="s">
        <v>17344</v>
      </c>
      <c r="D535" s="11">
        <v>1</v>
      </c>
      <c r="E535" s="5" t="s">
        <v>17345</v>
      </c>
      <c r="F535" s="5" t="s">
        <v>17346</v>
      </c>
      <c r="G535" s="5" t="s">
        <v>16774</v>
      </c>
      <c r="H535" s="5" t="s">
        <v>50</v>
      </c>
      <c r="I535" s="5" t="s">
        <v>17347</v>
      </c>
      <c r="J535" s="5" t="s">
        <v>17348</v>
      </c>
      <c r="K535" s="11">
        <v>1</v>
      </c>
    </row>
    <row r="536" spans="2:11" ht="37.5" customHeight="1" x14ac:dyDescent="0.35">
      <c r="B536" s="12">
        <v>45</v>
      </c>
      <c r="C536" s="7" t="s">
        <v>17344</v>
      </c>
      <c r="D536" s="12">
        <v>2</v>
      </c>
      <c r="E536" s="7" t="s">
        <v>17349</v>
      </c>
      <c r="F536" s="7" t="s">
        <v>17350</v>
      </c>
      <c r="G536" s="7" t="s">
        <v>17351</v>
      </c>
      <c r="H536" s="7" t="s">
        <v>15696</v>
      </c>
      <c r="I536" s="7" t="s">
        <v>17352</v>
      </c>
      <c r="J536" s="7" t="s">
        <v>17353</v>
      </c>
      <c r="K536" s="12">
        <v>1</v>
      </c>
    </row>
    <row r="537" spans="2:11" ht="37.5" customHeight="1" x14ac:dyDescent="0.35">
      <c r="B537" s="11">
        <v>45</v>
      </c>
      <c r="C537" s="5" t="s">
        <v>17344</v>
      </c>
      <c r="D537" s="11">
        <v>3</v>
      </c>
      <c r="E537" s="5" t="s">
        <v>17354</v>
      </c>
      <c r="F537" s="5" t="s">
        <v>17355</v>
      </c>
      <c r="G537" s="5" t="s">
        <v>17331</v>
      </c>
      <c r="H537" s="5" t="s">
        <v>15696</v>
      </c>
      <c r="I537" s="5" t="s">
        <v>17356</v>
      </c>
      <c r="J537" s="5" t="s">
        <v>17357</v>
      </c>
      <c r="K537" s="11">
        <v>1</v>
      </c>
    </row>
    <row r="538" spans="2:11" ht="37.5" customHeight="1" x14ac:dyDescent="0.35">
      <c r="B538" s="12">
        <v>45</v>
      </c>
      <c r="C538" s="7" t="s">
        <v>17344</v>
      </c>
      <c r="D538" s="12">
        <v>4</v>
      </c>
      <c r="E538" s="7" t="s">
        <v>17358</v>
      </c>
      <c r="F538" s="7" t="s">
        <v>17359</v>
      </c>
      <c r="G538" s="7" t="s">
        <v>17360</v>
      </c>
      <c r="H538" s="7" t="s">
        <v>15696</v>
      </c>
      <c r="I538" s="7" t="s">
        <v>17361</v>
      </c>
      <c r="J538" s="7" t="s">
        <v>17362</v>
      </c>
      <c r="K538" s="12">
        <v>1</v>
      </c>
    </row>
    <row r="539" spans="2:11" ht="37.5" customHeight="1" x14ac:dyDescent="0.35">
      <c r="B539" s="11">
        <v>45</v>
      </c>
      <c r="C539" s="5" t="s">
        <v>17344</v>
      </c>
      <c r="D539" s="11">
        <v>5</v>
      </c>
      <c r="E539" s="5" t="s">
        <v>17363</v>
      </c>
      <c r="F539" s="5" t="s">
        <v>17364</v>
      </c>
      <c r="G539" s="5" t="s">
        <v>17365</v>
      </c>
      <c r="H539" s="5" t="s">
        <v>15696</v>
      </c>
      <c r="I539" s="5" t="s">
        <v>17366</v>
      </c>
      <c r="J539" s="5" t="s">
        <v>17367</v>
      </c>
      <c r="K539" s="11">
        <v>1</v>
      </c>
    </row>
    <row r="540" spans="2:11" ht="37.5" customHeight="1" x14ac:dyDescent="0.35">
      <c r="B540" s="12">
        <v>45</v>
      </c>
      <c r="C540" s="7" t="s">
        <v>17344</v>
      </c>
      <c r="D540" s="12">
        <v>6</v>
      </c>
      <c r="E540" s="7" t="s">
        <v>17368</v>
      </c>
      <c r="F540" s="7" t="s">
        <v>17335</v>
      </c>
      <c r="G540" s="7" t="s">
        <v>16554</v>
      </c>
      <c r="H540" s="7" t="s">
        <v>15696</v>
      </c>
      <c r="I540" s="7" t="s">
        <v>17369</v>
      </c>
      <c r="J540" s="7" t="s">
        <v>17370</v>
      </c>
      <c r="K540" s="12">
        <v>1</v>
      </c>
    </row>
    <row r="541" spans="2:11" ht="37.5" customHeight="1" x14ac:dyDescent="0.35">
      <c r="B541" s="11">
        <v>45</v>
      </c>
      <c r="C541" s="5" t="s">
        <v>17344</v>
      </c>
      <c r="D541" s="11">
        <v>7</v>
      </c>
      <c r="E541" s="5" t="s">
        <v>17371</v>
      </c>
      <c r="F541" s="5" t="s">
        <v>17372</v>
      </c>
      <c r="G541" s="5" t="s">
        <v>1560</v>
      </c>
      <c r="H541" s="5" t="s">
        <v>15696</v>
      </c>
      <c r="I541" s="5" t="s">
        <v>17373</v>
      </c>
      <c r="J541" s="5" t="s">
        <v>17374</v>
      </c>
      <c r="K541" s="11">
        <v>1</v>
      </c>
    </row>
    <row r="542" spans="2:11" ht="37.5" customHeight="1" x14ac:dyDescent="0.35">
      <c r="B542" s="12">
        <v>45</v>
      </c>
      <c r="C542" s="7" t="s">
        <v>17344</v>
      </c>
      <c r="D542" s="12">
        <v>8</v>
      </c>
      <c r="E542" s="7" t="s">
        <v>17375</v>
      </c>
      <c r="F542" s="7" t="s">
        <v>17376</v>
      </c>
      <c r="G542" s="7" t="s">
        <v>16007</v>
      </c>
      <c r="H542" s="7" t="s">
        <v>15696</v>
      </c>
      <c r="I542" s="7" t="s">
        <v>17366</v>
      </c>
      <c r="J542" s="7" t="s">
        <v>17367</v>
      </c>
      <c r="K542" s="12">
        <v>1</v>
      </c>
    </row>
    <row r="543" spans="2:11" ht="37.5" customHeight="1" x14ac:dyDescent="0.35">
      <c r="B543" s="11">
        <v>45</v>
      </c>
      <c r="C543" s="5" t="s">
        <v>17344</v>
      </c>
      <c r="D543" s="11">
        <v>9</v>
      </c>
      <c r="E543" s="5" t="s">
        <v>17377</v>
      </c>
      <c r="F543" s="5" t="s">
        <v>17378</v>
      </c>
      <c r="G543" s="5" t="s">
        <v>16007</v>
      </c>
      <c r="H543" s="5" t="s">
        <v>15696</v>
      </c>
      <c r="I543" s="5" t="s">
        <v>17366</v>
      </c>
      <c r="J543" s="5" t="s">
        <v>17367</v>
      </c>
      <c r="K543" s="11">
        <v>1</v>
      </c>
    </row>
    <row r="544" spans="2:11" ht="37.5" customHeight="1" x14ac:dyDescent="0.35">
      <c r="B544" s="12">
        <v>45</v>
      </c>
      <c r="C544" s="7" t="s">
        <v>17344</v>
      </c>
      <c r="D544" s="12">
        <v>10</v>
      </c>
      <c r="E544" s="7" t="s">
        <v>17379</v>
      </c>
      <c r="F544" s="7" t="s">
        <v>17380</v>
      </c>
      <c r="G544" s="7" t="s">
        <v>17381</v>
      </c>
      <c r="H544" s="7" t="s">
        <v>15696</v>
      </c>
      <c r="I544" s="7" t="s">
        <v>17382</v>
      </c>
      <c r="J544" s="7" t="s">
        <v>17383</v>
      </c>
      <c r="K544" s="12">
        <v>1</v>
      </c>
    </row>
    <row r="545" spans="2:11" ht="37.5" customHeight="1" x14ac:dyDescent="0.35">
      <c r="B545" s="11">
        <v>45</v>
      </c>
      <c r="C545" s="5" t="s">
        <v>17344</v>
      </c>
      <c r="D545" s="11">
        <v>11</v>
      </c>
      <c r="E545" s="5" t="s">
        <v>17384</v>
      </c>
      <c r="F545" s="5" t="s">
        <v>17385</v>
      </c>
      <c r="G545" s="5" t="s">
        <v>993</v>
      </c>
      <c r="H545" s="5" t="s">
        <v>15696</v>
      </c>
      <c r="I545" s="5" t="s">
        <v>17386</v>
      </c>
      <c r="J545" s="5" t="s">
        <v>17387</v>
      </c>
      <c r="K545" s="11">
        <v>1</v>
      </c>
    </row>
    <row r="546" spans="2:11" ht="37.5" customHeight="1" x14ac:dyDescent="0.35">
      <c r="B546" s="12">
        <v>45</v>
      </c>
      <c r="C546" s="7" t="s">
        <v>17344</v>
      </c>
      <c r="D546" s="12">
        <v>12</v>
      </c>
      <c r="E546" s="7" t="s">
        <v>17388</v>
      </c>
      <c r="F546" s="7" t="s">
        <v>17389</v>
      </c>
      <c r="G546" s="7" t="s">
        <v>285</v>
      </c>
      <c r="H546" s="7" t="s">
        <v>15696</v>
      </c>
      <c r="I546" s="7" t="s">
        <v>17390</v>
      </c>
      <c r="J546" s="7" t="s">
        <v>17391</v>
      </c>
      <c r="K546" s="12">
        <v>1</v>
      </c>
    </row>
    <row r="547" spans="2:11" ht="37.5" customHeight="1" x14ac:dyDescent="0.35">
      <c r="B547" s="11">
        <v>46</v>
      </c>
      <c r="C547" s="5" t="s">
        <v>17392</v>
      </c>
      <c r="D547" s="11">
        <v>1</v>
      </c>
      <c r="E547" s="5" t="s">
        <v>17393</v>
      </c>
      <c r="F547" s="5" t="s">
        <v>17394</v>
      </c>
      <c r="G547" s="5" t="s">
        <v>15765</v>
      </c>
      <c r="H547" s="5" t="s">
        <v>15690</v>
      </c>
      <c r="I547" s="5" t="s">
        <v>15691</v>
      </c>
      <c r="J547" s="5" t="s">
        <v>15692</v>
      </c>
      <c r="K547" s="11">
        <v>1</v>
      </c>
    </row>
    <row r="548" spans="2:11" ht="37.5" customHeight="1" x14ac:dyDescent="0.35">
      <c r="B548" s="12">
        <v>46</v>
      </c>
      <c r="C548" s="7" t="s">
        <v>17392</v>
      </c>
      <c r="D548" s="12">
        <v>2</v>
      </c>
      <c r="E548" s="7" t="s">
        <v>17395</v>
      </c>
      <c r="F548" s="7" t="s">
        <v>17396</v>
      </c>
      <c r="G548" s="7" t="s">
        <v>17397</v>
      </c>
      <c r="H548" s="7" t="s">
        <v>15690</v>
      </c>
      <c r="I548" s="7" t="s">
        <v>15691</v>
      </c>
      <c r="J548" s="7" t="s">
        <v>15692</v>
      </c>
      <c r="K548" s="12">
        <v>1</v>
      </c>
    </row>
    <row r="549" spans="2:11" ht="37.5" customHeight="1" x14ac:dyDescent="0.35">
      <c r="B549" s="11">
        <v>47</v>
      </c>
      <c r="C549" s="5" t="s">
        <v>9523</v>
      </c>
      <c r="D549" s="11">
        <v>1</v>
      </c>
      <c r="E549" s="5" t="s">
        <v>17398</v>
      </c>
      <c r="F549" s="5" t="s">
        <v>17399</v>
      </c>
      <c r="G549" s="5" t="s">
        <v>31</v>
      </c>
      <c r="H549" s="5" t="s">
        <v>15690</v>
      </c>
      <c r="I549" s="5" t="s">
        <v>17400</v>
      </c>
      <c r="J549" s="5" t="s">
        <v>17401</v>
      </c>
      <c r="K549" s="11">
        <v>1</v>
      </c>
    </row>
    <row r="550" spans="2:11" ht="37.5" customHeight="1" x14ac:dyDescent="0.35">
      <c r="B550" s="12">
        <v>47</v>
      </c>
      <c r="C550" s="7" t="s">
        <v>9523</v>
      </c>
      <c r="D550" s="12">
        <v>2</v>
      </c>
      <c r="E550" s="7" t="s">
        <v>17402</v>
      </c>
      <c r="F550" s="7" t="s">
        <v>17403</v>
      </c>
      <c r="G550" s="7" t="s">
        <v>358</v>
      </c>
      <c r="H550" s="7" t="s">
        <v>15690</v>
      </c>
      <c r="I550" s="7" t="s">
        <v>17400</v>
      </c>
      <c r="J550" s="7" t="s">
        <v>17401</v>
      </c>
      <c r="K550" s="12">
        <v>1</v>
      </c>
    </row>
    <row r="551" spans="2:11" ht="37.5" customHeight="1" x14ac:dyDescent="0.35">
      <c r="B551" s="11">
        <v>47</v>
      </c>
      <c r="C551" s="5" t="s">
        <v>9523</v>
      </c>
      <c r="D551" s="11">
        <v>3</v>
      </c>
      <c r="E551" s="5" t="s">
        <v>17404</v>
      </c>
      <c r="F551" s="5" t="s">
        <v>17405</v>
      </c>
      <c r="G551" s="5" t="s">
        <v>16189</v>
      </c>
      <c r="H551" s="5" t="s">
        <v>15690</v>
      </c>
      <c r="I551" s="5" t="s">
        <v>17406</v>
      </c>
      <c r="J551" s="5" t="s">
        <v>17407</v>
      </c>
      <c r="K551" s="11">
        <v>1</v>
      </c>
    </row>
    <row r="552" spans="2:11" ht="21.75" customHeight="1" x14ac:dyDescent="0.35">
      <c r="B552" s="12">
        <v>47</v>
      </c>
      <c r="C552" s="7" t="s">
        <v>9523</v>
      </c>
      <c r="D552" s="12">
        <v>4</v>
      </c>
      <c r="E552" s="7" t="s">
        <v>17408</v>
      </c>
      <c r="F552" s="7" t="s">
        <v>17409</v>
      </c>
      <c r="G552" s="7" t="s">
        <v>17410</v>
      </c>
      <c r="H552" s="7" t="s">
        <v>15690</v>
      </c>
      <c r="I552" s="7" t="s">
        <v>17411</v>
      </c>
      <c r="J552" s="7" t="s">
        <v>17412</v>
      </c>
      <c r="K552" s="12">
        <v>1</v>
      </c>
    </row>
    <row r="553" spans="2:11" ht="37.5" customHeight="1" x14ac:dyDescent="0.35">
      <c r="B553" s="11">
        <v>48</v>
      </c>
      <c r="C553" s="5" t="s">
        <v>17413</v>
      </c>
      <c r="D553" s="11">
        <v>1</v>
      </c>
      <c r="E553" s="5" t="s">
        <v>17414</v>
      </c>
      <c r="F553" s="5" t="s">
        <v>17415</v>
      </c>
      <c r="G553" s="5" t="s">
        <v>24</v>
      </c>
      <c r="H553" s="5" t="s">
        <v>15690</v>
      </c>
      <c r="I553" s="5" t="s">
        <v>17416</v>
      </c>
      <c r="J553" s="5" t="s">
        <v>17417</v>
      </c>
      <c r="K553" s="11">
        <v>1</v>
      </c>
    </row>
    <row r="554" spans="2:11" ht="37.5" customHeight="1" x14ac:dyDescent="0.35">
      <c r="B554" s="12">
        <v>49</v>
      </c>
      <c r="C554" s="7" t="s">
        <v>17418</v>
      </c>
      <c r="D554" s="12">
        <v>1</v>
      </c>
      <c r="E554" s="7" t="s">
        <v>17419</v>
      </c>
      <c r="F554" s="7" t="s">
        <v>17420</v>
      </c>
      <c r="G554" s="7" t="s">
        <v>15835</v>
      </c>
      <c r="H554" s="7" t="s">
        <v>50</v>
      </c>
      <c r="I554" s="7" t="s">
        <v>194</v>
      </c>
      <c r="J554" s="7" t="s">
        <v>17421</v>
      </c>
      <c r="K554" s="12">
        <v>1</v>
      </c>
    </row>
    <row r="555" spans="2:11" ht="52.5" customHeight="1" x14ac:dyDescent="0.35">
      <c r="B555" s="11">
        <v>49</v>
      </c>
      <c r="C555" s="5" t="s">
        <v>17418</v>
      </c>
      <c r="D555" s="11">
        <v>2</v>
      </c>
      <c r="E555" s="5" t="s">
        <v>17422</v>
      </c>
      <c r="F555" s="5" t="s">
        <v>17423</v>
      </c>
      <c r="G555" s="5" t="s">
        <v>2495</v>
      </c>
      <c r="H555" s="5" t="s">
        <v>50</v>
      </c>
      <c r="I555" s="5" t="s">
        <v>17424</v>
      </c>
      <c r="J555" s="5" t="s">
        <v>17425</v>
      </c>
      <c r="K555" s="11">
        <v>2</v>
      </c>
    </row>
    <row r="556" spans="2:11" ht="37.5" customHeight="1" x14ac:dyDescent="0.35">
      <c r="B556" s="12">
        <v>50</v>
      </c>
      <c r="C556" s="7" t="s">
        <v>17426</v>
      </c>
      <c r="D556" s="12">
        <v>1</v>
      </c>
      <c r="E556" s="7" t="s">
        <v>17427</v>
      </c>
      <c r="F556" s="7" t="s">
        <v>17428</v>
      </c>
      <c r="G556" s="7" t="s">
        <v>16774</v>
      </c>
      <c r="H556" s="7"/>
      <c r="I556" s="7"/>
      <c r="J556" s="7"/>
      <c r="K556" s="12">
        <v>0</v>
      </c>
    </row>
    <row r="557" spans="2:11" ht="37.5" customHeight="1" x14ac:dyDescent="0.35">
      <c r="B557" s="11">
        <v>51</v>
      </c>
      <c r="C557" s="5" t="s">
        <v>17429</v>
      </c>
      <c r="D557" s="11">
        <v>1</v>
      </c>
      <c r="E557" s="5" t="s">
        <v>17430</v>
      </c>
      <c r="F557" s="5" t="s">
        <v>17431</v>
      </c>
      <c r="G557" s="5" t="s">
        <v>15975</v>
      </c>
      <c r="H557" s="5" t="s">
        <v>50</v>
      </c>
      <c r="I557" s="5" t="s">
        <v>16661</v>
      </c>
      <c r="J557" s="5" t="s">
        <v>16682</v>
      </c>
      <c r="K557" s="11">
        <v>1</v>
      </c>
    </row>
    <row r="558" spans="2:11" ht="37.5" customHeight="1" x14ac:dyDescent="0.35">
      <c r="B558" s="12">
        <v>51</v>
      </c>
      <c r="C558" s="7" t="s">
        <v>17429</v>
      </c>
      <c r="D558" s="12">
        <v>2</v>
      </c>
      <c r="E558" s="7" t="s">
        <v>17432</v>
      </c>
      <c r="F558" s="7" t="s">
        <v>17433</v>
      </c>
      <c r="G558" s="7" t="s">
        <v>17434</v>
      </c>
      <c r="H558" s="7" t="s">
        <v>50</v>
      </c>
      <c r="I558" s="7" t="s">
        <v>16661</v>
      </c>
      <c r="J558" s="7" t="s">
        <v>16682</v>
      </c>
      <c r="K558" s="12">
        <v>1</v>
      </c>
    </row>
    <row r="559" spans="2:11" ht="37.5" customHeight="1" x14ac:dyDescent="0.35">
      <c r="B559" s="11">
        <v>51</v>
      </c>
      <c r="C559" s="5" t="s">
        <v>17429</v>
      </c>
      <c r="D559" s="11">
        <v>3</v>
      </c>
      <c r="E559" s="5" t="s">
        <v>17435</v>
      </c>
      <c r="F559" s="5" t="s">
        <v>17436</v>
      </c>
      <c r="G559" s="5" t="s">
        <v>17437</v>
      </c>
      <c r="H559" s="5" t="s">
        <v>50</v>
      </c>
      <c r="I559" s="5" t="s">
        <v>16661</v>
      </c>
      <c r="J559" s="5" t="s">
        <v>16682</v>
      </c>
      <c r="K559" s="11">
        <v>1</v>
      </c>
    </row>
    <row r="560" spans="2:11" ht="37.5" customHeight="1" x14ac:dyDescent="0.35">
      <c r="B560" s="12">
        <v>51</v>
      </c>
      <c r="C560" s="7" t="s">
        <v>17429</v>
      </c>
      <c r="D560" s="12">
        <v>4</v>
      </c>
      <c r="E560" s="7" t="s">
        <v>17438</v>
      </c>
      <c r="F560" s="7" t="s">
        <v>17439</v>
      </c>
      <c r="G560" s="7" t="s">
        <v>15858</v>
      </c>
      <c r="H560" s="7" t="s">
        <v>50</v>
      </c>
      <c r="I560" s="7" t="s">
        <v>16661</v>
      </c>
      <c r="J560" s="7" t="s">
        <v>16682</v>
      </c>
      <c r="K560" s="12">
        <v>1</v>
      </c>
    </row>
    <row r="561" spans="2:11" ht="37.5" customHeight="1" x14ac:dyDescent="0.35">
      <c r="B561" s="11">
        <v>51</v>
      </c>
      <c r="C561" s="5" t="s">
        <v>17429</v>
      </c>
      <c r="D561" s="11">
        <v>5</v>
      </c>
      <c r="E561" s="5" t="s">
        <v>17440</v>
      </c>
      <c r="F561" s="5" t="s">
        <v>17441</v>
      </c>
      <c r="G561" s="5" t="s">
        <v>17442</v>
      </c>
      <c r="H561" s="5" t="s">
        <v>50</v>
      </c>
      <c r="I561" s="5" t="s">
        <v>16661</v>
      </c>
      <c r="J561" s="5" t="s">
        <v>16682</v>
      </c>
      <c r="K561" s="11">
        <v>1</v>
      </c>
    </row>
    <row r="562" spans="2:11" ht="37.5" customHeight="1" x14ac:dyDescent="0.35">
      <c r="B562" s="12">
        <v>51</v>
      </c>
      <c r="C562" s="7" t="s">
        <v>17429</v>
      </c>
      <c r="D562" s="12">
        <v>6</v>
      </c>
      <c r="E562" s="7" t="s">
        <v>17443</v>
      </c>
      <c r="F562" s="7" t="s">
        <v>17444</v>
      </c>
      <c r="G562" s="7" t="s">
        <v>17442</v>
      </c>
      <c r="H562" s="7" t="s">
        <v>50</v>
      </c>
      <c r="I562" s="7" t="s">
        <v>16661</v>
      </c>
      <c r="J562" s="7" t="s">
        <v>16682</v>
      </c>
      <c r="K562" s="12">
        <v>1</v>
      </c>
    </row>
    <row r="563" spans="2:11" ht="37.5" customHeight="1" x14ac:dyDescent="0.35">
      <c r="B563" s="11">
        <v>51</v>
      </c>
      <c r="C563" s="5" t="s">
        <v>17429</v>
      </c>
      <c r="D563" s="11">
        <v>7</v>
      </c>
      <c r="E563" s="5" t="s">
        <v>17445</v>
      </c>
      <c r="F563" s="5" t="s">
        <v>17446</v>
      </c>
      <c r="G563" s="5" t="s">
        <v>17262</v>
      </c>
      <c r="H563" s="5" t="s">
        <v>50</v>
      </c>
      <c r="I563" s="5" t="s">
        <v>16661</v>
      </c>
      <c r="J563" s="5" t="s">
        <v>16682</v>
      </c>
      <c r="K563" s="11">
        <v>1</v>
      </c>
    </row>
    <row r="564" spans="2:11" ht="37.5" customHeight="1" x14ac:dyDescent="0.35">
      <c r="B564" s="12">
        <v>51</v>
      </c>
      <c r="C564" s="7" t="s">
        <v>17429</v>
      </c>
      <c r="D564" s="12">
        <v>8</v>
      </c>
      <c r="E564" s="7" t="s">
        <v>17447</v>
      </c>
      <c r="F564" s="7" t="s">
        <v>17448</v>
      </c>
      <c r="G564" s="7" t="s">
        <v>16688</v>
      </c>
      <c r="H564" s="7" t="s">
        <v>50</v>
      </c>
      <c r="I564" s="7" t="s">
        <v>16661</v>
      </c>
      <c r="J564" s="7" t="s">
        <v>16682</v>
      </c>
      <c r="K564" s="12">
        <v>1</v>
      </c>
    </row>
    <row r="565" spans="2:11" ht="37.5" customHeight="1" x14ac:dyDescent="0.35">
      <c r="B565" s="11">
        <v>51</v>
      </c>
      <c r="C565" s="5" t="s">
        <v>17429</v>
      </c>
      <c r="D565" s="11">
        <v>9</v>
      </c>
      <c r="E565" s="5" t="s">
        <v>17449</v>
      </c>
      <c r="F565" s="5" t="s">
        <v>17450</v>
      </c>
      <c r="G565" s="5" t="s">
        <v>1793</v>
      </c>
      <c r="H565" s="5" t="s">
        <v>50</v>
      </c>
      <c r="I565" s="5" t="s">
        <v>16661</v>
      </c>
      <c r="J565" s="5" t="s">
        <v>16682</v>
      </c>
      <c r="K565" s="11">
        <v>1</v>
      </c>
    </row>
    <row r="566" spans="2:11" ht="37.5" customHeight="1" x14ac:dyDescent="0.35">
      <c r="B566" s="12">
        <v>51</v>
      </c>
      <c r="C566" s="7" t="s">
        <v>17429</v>
      </c>
      <c r="D566" s="12">
        <v>10</v>
      </c>
      <c r="E566" s="7" t="s">
        <v>17451</v>
      </c>
      <c r="F566" s="7" t="s">
        <v>17452</v>
      </c>
      <c r="G566" s="7" t="s">
        <v>17453</v>
      </c>
      <c r="H566" s="7" t="s">
        <v>50</v>
      </c>
      <c r="I566" s="7" t="s">
        <v>16661</v>
      </c>
      <c r="J566" s="7" t="s">
        <v>16682</v>
      </c>
      <c r="K566" s="12">
        <v>1</v>
      </c>
    </row>
    <row r="567" spans="2:11" ht="37.5" customHeight="1" x14ac:dyDescent="0.35">
      <c r="B567" s="11">
        <v>51</v>
      </c>
      <c r="C567" s="5" t="s">
        <v>17429</v>
      </c>
      <c r="D567" s="11">
        <v>11</v>
      </c>
      <c r="E567" s="5" t="s">
        <v>17454</v>
      </c>
      <c r="F567" s="5" t="s">
        <v>17455</v>
      </c>
      <c r="G567" s="5" t="s">
        <v>16505</v>
      </c>
      <c r="H567" s="5" t="s">
        <v>50</v>
      </c>
      <c r="I567" s="5" t="s">
        <v>16661</v>
      </c>
      <c r="J567" s="5" t="s">
        <v>16682</v>
      </c>
      <c r="K567" s="11">
        <v>1</v>
      </c>
    </row>
    <row r="568" spans="2:11" ht="37.5" customHeight="1" x14ac:dyDescent="0.35">
      <c r="B568" s="12">
        <v>51</v>
      </c>
      <c r="C568" s="7" t="s">
        <v>17429</v>
      </c>
      <c r="D568" s="12">
        <v>12</v>
      </c>
      <c r="E568" s="7" t="s">
        <v>17456</v>
      </c>
      <c r="F568" s="7" t="s">
        <v>17457</v>
      </c>
      <c r="G568" s="7" t="s">
        <v>15858</v>
      </c>
      <c r="H568" s="7" t="s">
        <v>50</v>
      </c>
      <c r="I568" s="7" t="s">
        <v>16661</v>
      </c>
      <c r="J568" s="7" t="s">
        <v>16682</v>
      </c>
      <c r="K568" s="12">
        <v>1</v>
      </c>
    </row>
    <row r="569" spans="2:11" ht="37.5" customHeight="1" x14ac:dyDescent="0.35">
      <c r="B569" s="11">
        <v>51</v>
      </c>
      <c r="C569" s="5" t="s">
        <v>17429</v>
      </c>
      <c r="D569" s="11">
        <v>13</v>
      </c>
      <c r="E569" s="5" t="s">
        <v>17458</v>
      </c>
      <c r="F569" s="5" t="s">
        <v>17459</v>
      </c>
      <c r="G569" s="5" t="s">
        <v>15858</v>
      </c>
      <c r="H569" s="5" t="s">
        <v>50</v>
      </c>
      <c r="I569" s="5" t="s">
        <v>16661</v>
      </c>
      <c r="J569" s="5" t="s">
        <v>16682</v>
      </c>
      <c r="K569" s="11">
        <v>1</v>
      </c>
    </row>
    <row r="570" spans="2:11" ht="37.5" customHeight="1" x14ac:dyDescent="0.35">
      <c r="B570" s="12">
        <v>51</v>
      </c>
      <c r="C570" s="7" t="s">
        <v>17429</v>
      </c>
      <c r="D570" s="12">
        <v>14</v>
      </c>
      <c r="E570" s="7" t="s">
        <v>17460</v>
      </c>
      <c r="F570" s="7" t="s">
        <v>17461</v>
      </c>
      <c r="G570" s="7" t="s">
        <v>16189</v>
      </c>
      <c r="H570" s="7" t="s">
        <v>50</v>
      </c>
      <c r="I570" s="7" t="s">
        <v>16661</v>
      </c>
      <c r="J570" s="7" t="s">
        <v>16682</v>
      </c>
      <c r="K570" s="12">
        <v>1</v>
      </c>
    </row>
    <row r="571" spans="2:11" ht="37.5" customHeight="1" x14ac:dyDescent="0.35">
      <c r="B571" s="11">
        <v>51</v>
      </c>
      <c r="C571" s="5" t="s">
        <v>17429</v>
      </c>
      <c r="D571" s="11">
        <v>15</v>
      </c>
      <c r="E571" s="5" t="s">
        <v>17462</v>
      </c>
      <c r="F571" s="5" t="s">
        <v>17463</v>
      </c>
      <c r="G571" s="5" t="s">
        <v>16189</v>
      </c>
      <c r="H571" s="5" t="s">
        <v>50</v>
      </c>
      <c r="I571" s="5" t="s">
        <v>16661</v>
      </c>
      <c r="J571" s="5" t="s">
        <v>16682</v>
      </c>
      <c r="K571" s="11">
        <v>1</v>
      </c>
    </row>
    <row r="572" spans="2:11" ht="37.5" customHeight="1" x14ac:dyDescent="0.35">
      <c r="B572" s="12">
        <v>51</v>
      </c>
      <c r="C572" s="7" t="s">
        <v>17429</v>
      </c>
      <c r="D572" s="12">
        <v>16</v>
      </c>
      <c r="E572" s="7" t="s">
        <v>17464</v>
      </c>
      <c r="F572" s="7" t="s">
        <v>17465</v>
      </c>
      <c r="G572" s="7" t="s">
        <v>17466</v>
      </c>
      <c r="H572" s="7" t="s">
        <v>50</v>
      </c>
      <c r="I572" s="7" t="s">
        <v>16661</v>
      </c>
      <c r="J572" s="7" t="s">
        <v>16682</v>
      </c>
      <c r="K572" s="12">
        <v>1</v>
      </c>
    </row>
    <row r="573" spans="2:11" ht="37.5" customHeight="1" x14ac:dyDescent="0.35">
      <c r="B573" s="11">
        <v>51</v>
      </c>
      <c r="C573" s="5" t="s">
        <v>17429</v>
      </c>
      <c r="D573" s="11">
        <v>17</v>
      </c>
      <c r="E573" s="5" t="s">
        <v>17467</v>
      </c>
      <c r="F573" s="5" t="s">
        <v>17468</v>
      </c>
      <c r="G573" s="5" t="s">
        <v>15712</v>
      </c>
      <c r="H573" s="5" t="s">
        <v>50</v>
      </c>
      <c r="I573" s="5" t="s">
        <v>17469</v>
      </c>
      <c r="J573" s="5" t="s">
        <v>17470</v>
      </c>
      <c r="K573" s="11">
        <v>1</v>
      </c>
    </row>
    <row r="574" spans="2:11" ht="52.5" customHeight="1" x14ac:dyDescent="0.35">
      <c r="B574" s="12">
        <v>51</v>
      </c>
      <c r="C574" s="7" t="s">
        <v>17429</v>
      </c>
      <c r="D574" s="12">
        <v>18</v>
      </c>
      <c r="E574" s="7" t="s">
        <v>17471</v>
      </c>
      <c r="F574" s="7" t="s">
        <v>17472</v>
      </c>
      <c r="G574" s="7" t="s">
        <v>24</v>
      </c>
      <c r="H574" s="7" t="s">
        <v>50</v>
      </c>
      <c r="I574" s="7" t="s">
        <v>16661</v>
      </c>
      <c r="J574" s="7" t="s">
        <v>16682</v>
      </c>
      <c r="K574" s="12">
        <v>1</v>
      </c>
    </row>
    <row r="575" spans="2:11" ht="37.5" customHeight="1" x14ac:dyDescent="0.35">
      <c r="B575" s="11">
        <v>51</v>
      </c>
      <c r="C575" s="5" t="s">
        <v>17429</v>
      </c>
      <c r="D575" s="11">
        <v>19</v>
      </c>
      <c r="E575" s="5" t="s">
        <v>17473</v>
      </c>
      <c r="F575" s="5" t="s">
        <v>17474</v>
      </c>
      <c r="G575" s="5" t="s">
        <v>15712</v>
      </c>
      <c r="H575" s="5" t="s">
        <v>50</v>
      </c>
      <c r="I575" s="5" t="s">
        <v>17475</v>
      </c>
      <c r="J575" s="5" t="s">
        <v>17476</v>
      </c>
      <c r="K575" s="11">
        <v>1</v>
      </c>
    </row>
    <row r="576" spans="2:11" ht="37.5" customHeight="1" x14ac:dyDescent="0.35">
      <c r="B576" s="12">
        <v>51</v>
      </c>
      <c r="C576" s="7" t="s">
        <v>17429</v>
      </c>
      <c r="D576" s="12">
        <v>20</v>
      </c>
      <c r="E576" s="7" t="s">
        <v>17477</v>
      </c>
      <c r="F576" s="7" t="s">
        <v>17478</v>
      </c>
      <c r="G576" s="7" t="s">
        <v>16704</v>
      </c>
      <c r="H576" s="7" t="s">
        <v>50</v>
      </c>
      <c r="I576" s="7" t="s">
        <v>16661</v>
      </c>
      <c r="J576" s="7" t="s">
        <v>16682</v>
      </c>
      <c r="K576" s="12">
        <v>1</v>
      </c>
    </row>
    <row r="577" spans="2:11" ht="37.5" customHeight="1" x14ac:dyDescent="0.35">
      <c r="B577" s="11">
        <v>52</v>
      </c>
      <c r="C577" s="5" t="s">
        <v>17479</v>
      </c>
      <c r="D577" s="11">
        <v>1</v>
      </c>
      <c r="E577" s="5" t="s">
        <v>17480</v>
      </c>
      <c r="F577" s="5" t="s">
        <v>17481</v>
      </c>
      <c r="G577" s="5" t="s">
        <v>17482</v>
      </c>
      <c r="H577" s="5" t="s">
        <v>50</v>
      </c>
      <c r="I577" s="5" t="s">
        <v>16661</v>
      </c>
      <c r="J577" s="5" t="s">
        <v>16682</v>
      </c>
      <c r="K577" s="11">
        <v>1</v>
      </c>
    </row>
    <row r="578" spans="2:11" ht="37.5" customHeight="1" x14ac:dyDescent="0.35">
      <c r="B578" s="12">
        <v>52</v>
      </c>
      <c r="C578" s="7" t="s">
        <v>17479</v>
      </c>
      <c r="D578" s="12">
        <v>2</v>
      </c>
      <c r="E578" s="7" t="s">
        <v>17483</v>
      </c>
      <c r="F578" s="7" t="s">
        <v>17484</v>
      </c>
      <c r="G578" s="7" t="s">
        <v>16007</v>
      </c>
      <c r="H578" s="7" t="s">
        <v>50</v>
      </c>
      <c r="I578" s="7" t="s">
        <v>16661</v>
      </c>
      <c r="J578" s="7" t="s">
        <v>16682</v>
      </c>
      <c r="K578" s="12">
        <v>1</v>
      </c>
    </row>
    <row r="579" spans="2:11" ht="37.5" customHeight="1" x14ac:dyDescent="0.35">
      <c r="B579" s="11">
        <v>52</v>
      </c>
      <c r="C579" s="5" t="s">
        <v>17479</v>
      </c>
      <c r="D579" s="11">
        <v>3</v>
      </c>
      <c r="E579" s="5" t="s">
        <v>17485</v>
      </c>
      <c r="F579" s="5" t="s">
        <v>17486</v>
      </c>
      <c r="G579" s="5" t="s">
        <v>15712</v>
      </c>
      <c r="H579" s="5" t="s">
        <v>50</v>
      </c>
      <c r="I579" s="5" t="s">
        <v>17487</v>
      </c>
      <c r="J579" s="5" t="s">
        <v>17488</v>
      </c>
      <c r="K579" s="11">
        <v>1</v>
      </c>
    </row>
    <row r="580" spans="2:11" ht="37.5" customHeight="1" x14ac:dyDescent="0.35">
      <c r="B580" s="12">
        <v>52</v>
      </c>
      <c r="C580" s="7" t="s">
        <v>17479</v>
      </c>
      <c r="D580" s="12">
        <v>4</v>
      </c>
      <c r="E580" s="7" t="s">
        <v>17489</v>
      </c>
      <c r="F580" s="7" t="s">
        <v>17490</v>
      </c>
      <c r="G580" s="7" t="s">
        <v>17491</v>
      </c>
      <c r="H580" s="7" t="s">
        <v>50</v>
      </c>
      <c r="I580" s="7" t="s">
        <v>16661</v>
      </c>
      <c r="J580" s="7" t="s">
        <v>16682</v>
      </c>
      <c r="K580" s="12">
        <v>1</v>
      </c>
    </row>
    <row r="581" spans="2:11" ht="37.5" customHeight="1" x14ac:dyDescent="0.35">
      <c r="B581" s="11">
        <v>52</v>
      </c>
      <c r="C581" s="5" t="s">
        <v>17479</v>
      </c>
      <c r="D581" s="11">
        <v>5</v>
      </c>
      <c r="E581" s="5" t="s">
        <v>17492</v>
      </c>
      <c r="F581" s="5" t="s">
        <v>17493</v>
      </c>
      <c r="G581" s="5" t="s">
        <v>24</v>
      </c>
      <c r="H581" s="5" t="s">
        <v>50</v>
      </c>
      <c r="I581" s="5" t="s">
        <v>16661</v>
      </c>
      <c r="J581" s="5" t="s">
        <v>16682</v>
      </c>
      <c r="K581" s="11">
        <v>1</v>
      </c>
    </row>
    <row r="582" spans="2:11" ht="37.5" customHeight="1" x14ac:dyDescent="0.35">
      <c r="B582" s="12">
        <v>52</v>
      </c>
      <c r="C582" s="7" t="s">
        <v>17479</v>
      </c>
      <c r="D582" s="12">
        <v>6</v>
      </c>
      <c r="E582" s="7" t="s">
        <v>17494</v>
      </c>
      <c r="F582" s="7" t="s">
        <v>17495</v>
      </c>
      <c r="G582" s="7" t="s">
        <v>16439</v>
      </c>
      <c r="H582" s="7" t="s">
        <v>50</v>
      </c>
      <c r="I582" s="7" t="s">
        <v>16661</v>
      </c>
      <c r="J582" s="7" t="s">
        <v>16682</v>
      </c>
      <c r="K582" s="12">
        <v>1</v>
      </c>
    </row>
    <row r="583" spans="2:11" ht="37.5" customHeight="1" x14ac:dyDescent="0.35">
      <c r="B583" s="11">
        <v>52</v>
      </c>
      <c r="C583" s="5" t="s">
        <v>17479</v>
      </c>
      <c r="D583" s="11">
        <v>7</v>
      </c>
      <c r="E583" s="5" t="s">
        <v>17496</v>
      </c>
      <c r="F583" s="5" t="s">
        <v>17497</v>
      </c>
      <c r="G583" s="5" t="s">
        <v>17498</v>
      </c>
      <c r="H583" s="5" t="s">
        <v>50</v>
      </c>
      <c r="I583" s="5" t="s">
        <v>16661</v>
      </c>
      <c r="J583" s="5" t="s">
        <v>16682</v>
      </c>
      <c r="K583" s="11">
        <v>1</v>
      </c>
    </row>
    <row r="584" spans="2:11" ht="37.5" customHeight="1" x14ac:dyDescent="0.35">
      <c r="B584" s="12">
        <v>52</v>
      </c>
      <c r="C584" s="7" t="s">
        <v>17479</v>
      </c>
      <c r="D584" s="12">
        <v>8</v>
      </c>
      <c r="E584" s="7" t="s">
        <v>17499</v>
      </c>
      <c r="F584" s="7" t="s">
        <v>17500</v>
      </c>
      <c r="G584" s="7" t="s">
        <v>17501</v>
      </c>
      <c r="H584" s="7" t="s">
        <v>50</v>
      </c>
      <c r="I584" s="7" t="s">
        <v>16661</v>
      </c>
      <c r="J584" s="7" t="s">
        <v>16682</v>
      </c>
      <c r="K584" s="12">
        <v>1</v>
      </c>
    </row>
    <row r="585" spans="2:11" ht="21.75" customHeight="1" x14ac:dyDescent="0.35">
      <c r="B585" s="11">
        <v>52</v>
      </c>
      <c r="C585" s="5" t="s">
        <v>17479</v>
      </c>
      <c r="D585" s="11">
        <v>9</v>
      </c>
      <c r="E585" s="5" t="s">
        <v>17502</v>
      </c>
      <c r="F585" s="5" t="s">
        <v>17503</v>
      </c>
      <c r="G585" s="5" t="s">
        <v>17504</v>
      </c>
      <c r="H585" s="5" t="s">
        <v>50</v>
      </c>
      <c r="I585" s="5" t="s">
        <v>16661</v>
      </c>
      <c r="J585" s="5" t="s">
        <v>16682</v>
      </c>
      <c r="K585" s="11">
        <v>1</v>
      </c>
    </row>
    <row r="586" spans="2:11" ht="21.75" customHeight="1" x14ac:dyDescent="0.35">
      <c r="B586" s="12">
        <v>52</v>
      </c>
      <c r="C586" s="7" t="s">
        <v>17479</v>
      </c>
      <c r="D586" s="12">
        <v>10</v>
      </c>
      <c r="E586" s="7" t="s">
        <v>17505</v>
      </c>
      <c r="F586" s="7" t="s">
        <v>17506</v>
      </c>
      <c r="G586" s="7" t="s">
        <v>17507</v>
      </c>
      <c r="H586" s="7" t="s">
        <v>50</v>
      </c>
      <c r="I586" s="7" t="s">
        <v>16661</v>
      </c>
      <c r="J586" s="7" t="s">
        <v>16682</v>
      </c>
      <c r="K586" s="12">
        <v>1</v>
      </c>
    </row>
    <row r="587" spans="2:11" ht="21.75" customHeight="1" x14ac:dyDescent="0.35">
      <c r="B587" s="11">
        <v>52</v>
      </c>
      <c r="C587" s="5" t="s">
        <v>17479</v>
      </c>
      <c r="D587" s="11">
        <v>11</v>
      </c>
      <c r="E587" s="5" t="s">
        <v>17508</v>
      </c>
      <c r="F587" s="5" t="s">
        <v>17509</v>
      </c>
      <c r="G587" s="5" t="s">
        <v>16420</v>
      </c>
      <c r="H587" s="5" t="s">
        <v>50</v>
      </c>
      <c r="I587" s="5" t="s">
        <v>16661</v>
      </c>
      <c r="J587" s="5" t="s">
        <v>16682</v>
      </c>
      <c r="K587" s="11">
        <v>1</v>
      </c>
    </row>
    <row r="588" spans="2:11" ht="37.5" customHeight="1" x14ac:dyDescent="0.35">
      <c r="B588" s="12">
        <v>52</v>
      </c>
      <c r="C588" s="7" t="s">
        <v>17479</v>
      </c>
      <c r="D588" s="12">
        <v>12</v>
      </c>
      <c r="E588" s="7" t="s">
        <v>17510</v>
      </c>
      <c r="F588" s="7" t="s">
        <v>17511</v>
      </c>
      <c r="G588" s="7" t="s">
        <v>15858</v>
      </c>
      <c r="H588" s="7" t="s">
        <v>50</v>
      </c>
      <c r="I588" s="7" t="s">
        <v>16661</v>
      </c>
      <c r="J588" s="7" t="s">
        <v>16682</v>
      </c>
      <c r="K588" s="12">
        <v>1</v>
      </c>
    </row>
    <row r="589" spans="2:11" ht="21.75" customHeight="1" x14ac:dyDescent="0.35">
      <c r="B589" s="11">
        <v>52</v>
      </c>
      <c r="C589" s="5" t="s">
        <v>17479</v>
      </c>
      <c r="D589" s="11">
        <v>13</v>
      </c>
      <c r="E589" s="5" t="s">
        <v>17512</v>
      </c>
      <c r="F589" s="5" t="s">
        <v>17513</v>
      </c>
      <c r="G589" s="5" t="s">
        <v>17152</v>
      </c>
      <c r="H589" s="5" t="s">
        <v>50</v>
      </c>
      <c r="I589" s="5" t="s">
        <v>16661</v>
      </c>
      <c r="J589" s="5" t="s">
        <v>16682</v>
      </c>
      <c r="K589" s="11">
        <v>1</v>
      </c>
    </row>
    <row r="590" spans="2:11" ht="37.5" customHeight="1" x14ac:dyDescent="0.35">
      <c r="B590" s="12">
        <v>52</v>
      </c>
      <c r="C590" s="7" t="s">
        <v>17479</v>
      </c>
      <c r="D590" s="12">
        <v>14</v>
      </c>
      <c r="E590" s="7" t="s">
        <v>17514</v>
      </c>
      <c r="F590" s="7" t="s">
        <v>17515</v>
      </c>
      <c r="G590" s="7" t="s">
        <v>15975</v>
      </c>
      <c r="H590" s="7" t="s">
        <v>50</v>
      </c>
      <c r="I590" s="7" t="s">
        <v>16661</v>
      </c>
      <c r="J590" s="7" t="s">
        <v>16682</v>
      </c>
      <c r="K590" s="12">
        <v>1</v>
      </c>
    </row>
    <row r="591" spans="2:11" ht="37.5" customHeight="1" x14ac:dyDescent="0.35">
      <c r="B591" s="11">
        <v>52</v>
      </c>
      <c r="C591" s="5" t="s">
        <v>17479</v>
      </c>
      <c r="D591" s="11">
        <v>15</v>
      </c>
      <c r="E591" s="5" t="s">
        <v>17516</v>
      </c>
      <c r="F591" s="5" t="s">
        <v>17517</v>
      </c>
      <c r="G591" s="5" t="s">
        <v>17518</v>
      </c>
      <c r="H591" s="5" t="s">
        <v>50</v>
      </c>
      <c r="I591" s="5" t="s">
        <v>16661</v>
      </c>
      <c r="J591" s="5" t="s">
        <v>16682</v>
      </c>
      <c r="K591" s="11">
        <v>1</v>
      </c>
    </row>
    <row r="592" spans="2:11" ht="37.5" customHeight="1" x14ac:dyDescent="0.35">
      <c r="B592" s="12">
        <v>52</v>
      </c>
      <c r="C592" s="7" t="s">
        <v>17479</v>
      </c>
      <c r="D592" s="12">
        <v>16</v>
      </c>
      <c r="E592" s="7" t="s">
        <v>17519</v>
      </c>
      <c r="F592" s="7" t="s">
        <v>17520</v>
      </c>
      <c r="G592" s="7" t="s">
        <v>17521</v>
      </c>
      <c r="H592" s="7" t="s">
        <v>50</v>
      </c>
      <c r="I592" s="7" t="s">
        <v>16661</v>
      </c>
      <c r="J592" s="7" t="s">
        <v>16682</v>
      </c>
      <c r="K592" s="12">
        <v>1</v>
      </c>
    </row>
    <row r="593" spans="2:11" ht="37.5" customHeight="1" x14ac:dyDescent="0.35">
      <c r="B593" s="11">
        <v>52</v>
      </c>
      <c r="C593" s="5" t="s">
        <v>17479</v>
      </c>
      <c r="D593" s="11">
        <v>17</v>
      </c>
      <c r="E593" s="5" t="s">
        <v>17522</v>
      </c>
      <c r="F593" s="5" t="s">
        <v>17523</v>
      </c>
      <c r="G593" s="5" t="s">
        <v>17524</v>
      </c>
      <c r="H593" s="5" t="s">
        <v>50</v>
      </c>
      <c r="I593" s="5" t="s">
        <v>16661</v>
      </c>
      <c r="J593" s="5" t="s">
        <v>16682</v>
      </c>
      <c r="K593" s="11">
        <v>1</v>
      </c>
    </row>
    <row r="594" spans="2:11" ht="37.5" customHeight="1" x14ac:dyDescent="0.35">
      <c r="B594" s="12">
        <v>52</v>
      </c>
      <c r="C594" s="7" t="s">
        <v>17479</v>
      </c>
      <c r="D594" s="12">
        <v>18</v>
      </c>
      <c r="E594" s="7" t="s">
        <v>17525</v>
      </c>
      <c r="F594" s="7" t="s">
        <v>17526</v>
      </c>
      <c r="G594" s="7" t="s">
        <v>17028</v>
      </c>
      <c r="H594" s="7" t="s">
        <v>50</v>
      </c>
      <c r="I594" s="7" t="s">
        <v>16661</v>
      </c>
      <c r="J594" s="7" t="s">
        <v>16682</v>
      </c>
      <c r="K594" s="12">
        <v>1</v>
      </c>
    </row>
    <row r="595" spans="2:11" ht="37.5" customHeight="1" x14ac:dyDescent="0.35">
      <c r="B595" s="11">
        <v>52</v>
      </c>
      <c r="C595" s="5" t="s">
        <v>17479</v>
      </c>
      <c r="D595" s="11">
        <v>19</v>
      </c>
      <c r="E595" s="5" t="s">
        <v>17527</v>
      </c>
      <c r="F595" s="5" t="s">
        <v>17528</v>
      </c>
      <c r="G595" s="5" t="s">
        <v>17498</v>
      </c>
      <c r="H595" s="5" t="s">
        <v>50</v>
      </c>
      <c r="I595" s="5" t="s">
        <v>16661</v>
      </c>
      <c r="J595" s="5" t="s">
        <v>16682</v>
      </c>
      <c r="K595" s="11">
        <v>1</v>
      </c>
    </row>
    <row r="596" spans="2:11" ht="21.75" customHeight="1" x14ac:dyDescent="0.35">
      <c r="B596" s="12">
        <v>52</v>
      </c>
      <c r="C596" s="7" t="s">
        <v>17479</v>
      </c>
      <c r="D596" s="12">
        <v>20</v>
      </c>
      <c r="E596" s="7" t="s">
        <v>17529</v>
      </c>
      <c r="F596" s="7" t="s">
        <v>17530</v>
      </c>
      <c r="G596" s="7" t="s">
        <v>17531</v>
      </c>
      <c r="H596" s="7" t="s">
        <v>50</v>
      </c>
      <c r="I596" s="7" t="s">
        <v>16661</v>
      </c>
      <c r="J596" s="7" t="s">
        <v>16682</v>
      </c>
      <c r="K596" s="12">
        <v>1</v>
      </c>
    </row>
    <row r="597" spans="2:11" ht="37.5" customHeight="1" x14ac:dyDescent="0.35">
      <c r="B597" s="11">
        <v>52</v>
      </c>
      <c r="C597" s="5" t="s">
        <v>17479</v>
      </c>
      <c r="D597" s="11">
        <v>21</v>
      </c>
      <c r="E597" s="5" t="s">
        <v>17532</v>
      </c>
      <c r="F597" s="5" t="s">
        <v>17533</v>
      </c>
      <c r="G597" s="5" t="s">
        <v>17534</v>
      </c>
      <c r="H597" s="5" t="s">
        <v>50</v>
      </c>
      <c r="I597" s="5" t="s">
        <v>16661</v>
      </c>
      <c r="J597" s="5" t="s">
        <v>16682</v>
      </c>
      <c r="K597" s="11">
        <v>1</v>
      </c>
    </row>
    <row r="598" spans="2:11" ht="37.5" customHeight="1" x14ac:dyDescent="0.35">
      <c r="B598" s="12">
        <v>52</v>
      </c>
      <c r="C598" s="7" t="s">
        <v>17479</v>
      </c>
      <c r="D598" s="12">
        <v>22</v>
      </c>
      <c r="E598" s="7" t="s">
        <v>17535</v>
      </c>
      <c r="F598" s="7" t="s">
        <v>17536</v>
      </c>
      <c r="G598" s="7" t="s">
        <v>17033</v>
      </c>
      <c r="H598" s="7" t="s">
        <v>50</v>
      </c>
      <c r="I598" s="7" t="s">
        <v>16661</v>
      </c>
      <c r="J598" s="7" t="s">
        <v>16682</v>
      </c>
      <c r="K598" s="12">
        <v>1</v>
      </c>
    </row>
    <row r="599" spans="2:11" ht="21.75" customHeight="1" x14ac:dyDescent="0.35">
      <c r="B599" s="11">
        <v>52</v>
      </c>
      <c r="C599" s="5" t="s">
        <v>17479</v>
      </c>
      <c r="D599" s="11">
        <v>23</v>
      </c>
      <c r="E599" s="5" t="s">
        <v>17537</v>
      </c>
      <c r="F599" s="5" t="s">
        <v>17538</v>
      </c>
      <c r="G599" s="5" t="s">
        <v>17539</v>
      </c>
      <c r="H599" s="5" t="s">
        <v>50</v>
      </c>
      <c r="I599" s="5" t="s">
        <v>16661</v>
      </c>
      <c r="J599" s="5" t="s">
        <v>16682</v>
      </c>
      <c r="K599" s="11">
        <v>1</v>
      </c>
    </row>
    <row r="600" spans="2:11" ht="52.5" customHeight="1" x14ac:dyDescent="0.35">
      <c r="B600" s="12">
        <v>52</v>
      </c>
      <c r="C600" s="7" t="s">
        <v>17479</v>
      </c>
      <c r="D600" s="12">
        <v>24</v>
      </c>
      <c r="E600" s="7" t="s">
        <v>17540</v>
      </c>
      <c r="F600" s="7" t="s">
        <v>17541</v>
      </c>
      <c r="G600" s="7" t="s">
        <v>17542</v>
      </c>
      <c r="H600" s="7" t="s">
        <v>50</v>
      </c>
      <c r="I600" s="7" t="s">
        <v>16661</v>
      </c>
      <c r="J600" s="7" t="s">
        <v>16682</v>
      </c>
      <c r="K600" s="12">
        <v>1</v>
      </c>
    </row>
    <row r="601" spans="2:11" ht="37.5" customHeight="1" x14ac:dyDescent="0.35">
      <c r="B601" s="11">
        <v>52</v>
      </c>
      <c r="C601" s="5" t="s">
        <v>17479</v>
      </c>
      <c r="D601" s="11">
        <v>25</v>
      </c>
      <c r="E601" s="5" t="s">
        <v>17543</v>
      </c>
      <c r="F601" s="5" t="s">
        <v>17544</v>
      </c>
      <c r="G601" s="5" t="s">
        <v>24</v>
      </c>
      <c r="H601" s="5" t="s">
        <v>50</v>
      </c>
      <c r="I601" s="5" t="s">
        <v>16661</v>
      </c>
      <c r="J601" s="5" t="s">
        <v>16682</v>
      </c>
      <c r="K601" s="11">
        <v>1</v>
      </c>
    </row>
    <row r="602" spans="2:11" ht="37.5" customHeight="1" x14ac:dyDescent="0.35">
      <c r="B602" s="12">
        <v>52</v>
      </c>
      <c r="C602" s="7" t="s">
        <v>17479</v>
      </c>
      <c r="D602" s="12">
        <v>26</v>
      </c>
      <c r="E602" s="7" t="s">
        <v>17545</v>
      </c>
      <c r="F602" s="7" t="s">
        <v>17546</v>
      </c>
      <c r="G602" s="7" t="s">
        <v>17547</v>
      </c>
      <c r="H602" s="7" t="s">
        <v>50</v>
      </c>
      <c r="I602" s="7" t="s">
        <v>16661</v>
      </c>
      <c r="J602" s="7" t="s">
        <v>16682</v>
      </c>
      <c r="K602" s="12">
        <v>1</v>
      </c>
    </row>
    <row r="603" spans="2:11" ht="21.75" customHeight="1" x14ac:dyDescent="0.35">
      <c r="B603" s="11">
        <v>52</v>
      </c>
      <c r="C603" s="5" t="s">
        <v>17479</v>
      </c>
      <c r="D603" s="11">
        <v>27</v>
      </c>
      <c r="E603" s="5" t="s">
        <v>17548</v>
      </c>
      <c r="F603" s="5" t="s">
        <v>17549</v>
      </c>
      <c r="G603" s="5" t="s">
        <v>17550</v>
      </c>
      <c r="H603" s="5" t="s">
        <v>50</v>
      </c>
      <c r="I603" s="5" t="s">
        <v>16661</v>
      </c>
      <c r="J603" s="5" t="s">
        <v>16682</v>
      </c>
      <c r="K603" s="11">
        <v>1</v>
      </c>
    </row>
    <row r="604" spans="2:11" ht="21.75" customHeight="1" x14ac:dyDescent="0.35">
      <c r="B604" s="12">
        <v>52</v>
      </c>
      <c r="C604" s="7" t="s">
        <v>17479</v>
      </c>
      <c r="D604" s="12">
        <v>28</v>
      </c>
      <c r="E604" s="7" t="s">
        <v>17551</v>
      </c>
      <c r="F604" s="7" t="s">
        <v>17552</v>
      </c>
      <c r="G604" s="7" t="s">
        <v>17553</v>
      </c>
      <c r="H604" s="7" t="s">
        <v>50</v>
      </c>
      <c r="I604" s="7" t="s">
        <v>16661</v>
      </c>
      <c r="J604" s="7" t="s">
        <v>16682</v>
      </c>
      <c r="K604" s="12">
        <v>1</v>
      </c>
    </row>
    <row r="605" spans="2:11" ht="21.75" customHeight="1" x14ac:dyDescent="0.35">
      <c r="B605" s="11">
        <v>52</v>
      </c>
      <c r="C605" s="5" t="s">
        <v>17479</v>
      </c>
      <c r="D605" s="11">
        <v>29</v>
      </c>
      <c r="E605" s="5" t="s">
        <v>16341</v>
      </c>
      <c r="F605" s="5" t="s">
        <v>16448</v>
      </c>
      <c r="G605" s="5" t="s">
        <v>17554</v>
      </c>
      <c r="H605" s="5" t="s">
        <v>50</v>
      </c>
      <c r="I605" s="5" t="s">
        <v>16661</v>
      </c>
      <c r="J605" s="5" t="s">
        <v>16682</v>
      </c>
      <c r="K605" s="11">
        <v>1</v>
      </c>
    </row>
    <row r="606" spans="2:11" ht="37.5" customHeight="1" x14ac:dyDescent="0.35">
      <c r="B606" s="12">
        <v>52</v>
      </c>
      <c r="C606" s="7" t="s">
        <v>17479</v>
      </c>
      <c r="D606" s="12">
        <v>30</v>
      </c>
      <c r="E606" s="7" t="s">
        <v>17555</v>
      </c>
      <c r="F606" s="7" t="s">
        <v>17556</v>
      </c>
      <c r="G606" s="7" t="s">
        <v>17557</v>
      </c>
      <c r="H606" s="7" t="s">
        <v>50</v>
      </c>
      <c r="I606" s="7" t="s">
        <v>16661</v>
      </c>
      <c r="J606" s="7" t="s">
        <v>16682</v>
      </c>
      <c r="K606" s="12">
        <v>1</v>
      </c>
    </row>
    <row r="607" spans="2:11" ht="37.5" customHeight="1" x14ac:dyDescent="0.35">
      <c r="B607" s="11">
        <v>52</v>
      </c>
      <c r="C607" s="5" t="s">
        <v>17479</v>
      </c>
      <c r="D607" s="11">
        <v>31</v>
      </c>
      <c r="E607" s="5" t="s">
        <v>17558</v>
      </c>
      <c r="F607" s="5" t="s">
        <v>17559</v>
      </c>
      <c r="G607" s="5" t="s">
        <v>17560</v>
      </c>
      <c r="H607" s="5" t="s">
        <v>50</v>
      </c>
      <c r="I607" s="5" t="s">
        <v>16661</v>
      </c>
      <c r="J607" s="5" t="s">
        <v>16682</v>
      </c>
      <c r="K607" s="11">
        <v>1</v>
      </c>
    </row>
    <row r="608" spans="2:11" ht="37.5" customHeight="1" x14ac:dyDescent="0.35">
      <c r="B608" s="12">
        <v>52</v>
      </c>
      <c r="C608" s="7" t="s">
        <v>17479</v>
      </c>
      <c r="D608" s="12">
        <v>32</v>
      </c>
      <c r="E608" s="7" t="s">
        <v>17561</v>
      </c>
      <c r="F608" s="7" t="s">
        <v>17562</v>
      </c>
      <c r="G608" s="7" t="s">
        <v>17563</v>
      </c>
      <c r="H608" s="7" t="s">
        <v>50</v>
      </c>
      <c r="I608" s="7" t="s">
        <v>16661</v>
      </c>
      <c r="J608" s="7" t="s">
        <v>16682</v>
      </c>
      <c r="K608" s="12">
        <v>1</v>
      </c>
    </row>
    <row r="609" spans="2:11" ht="37.5" customHeight="1" x14ac:dyDescent="0.35">
      <c r="B609" s="11">
        <v>52</v>
      </c>
      <c r="C609" s="5" t="s">
        <v>17479</v>
      </c>
      <c r="D609" s="11">
        <v>33</v>
      </c>
      <c r="E609" s="5" t="s">
        <v>17564</v>
      </c>
      <c r="F609" s="5" t="s">
        <v>15937</v>
      </c>
      <c r="G609" s="5" t="s">
        <v>17565</v>
      </c>
      <c r="H609" s="5" t="s">
        <v>50</v>
      </c>
      <c r="I609" s="5" t="s">
        <v>16661</v>
      </c>
      <c r="J609" s="5" t="s">
        <v>16682</v>
      </c>
      <c r="K609" s="11">
        <v>1</v>
      </c>
    </row>
    <row r="610" spans="2:11" ht="37.5" customHeight="1" x14ac:dyDescent="0.35">
      <c r="B610" s="12">
        <v>52</v>
      </c>
      <c r="C610" s="7" t="s">
        <v>17479</v>
      </c>
      <c r="D610" s="12">
        <v>34</v>
      </c>
      <c r="E610" s="7" t="s">
        <v>17566</v>
      </c>
      <c r="F610" s="7" t="s">
        <v>17567</v>
      </c>
      <c r="G610" s="7" t="s">
        <v>17568</v>
      </c>
      <c r="H610" s="7" t="s">
        <v>50</v>
      </c>
      <c r="I610" s="7" t="s">
        <v>16661</v>
      </c>
      <c r="J610" s="7" t="s">
        <v>16682</v>
      </c>
      <c r="K610" s="12">
        <v>1</v>
      </c>
    </row>
    <row r="611" spans="2:11" ht="37.5" customHeight="1" x14ac:dyDescent="0.35">
      <c r="B611" s="11">
        <v>52</v>
      </c>
      <c r="C611" s="5" t="s">
        <v>17479</v>
      </c>
      <c r="D611" s="11">
        <v>35</v>
      </c>
      <c r="E611" s="5" t="s">
        <v>17569</v>
      </c>
      <c r="F611" s="5" t="s">
        <v>17570</v>
      </c>
      <c r="G611" s="5" t="s">
        <v>17571</v>
      </c>
      <c r="H611" s="5" t="s">
        <v>50</v>
      </c>
      <c r="I611" s="5" t="s">
        <v>16661</v>
      </c>
      <c r="J611" s="5" t="s">
        <v>16682</v>
      </c>
      <c r="K611" s="11">
        <v>1</v>
      </c>
    </row>
    <row r="612" spans="2:11" ht="37.5" customHeight="1" x14ac:dyDescent="0.35">
      <c r="B612" s="12">
        <v>52</v>
      </c>
      <c r="C612" s="7" t="s">
        <v>17479</v>
      </c>
      <c r="D612" s="12">
        <v>36</v>
      </c>
      <c r="E612" s="7" t="s">
        <v>17572</v>
      </c>
      <c r="F612" s="7" t="s">
        <v>17573</v>
      </c>
      <c r="G612" s="7" t="s">
        <v>17574</v>
      </c>
      <c r="H612" s="7" t="s">
        <v>50</v>
      </c>
      <c r="I612" s="7" t="s">
        <v>16661</v>
      </c>
      <c r="J612" s="7" t="s">
        <v>16682</v>
      </c>
      <c r="K612" s="12">
        <v>1</v>
      </c>
    </row>
    <row r="613" spans="2:11" ht="21.75" customHeight="1" x14ac:dyDescent="0.35">
      <c r="B613" s="11">
        <v>52</v>
      </c>
      <c r="C613" s="5" t="s">
        <v>17479</v>
      </c>
      <c r="D613" s="11">
        <v>37</v>
      </c>
      <c r="E613" s="5" t="s">
        <v>17575</v>
      </c>
      <c r="F613" s="5" t="s">
        <v>17576</v>
      </c>
      <c r="G613" s="5" t="s">
        <v>17577</v>
      </c>
      <c r="H613" s="5" t="s">
        <v>50</v>
      </c>
      <c r="I613" s="5" t="s">
        <v>16661</v>
      </c>
      <c r="J613" s="5" t="s">
        <v>16682</v>
      </c>
      <c r="K613" s="11">
        <v>1</v>
      </c>
    </row>
    <row r="614" spans="2:11" ht="21.75" customHeight="1" x14ac:dyDescent="0.35">
      <c r="B614" s="12">
        <v>52</v>
      </c>
      <c r="C614" s="7" t="s">
        <v>17479</v>
      </c>
      <c r="D614" s="12">
        <v>38</v>
      </c>
      <c r="E614" s="7" t="s">
        <v>17578</v>
      </c>
      <c r="F614" s="7" t="s">
        <v>17579</v>
      </c>
      <c r="G614" s="7" t="s">
        <v>17580</v>
      </c>
      <c r="H614" s="7" t="s">
        <v>50</v>
      </c>
      <c r="I614" s="7" t="s">
        <v>16661</v>
      </c>
      <c r="J614" s="7" t="s">
        <v>16682</v>
      </c>
      <c r="K614" s="12">
        <v>1</v>
      </c>
    </row>
    <row r="615" spans="2:11" ht="37.5" customHeight="1" x14ac:dyDescent="0.35">
      <c r="B615" s="11">
        <v>52</v>
      </c>
      <c r="C615" s="5" t="s">
        <v>17479</v>
      </c>
      <c r="D615" s="11">
        <v>39</v>
      </c>
      <c r="E615" s="5" t="s">
        <v>17581</v>
      </c>
      <c r="F615" s="5" t="s">
        <v>17582</v>
      </c>
      <c r="G615" s="5" t="s">
        <v>17583</v>
      </c>
      <c r="H615" s="5" t="s">
        <v>50</v>
      </c>
      <c r="I615" s="5" t="s">
        <v>16661</v>
      </c>
      <c r="J615" s="5" t="s">
        <v>16682</v>
      </c>
      <c r="K615" s="11">
        <v>1</v>
      </c>
    </row>
    <row r="616" spans="2:11" ht="21.75" customHeight="1" x14ac:dyDescent="0.35">
      <c r="B616" s="12">
        <v>52</v>
      </c>
      <c r="C616" s="7" t="s">
        <v>17479</v>
      </c>
      <c r="D616" s="12">
        <v>40</v>
      </c>
      <c r="E616" s="7" t="s">
        <v>17584</v>
      </c>
      <c r="F616" s="7" t="s">
        <v>17585</v>
      </c>
      <c r="G616" s="7" t="s">
        <v>17586</v>
      </c>
      <c r="H616" s="7" t="s">
        <v>50</v>
      </c>
      <c r="I616" s="7" t="s">
        <v>16661</v>
      </c>
      <c r="J616" s="7" t="s">
        <v>16682</v>
      </c>
      <c r="K616" s="12">
        <v>1</v>
      </c>
    </row>
    <row r="617" spans="2:11" ht="37.5" customHeight="1" x14ac:dyDescent="0.35">
      <c r="B617" s="11">
        <v>52</v>
      </c>
      <c r="C617" s="5" t="s">
        <v>17479</v>
      </c>
      <c r="D617" s="11">
        <v>41</v>
      </c>
      <c r="E617" s="5" t="s">
        <v>17587</v>
      </c>
      <c r="F617" s="5" t="s">
        <v>17588</v>
      </c>
      <c r="G617" s="5" t="s">
        <v>17075</v>
      </c>
      <c r="H617" s="5" t="s">
        <v>50</v>
      </c>
      <c r="I617" s="5" t="s">
        <v>16661</v>
      </c>
      <c r="J617" s="5" t="s">
        <v>16682</v>
      </c>
      <c r="K617" s="11">
        <v>1</v>
      </c>
    </row>
    <row r="618" spans="2:11" ht="21.75" customHeight="1" x14ac:dyDescent="0.35">
      <c r="B618" s="12">
        <v>52</v>
      </c>
      <c r="C618" s="7" t="s">
        <v>17479</v>
      </c>
      <c r="D618" s="12">
        <v>42</v>
      </c>
      <c r="E618" s="7" t="s">
        <v>17589</v>
      </c>
      <c r="F618" s="7" t="s">
        <v>17590</v>
      </c>
      <c r="G618" s="7" t="s">
        <v>16531</v>
      </c>
      <c r="H618" s="7" t="s">
        <v>50</v>
      </c>
      <c r="I618" s="7" t="s">
        <v>16661</v>
      </c>
      <c r="J618" s="7" t="s">
        <v>16682</v>
      </c>
      <c r="K618" s="12">
        <v>1</v>
      </c>
    </row>
    <row r="619" spans="2:11" ht="37.5" customHeight="1" x14ac:dyDescent="0.35">
      <c r="B619" s="11">
        <v>52</v>
      </c>
      <c r="C619" s="5" t="s">
        <v>17479</v>
      </c>
      <c r="D619" s="11">
        <v>43</v>
      </c>
      <c r="E619" s="5" t="s">
        <v>17591</v>
      </c>
      <c r="F619" s="5" t="s">
        <v>17592</v>
      </c>
      <c r="G619" s="5" t="s">
        <v>17593</v>
      </c>
      <c r="H619" s="5" t="s">
        <v>50</v>
      </c>
      <c r="I619" s="5" t="s">
        <v>16661</v>
      </c>
      <c r="J619" s="5" t="s">
        <v>16682</v>
      </c>
      <c r="K619" s="11">
        <v>1</v>
      </c>
    </row>
    <row r="620" spans="2:11" ht="37.5" customHeight="1" x14ac:dyDescent="0.35">
      <c r="B620" s="12">
        <v>52</v>
      </c>
      <c r="C620" s="7" t="s">
        <v>17479</v>
      </c>
      <c r="D620" s="12">
        <v>44</v>
      </c>
      <c r="E620" s="7" t="s">
        <v>17594</v>
      </c>
      <c r="F620" s="7" t="s">
        <v>17595</v>
      </c>
      <c r="G620" s="7" t="s">
        <v>24</v>
      </c>
      <c r="H620" s="7" t="s">
        <v>50</v>
      </c>
      <c r="I620" s="7" t="s">
        <v>16661</v>
      </c>
      <c r="J620" s="7" t="s">
        <v>16682</v>
      </c>
      <c r="K620" s="12">
        <v>1</v>
      </c>
    </row>
    <row r="621" spans="2:11" ht="37.5" customHeight="1" x14ac:dyDescent="0.35">
      <c r="B621" s="11">
        <v>52</v>
      </c>
      <c r="C621" s="5" t="s">
        <v>17479</v>
      </c>
      <c r="D621" s="11">
        <v>45</v>
      </c>
      <c r="E621" s="5" t="s">
        <v>17596</v>
      </c>
      <c r="F621" s="5" t="s">
        <v>17597</v>
      </c>
      <c r="G621" s="5" t="s">
        <v>17598</v>
      </c>
      <c r="H621" s="5" t="s">
        <v>50</v>
      </c>
      <c r="I621" s="5" t="s">
        <v>16661</v>
      </c>
      <c r="J621" s="5" t="s">
        <v>16682</v>
      </c>
      <c r="K621" s="11">
        <v>1</v>
      </c>
    </row>
    <row r="622" spans="2:11" ht="21.75" customHeight="1" x14ac:dyDescent="0.35">
      <c r="B622" s="12">
        <v>52</v>
      </c>
      <c r="C622" s="7" t="s">
        <v>17479</v>
      </c>
      <c r="D622" s="12">
        <v>46</v>
      </c>
      <c r="E622" s="7" t="s">
        <v>17599</v>
      </c>
      <c r="F622" s="7" t="s">
        <v>17600</v>
      </c>
      <c r="G622" s="7" t="s">
        <v>17601</v>
      </c>
      <c r="H622" s="7" t="s">
        <v>50</v>
      </c>
      <c r="I622" s="7" t="s">
        <v>16661</v>
      </c>
      <c r="J622" s="7" t="s">
        <v>16682</v>
      </c>
      <c r="K622" s="12">
        <v>1</v>
      </c>
    </row>
    <row r="623" spans="2:11" ht="37.5" customHeight="1" x14ac:dyDescent="0.35">
      <c r="B623" s="11"/>
      <c r="C623" s="5" t="s">
        <v>17602</v>
      </c>
      <c r="D623" s="11">
        <v>47</v>
      </c>
      <c r="E623" s="5" t="s">
        <v>17603</v>
      </c>
      <c r="F623" s="5" t="s">
        <v>17604</v>
      </c>
      <c r="G623" s="5" t="s">
        <v>17605</v>
      </c>
      <c r="H623" s="5" t="s">
        <v>50</v>
      </c>
      <c r="I623" s="5" t="s">
        <v>16661</v>
      </c>
      <c r="J623" s="5" t="s">
        <v>16682</v>
      </c>
      <c r="K623" s="11">
        <v>1</v>
      </c>
    </row>
    <row r="624" spans="2:11" ht="37.5" customHeight="1" x14ac:dyDescent="0.35">
      <c r="B624" s="12"/>
      <c r="C624" s="7" t="s">
        <v>17602</v>
      </c>
      <c r="D624" s="12">
        <v>48</v>
      </c>
      <c r="E624" s="7" t="s">
        <v>17606</v>
      </c>
      <c r="F624" s="7" t="s">
        <v>17607</v>
      </c>
      <c r="G624" s="7" t="s">
        <v>17237</v>
      </c>
      <c r="H624" s="7" t="s">
        <v>50</v>
      </c>
      <c r="I624" s="7" t="s">
        <v>16661</v>
      </c>
      <c r="J624" s="7" t="s">
        <v>16682</v>
      </c>
      <c r="K624" s="12">
        <v>1</v>
      </c>
    </row>
    <row r="625" spans="2:11" ht="37.5" customHeight="1" x14ac:dyDescent="0.35">
      <c r="B625" s="11"/>
      <c r="C625" s="5" t="s">
        <v>17602</v>
      </c>
      <c r="D625" s="11">
        <v>49</v>
      </c>
      <c r="E625" s="5" t="s">
        <v>17608</v>
      </c>
      <c r="F625" s="5" t="s">
        <v>17609</v>
      </c>
      <c r="G625" s="5" t="s">
        <v>17610</v>
      </c>
      <c r="H625" s="5" t="s">
        <v>50</v>
      </c>
      <c r="I625" s="5" t="s">
        <v>16661</v>
      </c>
      <c r="J625" s="5" t="s">
        <v>16682</v>
      </c>
      <c r="K625" s="11">
        <v>1</v>
      </c>
    </row>
    <row r="626" spans="2:11" ht="37.5" customHeight="1" x14ac:dyDescent="0.35">
      <c r="B626" s="12"/>
      <c r="C626" s="7" t="s">
        <v>17602</v>
      </c>
      <c r="D626" s="12">
        <v>50</v>
      </c>
      <c r="E626" s="7" t="s">
        <v>17611</v>
      </c>
      <c r="F626" s="7" t="s">
        <v>17612</v>
      </c>
      <c r="G626" s="7" t="s">
        <v>17613</v>
      </c>
      <c r="H626" s="7" t="s">
        <v>50</v>
      </c>
      <c r="I626" s="7" t="s">
        <v>16661</v>
      </c>
      <c r="J626" s="7" t="s">
        <v>16682</v>
      </c>
      <c r="K626" s="12">
        <v>1</v>
      </c>
    </row>
    <row r="627" spans="2:11" ht="21.75" customHeight="1" x14ac:dyDescent="0.35">
      <c r="B627" s="11"/>
      <c r="C627" s="5" t="s">
        <v>17602</v>
      </c>
      <c r="D627" s="11">
        <v>51</v>
      </c>
      <c r="E627" s="5" t="s">
        <v>17614</v>
      </c>
      <c r="F627" s="5" t="s">
        <v>17615</v>
      </c>
      <c r="G627" s="5" t="s">
        <v>17616</v>
      </c>
      <c r="H627" s="5" t="s">
        <v>50</v>
      </c>
      <c r="I627" s="5" t="s">
        <v>16661</v>
      </c>
      <c r="J627" s="5" t="s">
        <v>16682</v>
      </c>
      <c r="K627" s="11">
        <v>1</v>
      </c>
    </row>
    <row r="628" spans="2:11" ht="21.75" customHeight="1" x14ac:dyDescent="0.35">
      <c r="B628" s="12"/>
      <c r="C628" s="7" t="s">
        <v>17602</v>
      </c>
      <c r="D628" s="12">
        <v>52</v>
      </c>
      <c r="E628" s="7" t="s">
        <v>17617</v>
      </c>
      <c r="F628" s="7" t="s">
        <v>17618</v>
      </c>
      <c r="G628" s="7" t="s">
        <v>11201</v>
      </c>
      <c r="H628" s="7" t="s">
        <v>50</v>
      </c>
      <c r="I628" s="7" t="s">
        <v>16661</v>
      </c>
      <c r="J628" s="7" t="s">
        <v>16682</v>
      </c>
      <c r="K628" s="12">
        <v>1</v>
      </c>
    </row>
    <row r="629" spans="2:11" ht="37.5" customHeight="1" x14ac:dyDescent="0.35">
      <c r="B629" s="11"/>
      <c r="C629" s="5" t="s">
        <v>17602</v>
      </c>
      <c r="D629" s="11">
        <v>53</v>
      </c>
      <c r="E629" s="5" t="s">
        <v>17619</v>
      </c>
      <c r="F629" s="5" t="s">
        <v>17620</v>
      </c>
      <c r="G629" s="5" t="s">
        <v>16554</v>
      </c>
      <c r="H629" s="5" t="s">
        <v>50</v>
      </c>
      <c r="I629" s="5" t="s">
        <v>16661</v>
      </c>
      <c r="J629" s="5" t="s">
        <v>16682</v>
      </c>
      <c r="K629" s="11">
        <v>1</v>
      </c>
    </row>
    <row r="630" spans="2:11" ht="21.75" customHeight="1" x14ac:dyDescent="0.35">
      <c r="B630" s="12"/>
      <c r="C630" s="7" t="s">
        <v>17602</v>
      </c>
      <c r="D630" s="12">
        <v>54</v>
      </c>
      <c r="E630" s="7" t="s">
        <v>17621</v>
      </c>
      <c r="F630" s="7" t="s">
        <v>17622</v>
      </c>
      <c r="G630" s="7" t="s">
        <v>17623</v>
      </c>
      <c r="H630" s="7" t="s">
        <v>50</v>
      </c>
      <c r="I630" s="7" t="s">
        <v>16661</v>
      </c>
      <c r="J630" s="7" t="s">
        <v>16682</v>
      </c>
      <c r="K630" s="12">
        <v>1</v>
      </c>
    </row>
    <row r="631" spans="2:11" ht="37.5" customHeight="1" x14ac:dyDescent="0.35">
      <c r="B631" s="11"/>
      <c r="C631" s="5" t="s">
        <v>17602</v>
      </c>
      <c r="D631" s="11">
        <v>55</v>
      </c>
      <c r="E631" s="5" t="s">
        <v>17624</v>
      </c>
      <c r="F631" s="5" t="s">
        <v>17625</v>
      </c>
      <c r="G631" s="5" t="s">
        <v>17542</v>
      </c>
      <c r="H631" s="5" t="s">
        <v>50</v>
      </c>
      <c r="I631" s="5" t="s">
        <v>16661</v>
      </c>
      <c r="J631" s="5" t="s">
        <v>16682</v>
      </c>
      <c r="K631" s="11">
        <v>1</v>
      </c>
    </row>
    <row r="632" spans="2:11" ht="21.75" customHeight="1" x14ac:dyDescent="0.35">
      <c r="B632" s="12"/>
      <c r="C632" s="7" t="s">
        <v>17602</v>
      </c>
      <c r="D632" s="12">
        <v>56</v>
      </c>
      <c r="E632" s="7" t="s">
        <v>17626</v>
      </c>
      <c r="F632" s="7" t="s">
        <v>17627</v>
      </c>
      <c r="G632" s="7" t="s">
        <v>17628</v>
      </c>
      <c r="H632" s="7" t="s">
        <v>50</v>
      </c>
      <c r="I632" s="7" t="s">
        <v>16661</v>
      </c>
      <c r="J632" s="7" t="s">
        <v>16682</v>
      </c>
      <c r="K632" s="12">
        <v>1</v>
      </c>
    </row>
    <row r="633" spans="2:11" ht="37.5" customHeight="1" x14ac:dyDescent="0.35">
      <c r="B633" s="11"/>
      <c r="C633" s="5" t="s">
        <v>17602</v>
      </c>
      <c r="D633" s="11">
        <v>57</v>
      </c>
      <c r="E633" s="5" t="s">
        <v>17629</v>
      </c>
      <c r="F633" s="5" t="s">
        <v>17630</v>
      </c>
      <c r="G633" s="5" t="s">
        <v>17631</v>
      </c>
      <c r="H633" s="5" t="s">
        <v>50</v>
      </c>
      <c r="I633" s="5" t="s">
        <v>16661</v>
      </c>
      <c r="J633" s="5" t="s">
        <v>16682</v>
      </c>
      <c r="K633" s="11">
        <v>1</v>
      </c>
    </row>
    <row r="634" spans="2:11" ht="37.5" customHeight="1" x14ac:dyDescent="0.35">
      <c r="B634" s="12"/>
      <c r="C634" s="7" t="s">
        <v>17602</v>
      </c>
      <c r="D634" s="12">
        <v>58</v>
      </c>
      <c r="E634" s="7" t="s">
        <v>17632</v>
      </c>
      <c r="F634" s="7" t="s">
        <v>17633</v>
      </c>
      <c r="G634" s="7" t="s">
        <v>17634</v>
      </c>
      <c r="H634" s="7" t="s">
        <v>50</v>
      </c>
      <c r="I634" s="7" t="s">
        <v>16661</v>
      </c>
      <c r="J634" s="7" t="s">
        <v>16682</v>
      </c>
      <c r="K634" s="12">
        <v>1</v>
      </c>
    </row>
    <row r="635" spans="2:11" ht="37.5" customHeight="1" x14ac:dyDescent="0.35">
      <c r="B635" s="11"/>
      <c r="C635" s="5" t="s">
        <v>17602</v>
      </c>
      <c r="D635" s="11">
        <v>59</v>
      </c>
      <c r="E635" s="5" t="s">
        <v>17635</v>
      </c>
      <c r="F635" s="5" t="s">
        <v>17636</v>
      </c>
      <c r="G635" s="5" t="s">
        <v>17637</v>
      </c>
      <c r="H635" s="5" t="s">
        <v>50</v>
      </c>
      <c r="I635" s="5" t="s">
        <v>16661</v>
      </c>
      <c r="J635" s="5" t="s">
        <v>16682</v>
      </c>
      <c r="K635" s="11">
        <v>1</v>
      </c>
    </row>
    <row r="636" spans="2:11" ht="37.5" customHeight="1" x14ac:dyDescent="0.35">
      <c r="B636" s="12"/>
      <c r="C636" s="7" t="s">
        <v>17602</v>
      </c>
      <c r="D636" s="12">
        <v>60</v>
      </c>
      <c r="E636" s="7" t="s">
        <v>17638</v>
      </c>
      <c r="F636" s="7" t="s">
        <v>17639</v>
      </c>
      <c r="G636" s="7" t="s">
        <v>17640</v>
      </c>
      <c r="H636" s="7" t="s">
        <v>50</v>
      </c>
      <c r="I636" s="7" t="s">
        <v>16661</v>
      </c>
      <c r="J636" s="7" t="s">
        <v>16682</v>
      </c>
      <c r="K636" s="12">
        <v>1</v>
      </c>
    </row>
    <row r="637" spans="2:11" ht="37.5" customHeight="1" x14ac:dyDescent="0.35">
      <c r="B637" s="11"/>
      <c r="C637" s="5" t="s">
        <v>17602</v>
      </c>
      <c r="D637" s="11">
        <v>61</v>
      </c>
      <c r="E637" s="5" t="s">
        <v>17641</v>
      </c>
      <c r="F637" s="5" t="s">
        <v>17642</v>
      </c>
      <c r="G637" s="5" t="s">
        <v>17643</v>
      </c>
      <c r="H637" s="5" t="s">
        <v>50</v>
      </c>
      <c r="I637" s="5" t="s">
        <v>16661</v>
      </c>
      <c r="J637" s="5" t="s">
        <v>16682</v>
      </c>
      <c r="K637" s="11">
        <v>1</v>
      </c>
    </row>
    <row r="638" spans="2:11" ht="21.75" customHeight="1" x14ac:dyDescent="0.35">
      <c r="B638" s="12"/>
      <c r="C638" s="7" t="s">
        <v>17602</v>
      </c>
      <c r="D638" s="12">
        <v>62</v>
      </c>
      <c r="E638" s="7" t="s">
        <v>17644</v>
      </c>
      <c r="F638" s="7" t="s">
        <v>17645</v>
      </c>
      <c r="G638" s="7" t="s">
        <v>17646</v>
      </c>
      <c r="H638" s="7" t="s">
        <v>50</v>
      </c>
      <c r="I638" s="7" t="s">
        <v>16661</v>
      </c>
      <c r="J638" s="7" t="s">
        <v>16682</v>
      </c>
      <c r="K638" s="12">
        <v>1</v>
      </c>
    </row>
    <row r="639" spans="2:11" ht="37.5" customHeight="1" x14ac:dyDescent="0.35">
      <c r="B639" s="11"/>
      <c r="C639" s="5" t="s">
        <v>17602</v>
      </c>
      <c r="D639" s="11">
        <v>63</v>
      </c>
      <c r="E639" s="5" t="s">
        <v>17647</v>
      </c>
      <c r="F639" s="5" t="s">
        <v>17648</v>
      </c>
      <c r="G639" s="5" t="s">
        <v>16189</v>
      </c>
      <c r="H639" s="5" t="s">
        <v>15696</v>
      </c>
      <c r="I639" s="5" t="s">
        <v>17649</v>
      </c>
      <c r="J639" s="5" t="s">
        <v>17650</v>
      </c>
      <c r="K639" s="11">
        <v>1</v>
      </c>
    </row>
    <row r="640" spans="2:11" ht="52.5" customHeight="1" x14ac:dyDescent="0.35">
      <c r="B640" s="12">
        <v>53</v>
      </c>
      <c r="C640" s="7" t="s">
        <v>17651</v>
      </c>
      <c r="D640" s="12">
        <v>1</v>
      </c>
      <c r="E640" s="7" t="s">
        <v>17652</v>
      </c>
      <c r="F640" s="7" t="s">
        <v>17653</v>
      </c>
      <c r="G640" s="7" t="s">
        <v>16189</v>
      </c>
      <c r="H640" s="7" t="s">
        <v>16257</v>
      </c>
      <c r="I640" s="7" t="s">
        <v>17654</v>
      </c>
      <c r="J640" s="7" t="s">
        <v>17655</v>
      </c>
      <c r="K640" s="12">
        <v>2</v>
      </c>
    </row>
    <row r="641" spans="2:11" ht="37.5" customHeight="1" x14ac:dyDescent="0.35">
      <c r="B641" s="11">
        <v>54</v>
      </c>
      <c r="C641" s="5" t="s">
        <v>17656</v>
      </c>
      <c r="D641" s="11">
        <v>1</v>
      </c>
      <c r="E641" s="5" t="s">
        <v>17657</v>
      </c>
      <c r="F641" s="5" t="s">
        <v>17658</v>
      </c>
      <c r="G641" s="5" t="s">
        <v>16189</v>
      </c>
      <c r="H641" s="5" t="s">
        <v>15690</v>
      </c>
      <c r="I641" s="5" t="s">
        <v>17659</v>
      </c>
      <c r="J641" s="5" t="s">
        <v>17660</v>
      </c>
      <c r="K641" s="11">
        <v>1</v>
      </c>
    </row>
    <row r="642" spans="2:11" ht="37.5" customHeight="1" x14ac:dyDescent="0.35">
      <c r="B642" s="12">
        <v>55</v>
      </c>
      <c r="C642" s="7" t="s">
        <v>17661</v>
      </c>
      <c r="D642" s="12">
        <v>1</v>
      </c>
      <c r="E642" s="7" t="s">
        <v>17662</v>
      </c>
      <c r="F642" s="7" t="s">
        <v>17663</v>
      </c>
      <c r="G642" s="7" t="s">
        <v>17664</v>
      </c>
      <c r="H642" s="7" t="s">
        <v>50</v>
      </c>
      <c r="I642" s="7" t="s">
        <v>16661</v>
      </c>
      <c r="J642" s="7" t="s">
        <v>16682</v>
      </c>
      <c r="K642" s="12">
        <v>1</v>
      </c>
    </row>
    <row r="643" spans="2:11" ht="37.5" customHeight="1" x14ac:dyDescent="0.35">
      <c r="B643" s="11">
        <v>56</v>
      </c>
      <c r="C643" s="5" t="s">
        <v>17665</v>
      </c>
      <c r="D643" s="11">
        <v>1</v>
      </c>
      <c r="E643" s="5" t="s">
        <v>17666</v>
      </c>
      <c r="F643" s="5" t="s">
        <v>17667</v>
      </c>
      <c r="G643" s="5" t="s">
        <v>16369</v>
      </c>
      <c r="H643" s="5" t="s">
        <v>50</v>
      </c>
      <c r="I643" s="5" t="s">
        <v>17668</v>
      </c>
      <c r="J643" s="5" t="s">
        <v>17669</v>
      </c>
      <c r="K643" s="11">
        <v>1</v>
      </c>
    </row>
    <row r="644" spans="2:11" ht="37.5" customHeight="1" x14ac:dyDescent="0.35">
      <c r="B644" s="12">
        <v>57</v>
      </c>
      <c r="C644" s="7" t="s">
        <v>17670</v>
      </c>
      <c r="D644" s="12">
        <v>1</v>
      </c>
      <c r="E644" s="7" t="s">
        <v>17671</v>
      </c>
      <c r="F644" s="7" t="s">
        <v>17672</v>
      </c>
      <c r="G644" s="7" t="s">
        <v>2919</v>
      </c>
      <c r="H644" s="7" t="s">
        <v>50</v>
      </c>
      <c r="I644" s="7" t="s">
        <v>17673</v>
      </c>
      <c r="J644" s="7" t="s">
        <v>17674</v>
      </c>
      <c r="K644" s="12">
        <v>1</v>
      </c>
    </row>
    <row r="645" spans="2:11" ht="37.5" customHeight="1" x14ac:dyDescent="0.35">
      <c r="B645" s="11">
        <v>58</v>
      </c>
      <c r="C645" s="5" t="s">
        <v>9798</v>
      </c>
      <c r="D645" s="11">
        <v>1</v>
      </c>
      <c r="E645" s="5" t="s">
        <v>17675</v>
      </c>
      <c r="F645" s="5" t="s">
        <v>17676</v>
      </c>
      <c r="G645" s="5" t="s">
        <v>31</v>
      </c>
      <c r="H645" s="5" t="s">
        <v>15690</v>
      </c>
      <c r="I645" s="5" t="s">
        <v>17677</v>
      </c>
      <c r="J645" s="5" t="s">
        <v>17678</v>
      </c>
      <c r="K645" s="11">
        <v>1</v>
      </c>
    </row>
    <row r="646" spans="2:11" ht="37.5" customHeight="1" x14ac:dyDescent="0.35">
      <c r="B646" s="12">
        <v>59</v>
      </c>
      <c r="C646" s="7" t="s">
        <v>17679</v>
      </c>
      <c r="D646" s="12">
        <v>1</v>
      </c>
      <c r="E646" s="7" t="s">
        <v>17680</v>
      </c>
      <c r="F646" s="7" t="s">
        <v>17681</v>
      </c>
      <c r="G646" s="7" t="s">
        <v>15835</v>
      </c>
      <c r="H646" s="7" t="s">
        <v>17682</v>
      </c>
      <c r="I646" s="7" t="s">
        <v>194</v>
      </c>
      <c r="J646" s="7" t="s">
        <v>17683</v>
      </c>
      <c r="K646" s="12">
        <v>1</v>
      </c>
    </row>
    <row r="647" spans="2:11" ht="37.5" customHeight="1" x14ac:dyDescent="0.35">
      <c r="B647" s="11">
        <v>60</v>
      </c>
      <c r="C647" s="5" t="s">
        <v>17684</v>
      </c>
      <c r="D647" s="11">
        <v>1</v>
      </c>
      <c r="E647" s="5" t="s">
        <v>17685</v>
      </c>
      <c r="F647" s="5" t="s">
        <v>17686</v>
      </c>
      <c r="G647" s="5" t="s">
        <v>25</v>
      </c>
      <c r="H647" s="5" t="s">
        <v>15757</v>
      </c>
      <c r="I647" s="5" t="s">
        <v>17687</v>
      </c>
      <c r="J647" s="5" t="s">
        <v>17688</v>
      </c>
      <c r="K647" s="11">
        <v>1</v>
      </c>
    </row>
    <row r="648" spans="2:11" ht="37.5" customHeight="1" x14ac:dyDescent="0.35">
      <c r="B648" s="12">
        <v>61</v>
      </c>
      <c r="C648" s="7" t="s">
        <v>17689</v>
      </c>
      <c r="D648" s="12">
        <v>1</v>
      </c>
      <c r="E648" s="7" t="s">
        <v>17690</v>
      </c>
      <c r="F648" s="7" t="s">
        <v>17691</v>
      </c>
      <c r="G648" s="7" t="s">
        <v>16794</v>
      </c>
      <c r="H648" s="7" t="s">
        <v>50</v>
      </c>
      <c r="I648" s="7" t="s">
        <v>16661</v>
      </c>
      <c r="J648" s="7" t="s">
        <v>16682</v>
      </c>
      <c r="K648" s="12">
        <v>1</v>
      </c>
    </row>
    <row r="649" spans="2:11" ht="37.5" customHeight="1" x14ac:dyDescent="0.35">
      <c r="B649" s="11">
        <v>61</v>
      </c>
      <c r="C649" s="5" t="s">
        <v>17689</v>
      </c>
      <c r="D649" s="11">
        <v>2</v>
      </c>
      <c r="E649" s="5" t="s">
        <v>17692</v>
      </c>
      <c r="F649" s="5" t="s">
        <v>17693</v>
      </c>
      <c r="G649" s="5" t="s">
        <v>17694</v>
      </c>
      <c r="H649" s="5" t="s">
        <v>50</v>
      </c>
      <c r="I649" s="5" t="s">
        <v>16661</v>
      </c>
      <c r="J649" s="5" t="s">
        <v>16682</v>
      </c>
      <c r="K649" s="11">
        <v>1</v>
      </c>
    </row>
    <row r="650" spans="2:11" ht="37.5" customHeight="1" x14ac:dyDescent="0.35">
      <c r="B650" s="12">
        <v>62</v>
      </c>
      <c r="C650" s="7" t="s">
        <v>17695</v>
      </c>
      <c r="D650" s="12">
        <v>1</v>
      </c>
      <c r="E650" s="7" t="s">
        <v>17696</v>
      </c>
      <c r="F650" s="7" t="s">
        <v>17697</v>
      </c>
      <c r="G650" s="7" t="s">
        <v>17698</v>
      </c>
      <c r="H650" s="7" t="s">
        <v>50</v>
      </c>
      <c r="I650" s="7" t="s">
        <v>17699</v>
      </c>
      <c r="J650" s="7" t="s">
        <v>17700</v>
      </c>
      <c r="K650" s="12">
        <v>1</v>
      </c>
    </row>
    <row r="651" spans="2:11" ht="37.5" customHeight="1" x14ac:dyDescent="0.35">
      <c r="B651" s="11">
        <v>63</v>
      </c>
      <c r="C651" s="5" t="s">
        <v>17701</v>
      </c>
      <c r="D651" s="11">
        <v>1</v>
      </c>
      <c r="E651" s="5" t="s">
        <v>17702</v>
      </c>
      <c r="F651" s="5" t="s">
        <v>17703</v>
      </c>
      <c r="G651" s="5" t="s">
        <v>16102</v>
      </c>
      <c r="H651" s="5" t="s">
        <v>50</v>
      </c>
      <c r="I651" s="5" t="s">
        <v>17704</v>
      </c>
      <c r="J651" s="5" t="s">
        <v>17705</v>
      </c>
      <c r="K651" s="11">
        <v>1</v>
      </c>
    </row>
    <row r="652" spans="2:11" ht="21.75" customHeight="1" x14ac:dyDescent="0.35">
      <c r="B652" s="12">
        <v>64</v>
      </c>
      <c r="C652" s="7" t="s">
        <v>17706</v>
      </c>
      <c r="D652" s="12">
        <v>1</v>
      </c>
      <c r="E652" s="7" t="s">
        <v>17707</v>
      </c>
      <c r="F652" s="7" t="s">
        <v>17708</v>
      </c>
      <c r="G652" s="7" t="s">
        <v>17709</v>
      </c>
      <c r="H652" s="7" t="s">
        <v>15696</v>
      </c>
      <c r="I652" s="7" t="s">
        <v>17710</v>
      </c>
      <c r="J652" s="7" t="s">
        <v>17711</v>
      </c>
      <c r="K652" s="12">
        <v>1</v>
      </c>
    </row>
    <row r="653" spans="2:11" ht="37.5" customHeight="1" x14ac:dyDescent="0.35">
      <c r="B653" s="11">
        <v>65</v>
      </c>
      <c r="C653" s="5" t="s">
        <v>17712</v>
      </c>
      <c r="D653" s="11">
        <v>1</v>
      </c>
      <c r="E653" s="5" t="s">
        <v>17713</v>
      </c>
      <c r="F653" s="5" t="s">
        <v>17714</v>
      </c>
      <c r="G653" s="5" t="s">
        <v>17715</v>
      </c>
      <c r="H653" s="5" t="s">
        <v>50</v>
      </c>
      <c r="I653" s="5" t="s">
        <v>17716</v>
      </c>
      <c r="J653" s="5" t="s">
        <v>17717</v>
      </c>
      <c r="K653" s="11">
        <v>1</v>
      </c>
    </row>
    <row r="654" spans="2:11" ht="37.5" customHeight="1" x14ac:dyDescent="0.35">
      <c r="B654" s="12">
        <v>66</v>
      </c>
      <c r="C654" s="7" t="s">
        <v>17718</v>
      </c>
      <c r="D654" s="12">
        <v>1</v>
      </c>
      <c r="E654" s="7" t="s">
        <v>17719</v>
      </c>
      <c r="F654" s="7" t="s">
        <v>17720</v>
      </c>
      <c r="G654" s="7" t="s">
        <v>17715</v>
      </c>
      <c r="H654" s="7" t="s">
        <v>17721</v>
      </c>
      <c r="I654" s="7" t="s">
        <v>17716</v>
      </c>
      <c r="J654" s="7" t="s">
        <v>17722</v>
      </c>
      <c r="K654" s="12">
        <v>1</v>
      </c>
    </row>
    <row r="655" spans="2:11" ht="37.5" customHeight="1" x14ac:dyDescent="0.35">
      <c r="B655" s="11">
        <v>66</v>
      </c>
      <c r="C655" s="5" t="s">
        <v>17718</v>
      </c>
      <c r="D655" s="11">
        <v>2</v>
      </c>
      <c r="E655" s="5" t="s">
        <v>17723</v>
      </c>
      <c r="F655" s="5" t="s">
        <v>17724</v>
      </c>
      <c r="G655" s="5" t="s">
        <v>24</v>
      </c>
      <c r="H655" s="5" t="s">
        <v>17721</v>
      </c>
      <c r="I655" s="5" t="s">
        <v>17716</v>
      </c>
      <c r="J655" s="5" t="s">
        <v>17722</v>
      </c>
      <c r="K655" s="11">
        <v>1</v>
      </c>
    </row>
    <row r="656" spans="2:11" ht="37.5" customHeight="1" x14ac:dyDescent="0.35">
      <c r="B656" s="12">
        <v>66</v>
      </c>
      <c r="C656" s="7" t="s">
        <v>17718</v>
      </c>
      <c r="D656" s="12">
        <v>3</v>
      </c>
      <c r="E656" s="7" t="s">
        <v>17725</v>
      </c>
      <c r="F656" s="7" t="s">
        <v>17726</v>
      </c>
      <c r="G656" s="7" t="s">
        <v>17715</v>
      </c>
      <c r="H656" s="7" t="s">
        <v>17727</v>
      </c>
      <c r="I656" s="7" t="s">
        <v>17716</v>
      </c>
      <c r="J656" s="7" t="s">
        <v>17728</v>
      </c>
      <c r="K656" s="12">
        <v>1</v>
      </c>
    </row>
    <row r="657" spans="2:11" ht="37.5" customHeight="1" x14ac:dyDescent="0.35">
      <c r="B657" s="11">
        <v>67</v>
      </c>
      <c r="C657" s="5" t="s">
        <v>17729</v>
      </c>
      <c r="D657" s="11">
        <v>1</v>
      </c>
      <c r="E657" s="5" t="s">
        <v>17730</v>
      </c>
      <c r="F657" s="5" t="s">
        <v>17731</v>
      </c>
      <c r="G657" s="5" t="s">
        <v>24</v>
      </c>
      <c r="H657" s="5" t="s">
        <v>17727</v>
      </c>
      <c r="I657" s="5" t="s">
        <v>17716</v>
      </c>
      <c r="J657" s="5" t="s">
        <v>17728</v>
      </c>
      <c r="K657" s="11">
        <v>1</v>
      </c>
    </row>
    <row r="658" spans="2:11" ht="37.5" customHeight="1" x14ac:dyDescent="0.35">
      <c r="B658" s="12">
        <v>68</v>
      </c>
      <c r="C658" s="7" t="s">
        <v>17732</v>
      </c>
      <c r="D658" s="12">
        <v>1</v>
      </c>
      <c r="E658" s="7" t="s">
        <v>17733</v>
      </c>
      <c r="F658" s="7" t="s">
        <v>17734</v>
      </c>
      <c r="G658" s="7" t="s">
        <v>497</v>
      </c>
      <c r="H658" s="7" t="s">
        <v>17735</v>
      </c>
      <c r="I658" s="7" t="s">
        <v>17736</v>
      </c>
      <c r="J658" s="7" t="s">
        <v>17737</v>
      </c>
      <c r="K658" s="12">
        <v>1</v>
      </c>
    </row>
    <row r="659" spans="2:11" ht="37.5" customHeight="1" x14ac:dyDescent="0.35">
      <c r="B659" s="11">
        <v>69</v>
      </c>
      <c r="C659" s="5" t="s">
        <v>17738</v>
      </c>
      <c r="D659" s="11">
        <v>1</v>
      </c>
      <c r="E659" s="5" t="s">
        <v>17739</v>
      </c>
      <c r="F659" s="5" t="s">
        <v>17740</v>
      </c>
      <c r="G659" s="5" t="s">
        <v>2919</v>
      </c>
      <c r="H659" s="5" t="s">
        <v>50</v>
      </c>
      <c r="I659" s="5" t="s">
        <v>17741</v>
      </c>
      <c r="J659" s="5" t="s">
        <v>17742</v>
      </c>
      <c r="K659" s="11">
        <v>1</v>
      </c>
    </row>
    <row r="660" spans="2:11" ht="37.5" customHeight="1" x14ac:dyDescent="0.35">
      <c r="B660" s="12">
        <v>70</v>
      </c>
      <c r="C660" s="7" t="s">
        <v>17743</v>
      </c>
      <c r="D660" s="12">
        <v>1</v>
      </c>
      <c r="E660" s="7" t="s">
        <v>17744</v>
      </c>
      <c r="F660" s="7" t="s">
        <v>17745</v>
      </c>
      <c r="G660" s="7" t="s">
        <v>24</v>
      </c>
      <c r="H660" s="7" t="s">
        <v>50</v>
      </c>
      <c r="I660" s="7" t="s">
        <v>17746</v>
      </c>
      <c r="J660" s="7" t="s">
        <v>17747</v>
      </c>
      <c r="K660" s="12">
        <v>1</v>
      </c>
    </row>
    <row r="661" spans="2:11" ht="21.75" customHeight="1" x14ac:dyDescent="0.35">
      <c r="B661" s="11">
        <v>70</v>
      </c>
      <c r="C661" s="5" t="s">
        <v>17743</v>
      </c>
      <c r="D661" s="11">
        <v>2</v>
      </c>
      <c r="E661" s="5" t="s">
        <v>17083</v>
      </c>
      <c r="F661" s="5" t="s">
        <v>17748</v>
      </c>
      <c r="G661" s="5" t="s">
        <v>16310</v>
      </c>
      <c r="H661" s="5" t="s">
        <v>50</v>
      </c>
      <c r="I661" s="5" t="s">
        <v>17746</v>
      </c>
      <c r="J661" s="5" t="s">
        <v>17747</v>
      </c>
      <c r="K661" s="11">
        <v>1</v>
      </c>
    </row>
    <row r="662" spans="2:11" ht="21.75" customHeight="1" x14ac:dyDescent="0.35">
      <c r="B662" s="12">
        <v>70</v>
      </c>
      <c r="C662" s="7" t="s">
        <v>17743</v>
      </c>
      <c r="D662" s="12">
        <v>3</v>
      </c>
      <c r="E662" s="7" t="s">
        <v>17749</v>
      </c>
      <c r="F662" s="7" t="s">
        <v>17750</v>
      </c>
      <c r="G662" s="7" t="s">
        <v>17751</v>
      </c>
      <c r="H662" s="7" t="s">
        <v>50</v>
      </c>
      <c r="I662" s="7" t="s">
        <v>17746</v>
      </c>
      <c r="J662" s="7" t="s">
        <v>17747</v>
      </c>
      <c r="K662" s="12">
        <v>1</v>
      </c>
    </row>
    <row r="663" spans="2:11" ht="37.5" customHeight="1" x14ac:dyDescent="0.35">
      <c r="B663" s="11">
        <v>71</v>
      </c>
      <c r="C663" s="5" t="s">
        <v>17752</v>
      </c>
      <c r="D663" s="11">
        <v>1</v>
      </c>
      <c r="E663" s="5" t="s">
        <v>16394</v>
      </c>
      <c r="F663" s="5" t="s">
        <v>17753</v>
      </c>
      <c r="G663" s="5" t="s">
        <v>16396</v>
      </c>
      <c r="H663" s="5" t="s">
        <v>50</v>
      </c>
      <c r="I663" s="5" t="s">
        <v>17746</v>
      </c>
      <c r="J663" s="5" t="s">
        <v>17747</v>
      </c>
      <c r="K663" s="11">
        <v>1</v>
      </c>
    </row>
    <row r="664" spans="2:11" ht="37.5" customHeight="1" x14ac:dyDescent="0.35">
      <c r="B664" s="12">
        <v>72</v>
      </c>
      <c r="C664" s="7" t="s">
        <v>17754</v>
      </c>
      <c r="D664" s="12">
        <v>1</v>
      </c>
      <c r="E664" s="7" t="s">
        <v>17755</v>
      </c>
      <c r="F664" s="7" t="s">
        <v>17756</v>
      </c>
      <c r="G664" s="7" t="s">
        <v>17757</v>
      </c>
      <c r="H664" s="7" t="s">
        <v>50</v>
      </c>
      <c r="I664" s="7" t="s">
        <v>17716</v>
      </c>
      <c r="J664" s="7" t="s">
        <v>17717</v>
      </c>
      <c r="K664" s="12">
        <v>1</v>
      </c>
    </row>
    <row r="665" spans="2:11" ht="37.5" customHeight="1" x14ac:dyDescent="0.35">
      <c r="B665" s="11">
        <v>73</v>
      </c>
      <c r="C665" s="5" t="s">
        <v>17758</v>
      </c>
      <c r="D665" s="11">
        <v>1</v>
      </c>
      <c r="E665" s="5" t="s">
        <v>17759</v>
      </c>
      <c r="F665" s="5" t="s">
        <v>17760</v>
      </c>
      <c r="G665" s="5" t="s">
        <v>17761</v>
      </c>
      <c r="H665" s="5" t="s">
        <v>15696</v>
      </c>
      <c r="I665" s="5" t="s">
        <v>17762</v>
      </c>
      <c r="J665" s="5" t="s">
        <v>17763</v>
      </c>
      <c r="K665" s="11">
        <v>1</v>
      </c>
    </row>
    <row r="666" spans="2:11" ht="37.5" customHeight="1" x14ac:dyDescent="0.35">
      <c r="B666" s="12">
        <v>74</v>
      </c>
      <c r="C666" s="7" t="s">
        <v>17764</v>
      </c>
      <c r="D666" s="12">
        <v>1</v>
      </c>
      <c r="E666" s="7" t="s">
        <v>17765</v>
      </c>
      <c r="F666" s="7" t="s">
        <v>17766</v>
      </c>
      <c r="G666" s="7" t="s">
        <v>15519</v>
      </c>
      <c r="H666" s="7" t="s">
        <v>15827</v>
      </c>
      <c r="I666" s="7" t="s">
        <v>17767</v>
      </c>
      <c r="J666" s="7" t="s">
        <v>17768</v>
      </c>
      <c r="K666" s="12">
        <v>1</v>
      </c>
    </row>
    <row r="667" spans="2:11" ht="37.5" customHeight="1" x14ac:dyDescent="0.35">
      <c r="B667" s="11">
        <v>75</v>
      </c>
      <c r="C667" s="5" t="s">
        <v>17769</v>
      </c>
      <c r="D667" s="11">
        <v>1</v>
      </c>
      <c r="E667" s="5" t="s">
        <v>17770</v>
      </c>
      <c r="F667" s="5" t="s">
        <v>17771</v>
      </c>
      <c r="G667" s="5" t="s">
        <v>17246</v>
      </c>
      <c r="H667" s="5" t="s">
        <v>17772</v>
      </c>
      <c r="I667" s="5" t="s">
        <v>17773</v>
      </c>
      <c r="J667" s="5" t="s">
        <v>17774</v>
      </c>
      <c r="K667" s="11">
        <v>1</v>
      </c>
    </row>
    <row r="668" spans="2:11" ht="37.5" customHeight="1" x14ac:dyDescent="0.35">
      <c r="B668" s="12">
        <v>76</v>
      </c>
      <c r="C668" s="7" t="s">
        <v>17775</v>
      </c>
      <c r="D668" s="12">
        <v>1</v>
      </c>
      <c r="E668" s="7" t="s">
        <v>17776</v>
      </c>
      <c r="F668" s="7" t="s">
        <v>17777</v>
      </c>
      <c r="G668" s="7" t="s">
        <v>3283</v>
      </c>
      <c r="H668" s="7" t="s">
        <v>15827</v>
      </c>
      <c r="I668" s="7" t="s">
        <v>17778</v>
      </c>
      <c r="J668" s="7" t="s">
        <v>17779</v>
      </c>
      <c r="K668" s="12">
        <v>1</v>
      </c>
    </row>
    <row r="669" spans="2:11" ht="52.5" customHeight="1" x14ac:dyDescent="0.35">
      <c r="B669" s="11">
        <v>77</v>
      </c>
      <c r="C669" s="5" t="s">
        <v>17780</v>
      </c>
      <c r="D669" s="11">
        <v>1</v>
      </c>
      <c r="E669" s="5" t="s">
        <v>17781</v>
      </c>
      <c r="F669" s="5" t="s">
        <v>17782</v>
      </c>
      <c r="G669" s="5" t="s">
        <v>993</v>
      </c>
      <c r="H669" s="5" t="s">
        <v>50</v>
      </c>
      <c r="I669" s="5" t="s">
        <v>17783</v>
      </c>
      <c r="J669" s="5" t="s">
        <v>17784</v>
      </c>
      <c r="K669" s="11">
        <v>1</v>
      </c>
    </row>
    <row r="670" spans="2:11" ht="25.5" customHeight="1" x14ac:dyDescent="0.35">
      <c r="B670" s="9" t="s">
        <v>978</v>
      </c>
      <c r="C670" s="9"/>
      <c r="D670" s="9"/>
      <c r="E670" s="16">
        <f>SUBTOTAL(103,E5:E669)</f>
        <v>665</v>
      </c>
      <c r="F670" s="9"/>
      <c r="G670" s="9"/>
      <c r="H670" s="9"/>
      <c r="I670" s="9"/>
      <c r="J670" s="9"/>
      <c r="K670" s="16">
        <f>SUBTOTAL(109,K5:K669)</f>
        <v>672</v>
      </c>
    </row>
    <row r="672" spans="2:11" x14ac:dyDescent="0.2">
      <c r="B672" s="17" t="s">
        <v>979</v>
      </c>
    </row>
  </sheetData>
  <autoFilter ref="B4:K669" xr:uid="{00000000-0009-0000-0000-000009000000}"/>
  <mergeCells count="1">
    <mergeCell ref="B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E17"/>
  <sheetViews>
    <sheetView showGridLines="0" zoomScaleNormal="100" workbookViewId="0"/>
  </sheetViews>
  <sheetFormatPr defaultColWidth="8.7421875" defaultRowHeight="15" customHeight="1" x14ac:dyDescent="0.2"/>
  <cols>
    <col min="1" max="1" width="2.95703125" customWidth="1"/>
    <col min="2" max="2" width="34.03125" customWidth="1"/>
    <col min="3" max="4" width="18.0234375" customWidth="1"/>
    <col min="5" max="5" width="11.97265625" customWidth="1"/>
  </cols>
  <sheetData>
    <row r="2" spans="2:5" ht="31.5" customHeight="1" x14ac:dyDescent="0.2">
      <c r="B2" s="18" t="s">
        <v>17785</v>
      </c>
      <c r="C2" s="18"/>
      <c r="D2" s="18"/>
      <c r="E2" s="18"/>
    </row>
    <row r="3" spans="2:5" ht="7.5" customHeight="1" x14ac:dyDescent="0.2"/>
    <row r="4" spans="2:5" ht="27.75" customHeight="1" x14ac:dyDescent="0.35">
      <c r="B4" s="4" t="s">
        <v>17786</v>
      </c>
      <c r="C4" s="4" t="s">
        <v>17787</v>
      </c>
      <c r="D4" s="4" t="s">
        <v>17788</v>
      </c>
      <c r="E4" s="4" t="s">
        <v>17789</v>
      </c>
    </row>
    <row r="5" spans="2:5" ht="21.75" customHeight="1" x14ac:dyDescent="0.2">
      <c r="B5" s="5" t="s">
        <v>17790</v>
      </c>
      <c r="C5" s="6">
        <v>5452</v>
      </c>
      <c r="D5" s="6">
        <f>Summary!D17</f>
        <v>5452</v>
      </c>
      <c r="E5" s="11" t="str">
        <f>IF(C5=D5,"PASS","FAIL")</f>
        <v>PASS</v>
      </c>
    </row>
    <row r="6" spans="2:5" ht="21.75" customHeight="1" x14ac:dyDescent="0.35">
      <c r="B6" s="7" t="s">
        <v>17791</v>
      </c>
      <c r="C6" s="8">
        <v>205</v>
      </c>
      <c r="D6" s="8">
        <f>Summary!D9</f>
        <v>205</v>
      </c>
      <c r="E6" s="12" t="str">
        <f>IF(C6=D6,"PASS","FAIL")</f>
        <v>PASS</v>
      </c>
    </row>
    <row r="7" spans="2:5" ht="21.75" customHeight="1" x14ac:dyDescent="0.35">
      <c r="B7" s="5" t="s">
        <v>17792</v>
      </c>
      <c r="C7" s="6">
        <v>1052</v>
      </c>
      <c r="D7" s="6">
        <f>Summary!D10</f>
        <v>1052</v>
      </c>
      <c r="E7" s="11" t="str">
        <f>IF(C7=D7,"PASS","FAIL")</f>
        <v>PASS</v>
      </c>
    </row>
    <row r="8" spans="2:5" ht="21.75" customHeight="1" x14ac:dyDescent="0.35">
      <c r="B8" s="7" t="s">
        <v>17793</v>
      </c>
      <c r="C8" s="8">
        <v>2500</v>
      </c>
      <c r="D8" s="8">
        <f>Summary!D11</f>
        <v>2500</v>
      </c>
      <c r="E8" s="12" t="str">
        <f>IF(C8=D8,"PASS","FAIL")</f>
        <v>PASS</v>
      </c>
    </row>
    <row r="9" spans="2:5" ht="21.75" customHeight="1" x14ac:dyDescent="0.35">
      <c r="B9" s="5" t="s">
        <v>17794</v>
      </c>
      <c r="C9" s="6">
        <v>892</v>
      </c>
      <c r="D9" s="6">
        <f>Summary!D12</f>
        <v>892</v>
      </c>
      <c r="E9" s="11" t="str">
        <f>IF(C9=D9,"PASS","FAIL")</f>
        <v>PASS</v>
      </c>
    </row>
    <row r="10" spans="2:5" ht="21.75" customHeight="1" x14ac:dyDescent="0.35">
      <c r="B10" s="7" t="s">
        <v>17795</v>
      </c>
      <c r="C10" s="8">
        <v>88</v>
      </c>
      <c r="D10" s="8">
        <f>Summary!D13</f>
        <v>88</v>
      </c>
      <c r="E10" s="12" t="str">
        <f>IF(C10=D10,"PASS","FAIL")</f>
        <v>PASS</v>
      </c>
    </row>
    <row r="11" spans="2:5" ht="21.75" customHeight="1" x14ac:dyDescent="0.35">
      <c r="B11" s="5" t="s">
        <v>17796</v>
      </c>
      <c r="C11" s="6">
        <v>15</v>
      </c>
      <c r="D11" s="6">
        <f>Summary!D14</f>
        <v>15</v>
      </c>
      <c r="E11" s="11" t="str">
        <f>IF(C11=D11,"PASS","FAIL")</f>
        <v>PASS</v>
      </c>
    </row>
    <row r="12" spans="2:5" ht="21.75" customHeight="1" x14ac:dyDescent="0.35">
      <c r="B12" s="7" t="s">
        <v>17797</v>
      </c>
      <c r="C12" s="8">
        <v>35</v>
      </c>
      <c r="D12" s="8">
        <f>Summary!D15</f>
        <v>35</v>
      </c>
      <c r="E12" s="12" t="str">
        <f>IF(C12=D12,"PASS","FAIL")</f>
        <v>PASS</v>
      </c>
    </row>
    <row r="13" spans="2:5" ht="21.75" customHeight="1" x14ac:dyDescent="0.35">
      <c r="B13" s="5" t="s">
        <v>17798</v>
      </c>
      <c r="C13" s="6">
        <v>665</v>
      </c>
      <c r="D13" s="6">
        <f>Summary!D16</f>
        <v>665</v>
      </c>
      <c r="E13" s="11" t="str">
        <f>IF(C13=D13,"PASS","FAIL")</f>
        <v>PASS</v>
      </c>
    </row>
    <row r="14" spans="2:5" ht="21.75" customHeight="1" x14ac:dyDescent="0.2">
      <c r="B14" s="7" t="s">
        <v>17799</v>
      </c>
      <c r="C14" s="8">
        <v>7250</v>
      </c>
      <c r="D14" s="8">
        <f>Summary!E17</f>
        <v>7250</v>
      </c>
      <c r="E14" s="12" t="str">
        <f>IF(C14=D14,"PASS","FAIL")</f>
        <v>PASS</v>
      </c>
    </row>
    <row r="15" spans="2:5" ht="21.75" customHeight="1" x14ac:dyDescent="0.2">
      <c r="B15" s="5" t="s">
        <v>17800</v>
      </c>
      <c r="C15" s="6">
        <v>441</v>
      </c>
      <c r="D15" s="6">
        <f>Summary!C17</f>
        <v>441</v>
      </c>
      <c r="E15" s="11" t="str">
        <f>IF(C15=D15,"PASS","FAIL")</f>
        <v>PASS</v>
      </c>
    </row>
    <row r="17" spans="2:2" ht="15.75" x14ac:dyDescent="0.25">
      <c r="B17" s="13" t="s">
        <v>17801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README</vt:lpstr>
      <vt:lpstr>Miticide</vt:lpstr>
      <vt:lpstr>Fungicide</vt:lpstr>
      <vt:lpstr>Insecticide</vt:lpstr>
      <vt:lpstr>Herbicide</vt:lpstr>
      <vt:lpstr>Store Grain Insecticide</vt:lpstr>
      <vt:lpstr>Rodenticide</vt:lpstr>
      <vt:lpstr>Bio Pesticide</vt:lpstr>
      <vt:lpstr>Public Health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Registered Pesticides Database — Bangladesh (up to 81st PTAC Meeting)</dc:title>
  <dc:subject>DAE registered pesticide list extracted from dae.gov.bd</dc:subject>
  <dc:creator>Z.ai</dc:creator>
  <dc:description/>
  <cp:lastModifiedBy/>
  <cp:revision>3</cp:revision>
  <dcterms:created xsi:type="dcterms:W3CDTF">2026-09-15T01:11:00Z</dcterms:created>
  <dcterms:modified xsi:type="dcterms:W3CDTF">2026-09-15T07:47:35Z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32C697BDF96E456F87AFFF193C9466BA_12</vt:lpwstr>
  </property>
  <property fmtid="{D5CDD505-2E9C-101B-9397-08002B2CF9AE}" pid="4" name="KSOProductBuildVer">
    <vt:lpwstr>1033-12.1.0.28485</vt:lpwstr>
  </property>
</Properties>
</file>